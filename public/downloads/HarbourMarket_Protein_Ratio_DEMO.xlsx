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come" sheetId="1" state="visible" r:id="rId1"/>
    <sheet xmlns:r="http://schemas.openxmlformats.org/officeDocument/2006/relationships" name="WWF" sheetId="2" state="visible" r:id="rId2"/>
    <sheet xmlns:r="http://schemas.openxmlformats.org/officeDocument/2006/relationships" name="Protein Tracker" sheetId="3" state="visible" r:id="rId3"/>
    <sheet xmlns:r="http://schemas.openxmlformats.org/officeDocument/2006/relationships" name="By family" sheetId="4" state="visible" r:id="rId4"/>
    <sheet xmlns:r="http://schemas.openxmlformats.org/officeDocument/2006/relationships" name="By department" sheetId="5" state="visible" r:id="rId5"/>
    <sheet xmlns:r="http://schemas.openxmlformats.org/officeDocument/2006/relationships" name="By brand" sheetId="6" state="visible" r:id="rId6"/>
    <sheet xmlns:r="http://schemas.openxmlformats.org/officeDocument/2006/relationships" name="Top and flop" sheetId="7" state="visible" r:id="rId7"/>
    <sheet xmlns:r="http://schemas.openxmlformats.org/officeDocument/2006/relationships" name="Data" sheetId="8" state="visible" r:id="rId8"/>
  </sheets>
  <definedNames>
    <definedName name="_xlnm._FilterDatabase" localSheetId="7" hidden="1">'Data'!$A$4:$AI$804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"/>
    <numFmt numFmtId="167" formatCode="0.0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2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  <u val="single"/>
    </font>
    <font>
      <name val="Arial"/>
      <b val="1"/>
      <color rgb="00375623"/>
      <sz val="18"/>
    </font>
    <font>
      <name val="Arial"/>
      <b val="1"/>
      <color rgb="00FFFFFF"/>
      <sz val="12"/>
    </font>
    <font>
      <name val="Arial"/>
      <color rgb="00404040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7F7F7F"/>
      <sz val="9"/>
    </font>
    <font>
      <name val="Arial"/>
      <i val="1"/>
      <color rgb="007F7F7F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color rgb="007F7F7F"/>
      <sz val="10"/>
    </font>
    <font>
      <name val="Arial"/>
      <sz val="11"/>
    </font>
    <font>
      <name val="Arial"/>
      <b val="1"/>
      <color rgb="00375623"/>
      <sz val="28"/>
    </font>
    <font>
      <name val="Arial"/>
      <b val="1"/>
      <color rgb="00375623"/>
      <sz val="14"/>
    </font>
    <font>
      <name val="Arial"/>
      <b val="1"/>
      <color rgb="00FFFFFF"/>
      <sz val="10"/>
    </font>
    <font>
      <name val="Arial"/>
      <i val="1"/>
      <sz val="10"/>
    </font>
  </fonts>
  <fills count="11">
    <fill>
      <patternFill/>
    </fill>
    <fill>
      <patternFill patternType="gray125"/>
    </fill>
    <fill>
      <patternFill patternType="solid">
        <fgColor rgb="00C55A11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EDF2F9"/>
      </patternFill>
    </fill>
    <fill>
      <patternFill patternType="solid">
        <fgColor rgb="00C00000"/>
      </patternFill>
    </fill>
    <fill>
      <patternFill patternType="solid">
        <fgColor rgb="00D99694"/>
      </patternFill>
    </fill>
    <fill>
      <patternFill patternType="solid">
        <fgColor rgb="00A9D3AB"/>
      </patternFill>
    </fill>
  </fills>
  <borders count="4">
    <border>
      <left/>
      <right/>
      <top/>
      <bottom/>
      <diagonal/>
    </border>
    <border>
      <bottom style="medium">
        <color rgb="001F3864"/>
      </bottom>
    </border>
    <border/>
    <border>
      <bottom style="thin">
        <color rgb="00BF8F0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49" fontId="4" fillId="0" borderId="0" pivotButton="0" quotePrefix="0" xfId="0"/>
    <xf numFmtId="3" fontId="4" fillId="4" borderId="3" pivotButton="0" quotePrefix="0" xfId="0"/>
    <xf numFmtId="164" fontId="4" fillId="4" borderId="3" pivotButton="0" quotePrefix="0" xfId="0"/>
    <xf numFmtId="3" fontId="4" fillId="0" borderId="0" pivotButton="0" quotePrefix="0" xfId="0"/>
    <xf numFmtId="0" fontId="10" fillId="5" borderId="0" applyAlignment="1" pivotButton="0" quotePrefix="0" xfId="0">
      <alignment vertical="center"/>
    </xf>
    <xf numFmtId="0" fontId="11" fillId="0" borderId="0" pivotButton="0" quotePrefix="0" xfId="0"/>
    <xf numFmtId="165" fontId="17" fillId="0" borderId="0" applyAlignment="1" pivotButton="0" quotePrefix="0" xfId="0">
      <alignment vertical="center"/>
    </xf>
    <xf numFmtId="0" fontId="12" fillId="0" borderId="0" pivotButton="0" quotePrefix="0" xfId="0"/>
    <xf numFmtId="0" fontId="10" fillId="6" borderId="0" applyAlignment="1" pivotButton="0" quotePrefix="0" xfId="0">
      <alignment vertical="center"/>
    </xf>
    <xf numFmtId="0" fontId="13" fillId="7" borderId="0" applyAlignment="1" pivotButton="0" quotePrefix="0" xfId="0">
      <alignment horizontal="center"/>
    </xf>
    <xf numFmtId="0" fontId="14" fillId="7" borderId="0" pivotButton="0" quotePrefix="0" xfId="0"/>
    <xf numFmtId="0" fontId="0" fillId="7" borderId="0" pivotButton="0" quotePrefix="0" xfId="0"/>
    <xf numFmtId="0" fontId="9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9" fontId="15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164" fontId="9" fillId="0" borderId="0" pivotButton="0" quotePrefix="0" xfId="0"/>
    <xf numFmtId="165" fontId="9" fillId="0" borderId="0" pivotButton="0" quotePrefix="0" xfId="0"/>
    <xf numFmtId="165" fontId="16" fillId="0" borderId="0" pivotButton="0" quotePrefix="0" xfId="0"/>
    <xf numFmtId="165" fontId="18" fillId="0" borderId="0" pivotButton="0" quotePrefix="0" xfId="0"/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19" fillId="8" borderId="0" pivotButton="0" quotePrefix="0" xfId="0"/>
    <xf numFmtId="0" fontId="0" fillId="8" borderId="0" pivotButton="0" quotePrefix="0" xfId="0"/>
    <xf numFmtId="0" fontId="19" fillId="9" borderId="0" pivotButton="0" quotePrefix="0" xfId="0"/>
    <xf numFmtId="0" fontId="0" fillId="9" borderId="0" pivotButton="0" quotePrefix="0" xfId="0"/>
    <xf numFmtId="0" fontId="19" fillId="10" borderId="0" pivotButton="0" quotePrefix="0" xfId="0"/>
    <xf numFmtId="0" fontId="0" fillId="10" borderId="0" pivotButton="0" quotePrefix="0" xfId="0"/>
    <xf numFmtId="0" fontId="19" fillId="6" borderId="0" pivotButton="0" quotePrefix="0" xfId="0"/>
    <xf numFmtId="0" fontId="0" fillId="6" borderId="0" pivotButton="0" quotePrefix="0" xfId="0"/>
    <xf numFmtId="0" fontId="4" fillId="0" borderId="0" applyAlignment="1" pivotButton="0" quotePrefix="0" xfId="0">
      <alignment/>
    </xf>
    <xf numFmtId="0" fontId="20" fillId="0" borderId="0" applyAlignment="1" pivotButton="0" quotePrefix="0" xfId="0">
      <alignment/>
    </xf>
    <xf numFmtId="0" fontId="9" fillId="0" borderId="0" applyAlignment="1" pivotButton="0" quotePrefix="0" xfId="0">
      <alignment/>
    </xf>
    <xf numFmtId="166" fontId="4" fillId="0" borderId="0" pivotButton="0" quotePrefix="0" xfId="0"/>
    <xf numFmtId="167" fontId="4" fillId="0" borderId="0" pivotButton="0" quotePrefix="0" xfId="0"/>
    <xf numFmtId="4" fontId="4" fillId="0" borderId="0" pivotButton="0" quotePrefix="0" xfId="0"/>
    <xf numFmtId="0" fontId="10" fillId="8" borderId="0" applyAlignment="1" pivotButton="0" quotePrefix="0" xfId="0">
      <alignment vertical="center"/>
    </xf>
    <xf numFmtId="2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Protein by food group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'WWF'!$A$86:$A$92</f>
            </numRef>
          </cat>
          <val>
            <numRef>
              <f>'WWF'!$D$86:$D$92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'WWF'!$A$86:$A$92</f>
            </numRef>
          </cat>
          <val>
            <numRef>
              <f>'WWF'!$E$86:$E$92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Protein by class</a:t>
            </a:r>
          </a:p>
        </rich>
      </tx>
    </title>
    <plotArea>
      <barChart>
        <barDir val="col"/>
        <grouping val="percentStacked"/>
        <ser>
          <idx val="0"/>
          <order val="0"/>
          <tx>
            <v>Animal core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val>
            <numRef>
              <f>'Protein Tracker'!$B$11</f>
            </numRef>
          </val>
        </ser>
        <ser>
          <idx val="1"/>
          <order val="1"/>
          <tx>
            <v>Animal &amp; plant composite</v>
          </tx>
          <spPr>
            <a:solidFill xmlns:a="http://schemas.openxmlformats.org/drawingml/2006/main">
              <a:srgbClr val="D99694"/>
            </a:solidFill>
            <a:ln xmlns:a="http://schemas.openxmlformats.org/drawingml/2006/main">
              <a:solidFill>
                <a:srgbClr val="D99694"/>
              </a:solidFill>
              <a:prstDash val="solid"/>
            </a:ln>
          </spPr>
          <val>
            <numRef>
              <f>'Protein Tracker'!$B$12</f>
            </numRef>
          </val>
        </ser>
        <ser>
          <idx val="2"/>
          <order val="2"/>
          <tx>
            <v>Plant-based non-core</v>
          </tx>
          <spPr>
            <a:solidFill xmlns:a="http://schemas.openxmlformats.org/drawingml/2006/main">
              <a:srgbClr val="A9D3AB"/>
            </a:solidFill>
            <a:ln xmlns:a="http://schemas.openxmlformats.org/drawingml/2006/main">
              <a:solidFill>
                <a:srgbClr val="A9D3AB"/>
              </a:solidFill>
              <a:prstDash val="solid"/>
            </a:ln>
          </spPr>
          <val>
            <numRef>
              <f>'Protein Tracker'!$B$13</f>
            </numRef>
          </val>
        </ser>
        <ser>
          <idx val="3"/>
          <order val="3"/>
          <tx>
            <v>Plant-based core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val>
            <numRef>
              <f>'Protein Tracker'!$B$14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Protein by class, in detail</a:t>
            </a:r>
          </a:p>
        </rich>
      </tx>
    </title>
    <plotArea>
      <barChart>
        <barDir val="col"/>
        <grouping val="percentStacked"/>
        <ser>
          <idx val="0"/>
          <order val="0"/>
          <tx>
            <v>Animal core · Red meat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val>
            <numRef>
              <f>'Protein Tracker'!$B$24</f>
            </numRef>
          </val>
        </ser>
        <ser>
          <idx val="1"/>
          <order val="1"/>
          <tx>
            <v>Animal core · Poultry</v>
          </tx>
          <spPr>
            <a:solidFill xmlns:a="http://schemas.openxmlformats.org/drawingml/2006/main">
              <a:srgbClr val="C51212"/>
            </a:solidFill>
            <a:ln xmlns:a="http://schemas.openxmlformats.org/drawingml/2006/main">
              <a:solidFill>
                <a:srgbClr val="C51212"/>
              </a:solidFill>
              <a:prstDash val="solid"/>
            </a:ln>
          </spPr>
          <val>
            <numRef>
              <f>'Protein Tracker'!$B$25</f>
            </numRef>
          </val>
        </ser>
        <ser>
          <idx val="2"/>
          <order val="2"/>
          <tx>
            <v>Animal core · Fish and seafood</v>
          </tx>
          <spPr>
            <a:solidFill xmlns:a="http://schemas.openxmlformats.org/drawingml/2006/main">
              <a:srgbClr val="C92525"/>
            </a:solidFill>
            <a:ln xmlns:a="http://schemas.openxmlformats.org/drawingml/2006/main">
              <a:solidFill>
                <a:srgbClr val="C92525"/>
              </a:solidFill>
              <a:prstDash val="solid"/>
            </a:ln>
          </spPr>
          <val>
            <numRef>
              <f>'Protein Tracker'!$B$26</f>
            </numRef>
          </val>
        </ser>
        <ser>
          <idx val="3"/>
          <order val="3"/>
          <tx>
            <v>Animal core · Eggs</v>
          </tx>
          <spPr>
            <a:solidFill xmlns:a="http://schemas.openxmlformats.org/drawingml/2006/main">
              <a:srgbClr val="CE3737"/>
            </a:solidFill>
            <a:ln xmlns:a="http://schemas.openxmlformats.org/drawingml/2006/main">
              <a:solidFill>
                <a:srgbClr val="CE3737"/>
              </a:solidFill>
              <a:prstDash val="solid"/>
            </a:ln>
          </spPr>
          <val>
            <numRef>
              <f>'Protein Tracker'!$B$27</f>
            </numRef>
          </val>
        </ser>
        <ser>
          <idx val="4"/>
          <order val="4"/>
          <tx>
            <v>Animal core · Other animals (e.g. snails)</v>
          </tx>
          <spPr>
            <a:solidFill xmlns:a="http://schemas.openxmlformats.org/drawingml/2006/main">
              <a:srgbClr val="D24A4A"/>
            </a:solidFill>
            <a:ln xmlns:a="http://schemas.openxmlformats.org/drawingml/2006/main">
              <a:solidFill>
                <a:srgbClr val="D24A4A"/>
              </a:solidFill>
              <a:prstDash val="solid"/>
            </a:ln>
          </spPr>
          <val>
            <numRef>
              <f>'Protein Tracker'!$B$28</f>
            </numRef>
          </val>
        </ser>
        <ser>
          <idx val="5"/>
          <order val="5"/>
          <tx>
            <v>Animal core · Cheese</v>
          </tx>
          <spPr>
            <a:solidFill xmlns:a="http://schemas.openxmlformats.org/drawingml/2006/main">
              <a:srgbClr val="D75C5C"/>
            </a:solidFill>
            <a:ln xmlns:a="http://schemas.openxmlformats.org/drawingml/2006/main">
              <a:solidFill>
                <a:srgbClr val="D75C5C"/>
              </a:solidFill>
              <a:prstDash val="solid"/>
            </a:ln>
          </spPr>
          <val>
            <numRef>
              <f>'Protein Tracker'!$B$29</f>
            </numRef>
          </val>
        </ser>
        <ser>
          <idx val="6"/>
          <order val="6"/>
          <tx>
            <v>Animal core · Milk, yoghurt and cream</v>
          </tx>
          <spPr>
            <a:solidFill xmlns:a="http://schemas.openxmlformats.org/drawingml/2006/main">
              <a:srgbClr val="DB6E6E"/>
            </a:solidFill>
            <a:ln xmlns:a="http://schemas.openxmlformats.org/drawingml/2006/main">
              <a:solidFill>
                <a:srgbClr val="DB6E6E"/>
              </a:solidFill>
              <a:prstDash val="solid"/>
            </a:ln>
          </spPr>
          <val>
            <numRef>
              <f>'Protein Tracker'!$B$30</f>
            </numRef>
          </val>
        </ser>
        <ser>
          <idx val="7"/>
          <order val="7"/>
          <tx>
            <v>Animal core · Dishes and processed products</v>
          </tx>
          <spPr>
            <a:solidFill xmlns:a="http://schemas.openxmlformats.org/drawingml/2006/main">
              <a:srgbClr val="E08181"/>
            </a:solidFill>
            <a:ln xmlns:a="http://schemas.openxmlformats.org/drawingml/2006/main">
              <a:solidFill>
                <a:srgbClr val="E08181"/>
              </a:solidFill>
              <a:prstDash val="solid"/>
            </a:ln>
          </spPr>
          <val>
            <numRef>
              <f>'Protein Tracker'!$B$31</f>
            </numRef>
          </val>
        </ser>
        <ser>
          <idx val="8"/>
          <order val="8"/>
          <tx>
            <v>Animal core · Discretionary products</v>
          </tx>
          <spPr>
            <a:solidFill xmlns:a="http://schemas.openxmlformats.org/drawingml/2006/main">
              <a:srgbClr val="E49393"/>
            </a:solidFill>
            <a:ln xmlns:a="http://schemas.openxmlformats.org/drawingml/2006/main">
              <a:solidFill>
                <a:srgbClr val="E49393"/>
              </a:solidFill>
              <a:prstDash val="solid"/>
            </a:ln>
          </spPr>
          <val>
            <numRef>
              <f>'Protein Tracker'!$B$32</f>
            </numRef>
          </val>
        </ser>
        <ser>
          <idx val="9"/>
          <order val="9"/>
          <tx>
            <v>Animal core · Other</v>
          </tx>
          <spPr>
            <a:solidFill xmlns:a="http://schemas.openxmlformats.org/drawingml/2006/main">
              <a:srgbClr val="E9A6A6"/>
            </a:solidFill>
            <a:ln xmlns:a="http://schemas.openxmlformats.org/drawingml/2006/main">
              <a:solidFill>
                <a:srgbClr val="E9A6A6"/>
              </a:solidFill>
              <a:prstDash val="solid"/>
            </a:ln>
          </spPr>
          <val>
            <numRef>
              <f>'Protein Tracker'!$B$33</f>
            </numRef>
          </val>
        </ser>
        <ser>
          <idx val="10"/>
          <order val="10"/>
          <tx>
            <v>Animal &amp; plant composite · Meat-based dishes</v>
          </tx>
          <spPr>
            <a:solidFill xmlns:a="http://schemas.openxmlformats.org/drawingml/2006/main">
              <a:srgbClr val="D99694"/>
            </a:solidFill>
            <a:ln xmlns:a="http://schemas.openxmlformats.org/drawingml/2006/main">
              <a:solidFill>
                <a:srgbClr val="D99694"/>
              </a:solidFill>
              <a:prstDash val="solid"/>
            </a:ln>
          </spPr>
          <val>
            <numRef>
              <f>'Protein Tracker'!$B$35</f>
            </numRef>
          </val>
        </ser>
        <ser>
          <idx val="11"/>
          <order val="11"/>
          <tx>
            <v>Animal &amp; plant composite · Fish-based dishes</v>
          </tx>
          <spPr>
            <a:solidFill xmlns:a="http://schemas.openxmlformats.org/drawingml/2006/main">
              <a:srgbClr val="DDA1A0"/>
            </a:solidFill>
            <a:ln xmlns:a="http://schemas.openxmlformats.org/drawingml/2006/main">
              <a:solidFill>
                <a:srgbClr val="DDA1A0"/>
              </a:solidFill>
              <a:prstDash val="solid"/>
            </a:ln>
          </spPr>
          <val>
            <numRef>
              <f>'Protein Tracker'!$B$36</f>
            </numRef>
          </val>
        </ser>
        <ser>
          <idx val="12"/>
          <order val="12"/>
          <tx>
            <v>Animal &amp; plant composite · Vegetarian dishes</v>
          </tx>
          <spPr>
            <a:solidFill xmlns:a="http://schemas.openxmlformats.org/drawingml/2006/main">
              <a:srgbClr val="E1ADAB"/>
            </a:solidFill>
            <a:ln xmlns:a="http://schemas.openxmlformats.org/drawingml/2006/main">
              <a:solidFill>
                <a:srgbClr val="E1ADAB"/>
              </a:solidFill>
              <a:prstDash val="solid"/>
            </a:ln>
          </spPr>
          <val>
            <numRef>
              <f>'Protein Tracker'!$B$37</f>
            </numRef>
          </val>
        </ser>
        <ser>
          <idx val="13"/>
          <order val="13"/>
          <tx>
            <v>Animal &amp; plant composite · Vegan dishes</v>
          </tx>
          <spPr>
            <a:solidFill xmlns:a="http://schemas.openxmlformats.org/drawingml/2006/main">
              <a:srgbClr val="E5B8B7"/>
            </a:solidFill>
            <a:ln xmlns:a="http://schemas.openxmlformats.org/drawingml/2006/main">
              <a:solidFill>
                <a:srgbClr val="E5B8B7"/>
              </a:solidFill>
              <a:prstDash val="solid"/>
            </a:ln>
          </spPr>
          <val>
            <numRef>
              <f>'Protein Tracker'!$B$38</f>
            </numRef>
          </val>
        </ser>
        <ser>
          <idx val="14"/>
          <order val="14"/>
          <tx>
            <v>Animal &amp; plant composite · Discretionary products</v>
          </tx>
          <spPr>
            <a:solidFill xmlns:a="http://schemas.openxmlformats.org/drawingml/2006/main">
              <a:srgbClr val="E9C4C2"/>
            </a:solidFill>
            <a:ln xmlns:a="http://schemas.openxmlformats.org/drawingml/2006/main">
              <a:solidFill>
                <a:srgbClr val="E9C4C2"/>
              </a:solidFill>
              <a:prstDash val="solid"/>
            </a:ln>
          </spPr>
          <val>
            <numRef>
              <f>'Protein Tracker'!$B$39</f>
            </numRef>
          </val>
        </ser>
        <ser>
          <idx val="15"/>
          <order val="15"/>
          <tx>
            <v>Animal &amp; plant composite · Cereals and bread</v>
          </tx>
          <spPr>
            <a:solidFill xmlns:a="http://schemas.openxmlformats.org/drawingml/2006/main">
              <a:srgbClr val="EECFCE"/>
            </a:solidFill>
            <a:ln xmlns:a="http://schemas.openxmlformats.org/drawingml/2006/main">
              <a:solidFill>
                <a:srgbClr val="EECFCE"/>
              </a:solidFill>
              <a:prstDash val="solid"/>
            </a:ln>
          </spPr>
          <val>
            <numRef>
              <f>'Protein Tracker'!$B$40</f>
            </numRef>
          </val>
        </ser>
        <ser>
          <idx val="16"/>
          <order val="16"/>
          <tx>
            <v>Animal &amp; plant composite · Other</v>
          </tx>
          <spPr>
            <a:solidFill xmlns:a="http://schemas.openxmlformats.org/drawingml/2006/main">
              <a:srgbClr val="F2DADA"/>
            </a:solidFill>
            <a:ln xmlns:a="http://schemas.openxmlformats.org/drawingml/2006/main">
              <a:solidFill>
                <a:srgbClr val="F2DADA"/>
              </a:solidFill>
              <a:prstDash val="solid"/>
            </a:ln>
          </spPr>
          <val>
            <numRef>
              <f>'Protein Tracker'!$B$41</f>
            </numRef>
          </val>
        </ser>
        <ser>
          <idx val="17"/>
          <order val="17"/>
          <tx>
            <v>Plant-based non-core · Refined grains</v>
          </tx>
          <spPr>
            <a:solidFill xmlns:a="http://schemas.openxmlformats.org/drawingml/2006/main">
              <a:srgbClr val="A9D3AB"/>
            </a:solidFill>
            <a:ln xmlns:a="http://schemas.openxmlformats.org/drawingml/2006/main">
              <a:solidFill>
                <a:srgbClr val="A9D3AB"/>
              </a:solidFill>
              <a:prstDash val="solid"/>
            </a:ln>
          </spPr>
          <val>
            <numRef>
              <f>'Protein Tracker'!$B$43</f>
            </numRef>
          </val>
        </ser>
        <ser>
          <idx val="18"/>
          <order val="18"/>
          <tx>
            <v>Plant-based non-core · Whole grains</v>
          </tx>
          <spPr>
            <a:solidFill xmlns:a="http://schemas.openxmlformats.org/drawingml/2006/main">
              <a:srgbClr val="B2D8B4"/>
            </a:solidFill>
            <a:ln xmlns:a="http://schemas.openxmlformats.org/drawingml/2006/main">
              <a:solidFill>
                <a:srgbClr val="B2D8B4"/>
              </a:solidFill>
              <a:prstDash val="solid"/>
            </a:ln>
          </spPr>
          <val>
            <numRef>
              <f>'Protein Tracker'!$B$44</f>
            </numRef>
          </val>
        </ser>
        <ser>
          <idx val="19"/>
          <order val="19"/>
          <tx>
            <v>Plant-based non-core · Fruit and vegetables</v>
          </tx>
          <spPr>
            <a:solidFill xmlns:a="http://schemas.openxmlformats.org/drawingml/2006/main">
              <a:srgbClr val="BCDDBD"/>
            </a:solidFill>
            <a:ln xmlns:a="http://schemas.openxmlformats.org/drawingml/2006/main">
              <a:solidFill>
                <a:srgbClr val="BCDDBD"/>
              </a:solidFill>
              <a:prstDash val="solid"/>
            </a:ln>
          </spPr>
          <val>
            <numRef>
              <f>'Protein Tracker'!$B$45</f>
            </numRef>
          </val>
        </ser>
        <ser>
          <idx val="20"/>
          <order val="20"/>
          <tx>
            <v>Plant-based non-core · Starchy foods</v>
          </tx>
          <spPr>
            <a:solidFill xmlns:a="http://schemas.openxmlformats.org/drawingml/2006/main">
              <a:srgbClr val="C5E1C6"/>
            </a:solidFill>
            <a:ln xmlns:a="http://schemas.openxmlformats.org/drawingml/2006/main">
              <a:solidFill>
                <a:srgbClr val="C5E1C6"/>
              </a:solidFill>
              <a:prstDash val="solid"/>
            </a:ln>
          </spPr>
          <val>
            <numRef>
              <f>'Protein Tracker'!$B$46</f>
            </numRef>
          </val>
        </ser>
        <ser>
          <idx val="21"/>
          <order val="21"/>
          <tx>
            <v>Plant-based non-core · Discretionary products</v>
          </tx>
          <spPr>
            <a:solidFill xmlns:a="http://schemas.openxmlformats.org/drawingml/2006/main">
              <a:srgbClr val="CEE6CF"/>
            </a:solidFill>
            <a:ln xmlns:a="http://schemas.openxmlformats.org/drawingml/2006/main">
              <a:solidFill>
                <a:srgbClr val="CEE6CF"/>
              </a:solidFill>
              <a:prstDash val="solid"/>
            </a:ln>
          </spPr>
          <val>
            <numRef>
              <f>'Protein Tracker'!$B$47</f>
            </numRef>
          </val>
        </ser>
        <ser>
          <idx val="22"/>
          <order val="22"/>
          <tx>
            <v>Plant-based non-core · Outside the WWF scope</v>
          </tx>
          <spPr>
            <a:solidFill xmlns:a="http://schemas.openxmlformats.org/drawingml/2006/main">
              <a:srgbClr val="D8EBD8"/>
            </a:solidFill>
            <a:ln xmlns:a="http://schemas.openxmlformats.org/drawingml/2006/main">
              <a:solidFill>
                <a:srgbClr val="D8EBD8"/>
              </a:solidFill>
              <a:prstDash val="solid"/>
            </a:ln>
          </spPr>
          <val>
            <numRef>
              <f>'Protein Tracker'!$B$48</f>
            </numRef>
          </val>
        </ser>
        <ser>
          <idx val="23"/>
          <order val="23"/>
          <tx>
            <v>Plant-based non-core · Other</v>
          </tx>
          <spPr>
            <a:solidFill xmlns:a="http://schemas.openxmlformats.org/drawingml/2006/main">
              <a:srgbClr val="E1F0E2"/>
            </a:solidFill>
            <a:ln xmlns:a="http://schemas.openxmlformats.org/drawingml/2006/main">
              <a:solidFill>
                <a:srgbClr val="E1F0E2"/>
              </a:solidFill>
              <a:prstDash val="solid"/>
            </a:ln>
          </spPr>
          <val>
            <numRef>
              <f>'Protein Tracker'!$B$49</f>
            </numRef>
          </val>
        </ser>
        <ser>
          <idx val="24"/>
          <order val="24"/>
          <tx>
            <v>Plant-based core · Pulses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val>
            <numRef>
              <f>'Protein Tracker'!$B$51</f>
            </numRef>
          </val>
        </ser>
        <ser>
          <idx val="25"/>
          <order val="25"/>
          <tx>
            <v>Plant-based core · Nuts</v>
          </tx>
          <spPr>
            <a:solidFill xmlns:a="http://schemas.openxmlformats.org/drawingml/2006/main">
              <a:srgbClr val="4D683B"/>
            </a:solidFill>
            <a:ln xmlns:a="http://schemas.openxmlformats.org/drawingml/2006/main">
              <a:solidFill>
                <a:srgbClr val="4D683B"/>
              </a:solidFill>
              <a:prstDash val="solid"/>
            </a:ln>
          </spPr>
          <val>
            <numRef>
              <f>'Protein Tracker'!$B$52</f>
            </numRef>
          </val>
        </ser>
        <ser>
          <idx val="26"/>
          <order val="26"/>
          <tx>
            <v>Plant-based core · Seeds</v>
          </tx>
          <spPr>
            <a:solidFill xmlns:a="http://schemas.openxmlformats.org/drawingml/2006/main">
              <a:srgbClr val="627B53"/>
            </a:solidFill>
            <a:ln xmlns:a="http://schemas.openxmlformats.org/drawingml/2006/main">
              <a:solidFill>
                <a:srgbClr val="627B53"/>
              </a:solidFill>
              <a:prstDash val="solid"/>
            </a:ln>
          </spPr>
          <val>
            <numRef>
              <f>'Protein Tracker'!$B$53</f>
            </numRef>
          </val>
        </ser>
        <ser>
          <idx val="27"/>
          <order val="27"/>
          <tx>
            <v>Plant-based core · Plant-based meat alternatives</v>
          </tx>
          <spPr>
            <a:solidFill xmlns:a="http://schemas.openxmlformats.org/drawingml/2006/main">
              <a:srgbClr val="788D6A"/>
            </a:solidFill>
            <a:ln xmlns:a="http://schemas.openxmlformats.org/drawingml/2006/main">
              <a:solidFill>
                <a:srgbClr val="788D6A"/>
              </a:solidFill>
              <a:prstDash val="solid"/>
            </a:ln>
          </spPr>
          <val>
            <numRef>
              <f>'Protein Tracker'!$B$54</f>
            </numRef>
          </val>
        </ser>
        <ser>
          <idx val="28"/>
          <order val="28"/>
          <tx>
            <v>Plant-based core · Tofu, tempeh, seitan</v>
          </tx>
          <spPr>
            <a:solidFill xmlns:a="http://schemas.openxmlformats.org/drawingml/2006/main">
              <a:srgbClr val="8E9F82"/>
            </a:solidFill>
            <a:ln xmlns:a="http://schemas.openxmlformats.org/drawingml/2006/main">
              <a:solidFill>
                <a:srgbClr val="8E9F82"/>
              </a:solidFill>
              <a:prstDash val="solid"/>
            </a:ln>
          </spPr>
          <val>
            <numRef>
              <f>'Protein Tracker'!$B$55</f>
            </numRef>
          </val>
        </ser>
        <ser>
          <idx val="29"/>
          <order val="29"/>
          <tx>
            <v>Plant-based core · Plant-based dairy alternatives</v>
          </tx>
          <spPr>
            <a:solidFill xmlns:a="http://schemas.openxmlformats.org/drawingml/2006/main">
              <a:srgbClr val="A3B29A"/>
            </a:solidFill>
            <a:ln xmlns:a="http://schemas.openxmlformats.org/drawingml/2006/main">
              <a:solidFill>
                <a:srgbClr val="A3B29A"/>
              </a:solidFill>
              <a:prstDash val="solid"/>
            </a:ln>
          </spPr>
          <val>
            <numRef>
              <f>'Protein Tracker'!$B$56</f>
            </numRef>
          </val>
        </ser>
        <ser>
          <idx val="30"/>
          <order val="30"/>
          <tx>
            <v>Plant-based core · Other</v>
          </tx>
          <spPr>
            <a:solidFill xmlns:a="http://schemas.openxmlformats.org/drawingml/2006/main">
              <a:srgbClr val="B9C4B2"/>
            </a:solidFill>
            <a:ln xmlns:a="http://schemas.openxmlformats.org/drawingml/2006/main">
              <a:solidFill>
                <a:srgbClr val="B9C4B2"/>
              </a:solidFill>
              <a:prstDash val="solid"/>
            </a:ln>
          </spPr>
          <val>
            <numRef>
              <f>'Protein Tracker'!$B$57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15 families carrying the most protein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'By family'!$A$35:$A$49</f>
            </numRef>
          </cat>
          <val>
            <numRef>
              <f>'By family'!$D$35:$D$49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'By family'!$A$35:$A$49</f>
            </numRef>
          </cat>
          <val>
            <numRef>
              <f>'By family'!$E$35:$E$49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14 departments carrying the most protein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'By department'!$A$6:$A$19</f>
            </numRef>
          </cat>
          <val>
            <numRef>
              <f>'By department'!$D$6:$D$19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'By department'!$A$6:$A$19</f>
            </numRef>
          </cat>
          <val>
            <numRef>
              <f>'By department'!$E$6:$E$19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15 brands carrying the most protein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'By brand'!$A$6:$A$20</f>
            </numRef>
          </cat>
          <val>
            <numRef>
              <f>'By brand'!$D$6:$D$20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'By brand'!$A$6:$A$20</f>
            </numRef>
          </cat>
          <val>
            <numRef>
              <f>'By brand'!$E$6:$E$20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581150" cy="638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0</row>
      <rowOff>0</rowOff>
    </from>
    <ext cx="800100" cy="638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720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46" customWidth="1" min="3" max="3"/>
    <col width="16" customWidth="1" min="4" max="4"/>
    <col width="16" customWidth="1" min="5" max="5"/>
    <col width="3" customWidth="1" min="6" max="6"/>
    <col width="16" customWidth="1" min="7" max="7"/>
    <col width="18" customWidth="1" min="8" max="8"/>
  </cols>
  <sheetData>
    <row r="1" ht="30" customHeight="1">
      <c r="C1" s="1" t="inlineStr">
        <is>
          <t>PROTEIN RATIO
Harbour Market catalogue</t>
        </is>
      </c>
    </row>
    <row r="2" ht="30" customHeight="1"/>
    <row r="3" ht="22" customHeight="1">
      <c r="A3" s="2" t="inlineStr">
        <is>
          <t>FICTITIOUS DATA — demo file. Harbour Market, its brands, its products and every figure are invented.</t>
        </is>
      </c>
    </row>
    <row r="5" ht="30" customHeight="1">
      <c r="A5" s="3" t="inlineStr">
        <is>
          <t>What this workbook contains</t>
        </is>
      </c>
      <c r="B5" s="4" t="inlineStr">
        <is>
          <t>The share of the protein you put on the market that is of plant origin, and how it breaks down — by the WWF Planet-Based Diets methodology first, then by Protein Tracker.</t>
        </is>
      </c>
    </row>
    <row r="7" ht="30" customHeight="1">
      <c r="A7" s="3" t="inlineStr">
        <is>
          <t>How to use it</t>
        </is>
      </c>
      <c r="B7" s="4" t="inlineStr">
        <is>
          <t>Type your volumes in the yellow columns below: units sold, or kilos sold for products sold by weight. When both are filled, the kilos win. Every tab recalculates; there is nothing else to enter.</t>
        </is>
      </c>
    </row>
    <row r="9" ht="30" customHeight="1">
      <c r="A9" s="3" t="inlineStr">
        <is>
          <t>Volumes are pre-filled</t>
        </is>
      </c>
      <c r="B9" s="4" t="inlineStr">
        <is>
          <t>The volumes shown are our estimates. On a real engagement, when the sales file arrives without volumes, Altera deduces them from your sales rank in kilos; your own figures replace them. Here they are invented.</t>
        </is>
      </c>
    </row>
    <row r="11">
      <c r="A11" s="5" t="inlineStr">
        <is>
          <t>THE TABS</t>
        </is>
      </c>
    </row>
    <row r="12">
      <c r="A12" s="6" t="inlineStr">
        <is>
          <t>WWF</t>
        </is>
      </c>
      <c r="B12" s="7" t="inlineStr">
        <is>
          <t>the seven food groups, whole against composite, the detail by sub-group</t>
        </is>
      </c>
    </row>
    <row r="13">
      <c r="A13" s="6" t="inlineStr">
        <is>
          <t>Protein Tracker</t>
        </is>
      </c>
      <c r="B13" s="7" t="inlineStr">
        <is>
          <t>the ratio and the four classes of the GPA methodology</t>
        </is>
      </c>
    </row>
    <row r="14">
      <c r="A14" s="6" t="inlineStr">
        <is>
          <t>By family</t>
        </is>
      </c>
      <c r="B14" s="7" t="inlineStr">
        <is>
          <t>the 40 families carrying the most protein, out of 68</t>
        </is>
      </c>
    </row>
    <row r="15">
      <c r="A15" s="6" t="inlineStr">
        <is>
          <t>By department</t>
        </is>
      </c>
      <c r="B15" s="7" t="inlineStr">
        <is>
          <t>the 14 departments</t>
        </is>
      </c>
    </row>
    <row r="16">
      <c r="A16" s="6" t="inlineStr">
        <is>
          <t>By brand</t>
        </is>
      </c>
      <c r="B16" s="7" t="inlineStr">
        <is>
          <t>the 15 brands</t>
        </is>
      </c>
    </row>
    <row r="17">
      <c r="A17" s="6" t="inlineStr">
        <is>
          <t>Top and flop</t>
        </is>
      </c>
      <c r="B17" s="7" t="inlineStr">
        <is>
          <t>the 50 most plant-based products and the 50 least</t>
        </is>
      </c>
    </row>
    <row r="18">
      <c r="A18" s="6" t="inlineStr">
        <is>
          <t>Data</t>
        </is>
      </c>
      <c r="B18" s="7" t="inlineStr">
        <is>
          <t>one row per product: classes, contents, split, data level and the source of every value</t>
        </is>
      </c>
    </row>
    <row r="20" ht="17" customHeight="1">
      <c r="A20" s="8" t="inlineStr">
        <is>
          <t>ACCURACY</t>
        </is>
      </c>
      <c r="B20" s="9" t="inlineStr">
        <is>
          <t>Measured
by hand</t>
        </is>
      </c>
      <c r="C20" s="4" t="inlineStr">
        <is>
          <t>On a real engagement, this box gives the accuracy measured on your own catalogue, one rate per field: whole or composite, food group, sub-group, Protein Tracker class.
It is measured on a control sample, sealed before review:
  •  500 rows drawn at random
  •  the 500 products weighing most in tonnes of protein
  •  the 3 best sellers of every category
Every row of the sample is then reviewed by hand: no model grades a model.
Harbour Market is invented, so this copy shows no accuracy figure.</t>
        </is>
      </c>
    </row>
    <row r="21" ht="17" customHeight="1"/>
    <row r="22" ht="17" customHeight="1"/>
    <row r="23" ht="17" customHeight="1"/>
    <row r="24" ht="17" customHeight="1"/>
    <row r="25" ht="17" customHeight="1"/>
    <row r="26" ht="17" customHeight="1"/>
    <row r="28" ht="25.5" customHeight="1">
      <c r="A28" s="10" t="inlineStr">
        <is>
          <t xml:space="preserve">  OUR ESTIMATED VOLUMES — type yours over them</t>
        </is>
      </c>
    </row>
    <row r="29" ht="30" customHeight="1">
      <c r="A29" s="11" t="inlineStr">
        <is>
          <t>Sorted by our estimated rank, deduced from the volumes we estimated. Your own ranks, on the right, are recalculated from the yellow columns: where they differ from ours, our estimate departs.</t>
        </is>
      </c>
    </row>
    <row r="30" ht="39.75" customHeight="1">
      <c r="A30" s="12" t="inlineStr">
        <is>
          <t>Estimated rank (Altera)</t>
        </is>
      </c>
      <c r="B30" s="13" t="inlineStr">
        <is>
          <t>EAN 13</t>
        </is>
      </c>
      <c r="C30" s="13" t="inlineStr">
        <is>
          <t>Product</t>
        </is>
      </c>
      <c r="D30" s="13" t="inlineStr">
        <is>
          <t>Units sold</t>
        </is>
      </c>
      <c r="E30" s="13" t="inlineStr">
        <is>
          <t>or kg sold</t>
        </is>
      </c>
      <c r="F30" s="14" t="n"/>
      <c r="G30" s="13" t="inlineStr">
        <is>
          <t>Your sales rank (kilos)</t>
        </is>
      </c>
      <c r="H30" s="13" t="inlineStr">
        <is>
          <t>Your sales rank (quantity)</t>
        </is>
      </c>
    </row>
    <row r="31">
      <c r="A31" s="15" t="n">
        <v>1</v>
      </c>
      <c r="B31" s="16" t="inlineStr">
        <is>
          <t>4012345996470</t>
        </is>
      </c>
      <c r="C31" s="7" t="inlineStr">
        <is>
          <t>Still mineral water, 6x1.5l</t>
        </is>
      </c>
      <c r="D31" s="17" t="n">
        <v>86003</v>
      </c>
      <c r="E31" s="18" t="n"/>
      <c r="G31" s="19">
        <f>IF(Data!AC5&gt;0,RANK(Data!AC5,Data!$AC$5:$AC$804),"")</f>
        <v/>
      </c>
      <c r="H31" s="19">
        <f>IF(N(D31)&gt;0,RANK(D31,$D$31:$D$830),"")</f>
        <v/>
      </c>
    </row>
    <row r="32">
      <c r="A32" s="15" t="n">
        <v>2</v>
      </c>
      <c r="B32" s="16" t="inlineStr">
        <is>
          <t>5012345744889</t>
        </is>
      </c>
      <c r="C32" s="7" t="inlineStr">
        <is>
          <t>Apple cider, 12x440ml</t>
        </is>
      </c>
      <c r="D32" s="17" t="n">
        <v>102158</v>
      </c>
      <c r="E32" s="18" t="n"/>
      <c r="G32" s="19">
        <f>IF(Data!AC6&gt;0,RANK(Data!AC6,Data!$AC$5:$AC$804),"")</f>
        <v/>
      </c>
      <c r="H32" s="19">
        <f>IF(N(D32)&gt;0,RANK(D32,$D$31:$D$830),"")</f>
        <v/>
      </c>
    </row>
    <row r="33">
      <c r="A33" s="15" t="n">
        <v>3</v>
      </c>
      <c r="B33" s="16" t="inlineStr">
        <is>
          <t>5012345617145</t>
        </is>
      </c>
      <c r="C33" s="7" t="inlineStr">
        <is>
          <t>Garden peas, 1.5kg</t>
        </is>
      </c>
      <c r="D33" s="17" t="n">
        <v>284138</v>
      </c>
      <c r="E33" s="18" t="n"/>
      <c r="G33" s="19">
        <f>IF(Data!AC7&gt;0,RANK(Data!AC7,Data!$AC$5:$AC$804),"")</f>
        <v/>
      </c>
      <c r="H33" s="19">
        <f>IF(N(D33)&gt;0,RANK(D33,$D$31:$D$830),"")</f>
        <v/>
      </c>
    </row>
    <row r="34">
      <c r="A34" s="15" t="n">
        <v>4</v>
      </c>
      <c r="B34" s="16" t="inlineStr">
        <is>
          <t>5012345682891</t>
        </is>
      </c>
      <c r="C34" s="7" t="inlineStr">
        <is>
          <t>Skimmed milk, 4pt 2.27l</t>
        </is>
      </c>
      <c r="D34" s="17" t="n">
        <v>167393</v>
      </c>
      <c r="E34" s="18" t="n"/>
      <c r="G34" s="19">
        <f>IF(Data!AC8&gt;0,RANK(Data!AC8,Data!$AC$5:$AC$804),"")</f>
        <v/>
      </c>
      <c r="H34" s="19">
        <f>IF(N(D34)&gt;0,RANK(D34,$D$31:$D$830),"")</f>
        <v/>
      </c>
    </row>
    <row r="35">
      <c r="A35" s="15" t="n">
        <v>5</v>
      </c>
      <c r="B35" s="16" t="inlineStr">
        <is>
          <t>5012345845791</t>
        </is>
      </c>
      <c r="C35" s="7" t="inlineStr">
        <is>
          <t>Sparkling mineral water, 12x500ml</t>
        </is>
      </c>
      <c r="D35" s="17" t="n">
        <v>58491</v>
      </c>
      <c r="E35" s="18" t="n"/>
      <c r="G35" s="19">
        <f>IF(Data!AC9&gt;0,RANK(Data!AC9,Data!$AC$5:$AC$804),"")</f>
        <v/>
      </c>
      <c r="H35" s="19">
        <f>IF(N(D35)&gt;0,RANK(D35,$D$31:$D$830),"")</f>
        <v/>
      </c>
    </row>
    <row r="36">
      <c r="A36" s="15" t="n">
        <v>6</v>
      </c>
      <c r="B36" s="16" t="inlineStr">
        <is>
          <t>8712345926991</t>
        </is>
      </c>
      <c r="C36" s="7" t="inlineStr">
        <is>
          <t>Lager, 12x440ml</t>
        </is>
      </c>
      <c r="D36" s="17" t="n">
        <v>59885</v>
      </c>
      <c r="E36" s="18" t="n"/>
      <c r="G36" s="19">
        <f>IF(Data!AC10&gt;0,RANK(Data!AC10,Data!$AC$5:$AC$804),"")</f>
        <v/>
      </c>
      <c r="H36" s="19">
        <f>IF(N(D36)&gt;0,RANK(D36,$D$31:$D$830),"")</f>
        <v/>
      </c>
    </row>
    <row r="37">
      <c r="A37" s="15" t="n">
        <v>7</v>
      </c>
      <c r="B37" s="16" t="inlineStr">
        <is>
          <t>2011149331090</t>
        </is>
      </c>
      <c r="C37" s="7" t="inlineStr">
        <is>
          <t>Gala apples</t>
        </is>
      </c>
      <c r="D37" s="17" t="n"/>
      <c r="E37" s="18" t="n">
        <v>308991</v>
      </c>
      <c r="G37" s="19">
        <f>IF(Data!AC11&gt;0,RANK(Data!AC11,Data!$AC$5:$AC$804),"")</f>
        <v/>
      </c>
      <c r="H37" s="19">
        <f>IF(N(D37)&gt;0,RANK(D37,$D$31:$D$830),"")</f>
        <v/>
      </c>
    </row>
    <row r="38">
      <c r="A38" s="15" t="n">
        <v>8</v>
      </c>
      <c r="B38" s="16" t="inlineStr">
        <is>
          <t>3012345763554</t>
        </is>
      </c>
      <c r="C38" s="7" t="inlineStr">
        <is>
          <t>Sparkling mineral water, 6x1.5l</t>
        </is>
      </c>
      <c r="D38" s="17" t="n">
        <v>32035</v>
      </c>
      <c r="E38" s="18" t="n"/>
      <c r="G38" s="19">
        <f>IF(Data!AC12&gt;0,RANK(Data!AC12,Data!$AC$5:$AC$804),"")</f>
        <v/>
      </c>
      <c r="H38" s="19">
        <f>IF(N(D38)&gt;0,RANK(D38,$D$31:$D$830),"")</f>
        <v/>
      </c>
    </row>
    <row r="39">
      <c r="A39" s="15" t="n">
        <v>9</v>
      </c>
      <c r="B39" s="16" t="inlineStr">
        <is>
          <t>3012345268806</t>
        </is>
      </c>
      <c r="C39" s="7" t="inlineStr">
        <is>
          <t>Still mineral water, 12x500ml</t>
        </is>
      </c>
      <c r="D39" s="17" t="n">
        <v>45846</v>
      </c>
      <c r="E39" s="18" t="n"/>
      <c r="G39" s="19">
        <f>IF(Data!AC13&gt;0,RANK(Data!AC13,Data!$AC$5:$AC$804),"")</f>
        <v/>
      </c>
      <c r="H39" s="19">
        <f>IF(N(D39)&gt;0,RANK(D39,$D$31:$D$830),"")</f>
        <v/>
      </c>
    </row>
    <row r="40">
      <c r="A40" s="15" t="n">
        <v>10</v>
      </c>
      <c r="B40" s="16" t="inlineStr">
        <is>
          <t>8712345559885</t>
        </is>
      </c>
      <c r="C40" s="7" t="inlineStr">
        <is>
          <t>Tomato &amp; basil pasta sauce, 4x400g</t>
        </is>
      </c>
      <c r="D40" s="17" t="n">
        <v>167137</v>
      </c>
      <c r="E40" s="18" t="n"/>
      <c r="G40" s="19">
        <f>IF(Data!AC14&gt;0,RANK(Data!AC14,Data!$AC$5:$AC$804),"")</f>
        <v/>
      </c>
      <c r="H40" s="19">
        <f>IF(N(D40)&gt;0,RANK(D40,$D$31:$D$830),"")</f>
        <v/>
      </c>
    </row>
    <row r="41">
      <c r="A41" s="15" t="n">
        <v>11</v>
      </c>
      <c r="B41" s="16" t="inlineStr">
        <is>
          <t>5012345024721</t>
        </is>
      </c>
      <c r="C41" s="7" t="inlineStr">
        <is>
          <t>Lemons, 1kg</t>
        </is>
      </c>
      <c r="D41" s="17" t="n">
        <v>238470</v>
      </c>
      <c r="E41" s="18" t="n"/>
      <c r="G41" s="19">
        <f>IF(Data!AC15&gt;0,RANK(Data!AC15,Data!$AC$5:$AC$804),"")</f>
        <v/>
      </c>
      <c r="H41" s="19">
        <f>IF(N(D41)&gt;0,RANK(D41,$D$31:$D$830),"")</f>
        <v/>
      </c>
    </row>
    <row r="42">
      <c r="A42" s="15" t="n">
        <v>12</v>
      </c>
      <c r="B42" s="16" t="inlineStr">
        <is>
          <t>8712345249090</t>
        </is>
      </c>
      <c r="C42" s="7" t="inlineStr">
        <is>
          <t>Whole milk, 4pt 2.27l</t>
        </is>
      </c>
      <c r="D42" s="17" t="n">
        <v>100159</v>
      </c>
      <c r="E42" s="18" t="n"/>
      <c r="G42" s="19">
        <f>IF(Data!AC16&gt;0,RANK(Data!AC16,Data!$AC$5:$AC$804),"")</f>
        <v/>
      </c>
      <c r="H42" s="19">
        <f>IF(N(D42)&gt;0,RANK(D42,$D$31:$D$830),"")</f>
        <v/>
      </c>
    </row>
    <row r="43">
      <c r="A43" s="15" t="n">
        <v>13</v>
      </c>
      <c r="B43" s="16" t="inlineStr">
        <is>
          <t>3012345814577</t>
        </is>
      </c>
      <c r="C43" s="7" t="inlineStr">
        <is>
          <t>Cola, 2l</t>
        </is>
      </c>
      <c r="D43" s="17" t="n">
        <v>110524</v>
      </c>
      <c r="E43" s="18" t="n"/>
      <c r="G43" s="19">
        <f>IF(Data!AC17&gt;0,RANK(Data!AC17,Data!$AC$5:$AC$804),"")</f>
        <v/>
      </c>
      <c r="H43" s="19">
        <f>IF(N(D43)&gt;0,RANK(D43,$D$31:$D$830),"")</f>
        <v/>
      </c>
    </row>
    <row r="44">
      <c r="A44" s="15" t="n">
        <v>14</v>
      </c>
      <c r="B44" s="16" t="inlineStr">
        <is>
          <t>8712345661670</t>
        </is>
      </c>
      <c r="C44" s="7" t="inlineStr">
        <is>
          <t>Oat drink, barista edition, 6x1l</t>
        </is>
      </c>
      <c r="D44" s="17" t="n">
        <v>32103</v>
      </c>
      <c r="E44" s="18" t="n"/>
      <c r="G44" s="19">
        <f>IF(Data!AC18&gt;0,RANK(Data!AC18,Data!$AC$5:$AC$804),"")</f>
        <v/>
      </c>
      <c r="H44" s="19">
        <f>IF(N(D44)&gt;0,RANK(D44,$D$31:$D$830),"")</f>
        <v/>
      </c>
    </row>
    <row r="45">
      <c r="A45" s="15" t="n">
        <v>15</v>
      </c>
      <c r="B45" s="16" t="inlineStr">
        <is>
          <t>8712345208295</t>
        </is>
      </c>
      <c r="C45" s="7" t="inlineStr">
        <is>
          <t>Cola, no sugar, 6x330ml</t>
        </is>
      </c>
      <c r="D45" s="17" t="n">
        <v>100042</v>
      </c>
      <c r="E45" s="18" t="n"/>
      <c r="G45" s="19">
        <f>IF(Data!AC19&gt;0,RANK(Data!AC19,Data!$AC$5:$AC$804),"")</f>
        <v/>
      </c>
      <c r="H45" s="19">
        <f>IF(N(D45)&gt;0,RANK(D45,$D$31:$D$830),"")</f>
        <v/>
      </c>
    </row>
    <row r="46">
      <c r="A46" s="15" t="n">
        <v>16</v>
      </c>
      <c r="B46" s="16" t="inlineStr">
        <is>
          <t>4012345903157</t>
        </is>
      </c>
      <c r="C46" s="7" t="inlineStr">
        <is>
          <t>Baby potatoes, 2.5kg</t>
        </is>
      </c>
      <c r="D46" s="17" t="n">
        <v>75337</v>
      </c>
      <c r="E46" s="18" t="n"/>
      <c r="G46" s="19">
        <f>IF(Data!AC20&gt;0,RANK(Data!AC20,Data!$AC$5:$AC$804),"")</f>
        <v/>
      </c>
      <c r="H46" s="19">
        <f>IF(N(D46)&gt;0,RANK(D46,$D$31:$D$830),"")</f>
        <v/>
      </c>
    </row>
    <row r="47">
      <c r="A47" s="15" t="n">
        <v>17</v>
      </c>
      <c r="B47" s="16" t="inlineStr">
        <is>
          <t>8712345836122</t>
        </is>
      </c>
      <c r="C47" s="7" t="inlineStr">
        <is>
          <t>Beef mince, 15% fat, 400g</t>
        </is>
      </c>
      <c r="D47" s="17" t="n">
        <v>462546</v>
      </c>
      <c r="E47" s="18" t="n"/>
      <c r="G47" s="19">
        <f>IF(Data!AC21&gt;0,RANK(Data!AC21,Data!$AC$5:$AC$804),"")</f>
        <v/>
      </c>
      <c r="H47" s="19">
        <f>IF(N(D47)&gt;0,RANK(D47,$D$31:$D$830),"")</f>
        <v/>
      </c>
    </row>
    <row r="48">
      <c r="A48" s="15" t="n">
        <v>18</v>
      </c>
      <c r="B48" s="16" t="inlineStr">
        <is>
          <t>8712345174989</t>
        </is>
      </c>
      <c r="C48" s="7" t="inlineStr">
        <is>
          <t>Raspberries, 250g</t>
        </is>
      </c>
      <c r="D48" s="17" t="n">
        <v>703142</v>
      </c>
      <c r="E48" s="18" t="n"/>
      <c r="G48" s="19">
        <f>IF(Data!AC22&gt;0,RANK(Data!AC22,Data!$AC$5:$AC$804),"")</f>
        <v/>
      </c>
      <c r="H48" s="19">
        <f>IF(N(D48)&gt;0,RANK(D48,$D$31:$D$830),"")</f>
        <v/>
      </c>
    </row>
    <row r="49">
      <c r="A49" s="15" t="n">
        <v>19</v>
      </c>
      <c r="B49" s="16" t="inlineStr">
        <is>
          <t>4012345831160</t>
        </is>
      </c>
      <c r="C49" s="7" t="inlineStr">
        <is>
          <t>Sparkling mineral water, 500ml</t>
        </is>
      </c>
      <c r="D49" s="17" t="n">
        <v>334056</v>
      </c>
      <c r="E49" s="18" t="n"/>
      <c r="G49" s="19">
        <f>IF(Data!AC23&gt;0,RANK(Data!AC23,Data!$AC$5:$AC$804),"")</f>
        <v/>
      </c>
      <c r="H49" s="19">
        <f>IF(N(D49)&gt;0,RANK(D49,$D$31:$D$830),"")</f>
        <v/>
      </c>
    </row>
    <row r="50">
      <c r="A50" s="15" t="n">
        <v>20</v>
      </c>
      <c r="B50" s="16" t="inlineStr">
        <is>
          <t>4012345833027</t>
        </is>
      </c>
      <c r="C50" s="7" t="inlineStr">
        <is>
          <t>Skimmed milk, 2l</t>
        </is>
      </c>
      <c r="D50" s="17" t="n">
        <v>78993</v>
      </c>
      <c r="E50" s="18" t="n"/>
      <c r="G50" s="19">
        <f>IF(Data!AC24&gt;0,RANK(Data!AC24,Data!$AC$5:$AC$804),"")</f>
        <v/>
      </c>
      <c r="H50" s="19">
        <f>IF(N(D50)&gt;0,RANK(D50,$D$31:$D$830),"")</f>
        <v/>
      </c>
    </row>
    <row r="51">
      <c r="A51" s="15" t="n">
        <v>21</v>
      </c>
      <c r="B51" s="16" t="inlineStr">
        <is>
          <t>3012345058216</t>
        </is>
      </c>
      <c r="C51" s="7" t="inlineStr">
        <is>
          <t>Skimmed milk, 1l</t>
        </is>
      </c>
      <c r="D51" s="17" t="n">
        <v>156630</v>
      </c>
      <c r="E51" s="18" t="n"/>
      <c r="G51" s="19">
        <f>IF(Data!AC25&gt;0,RANK(Data!AC25,Data!$AC$5:$AC$804),"")</f>
        <v/>
      </c>
      <c r="H51" s="19">
        <f>IF(N(D51)&gt;0,RANK(D51,$D$31:$D$830),"")</f>
        <v/>
      </c>
    </row>
    <row r="52">
      <c r="A52" s="15" t="n">
        <v>22</v>
      </c>
      <c r="B52" s="16" t="inlineStr">
        <is>
          <t>8712345605605</t>
        </is>
      </c>
      <c r="C52" s="7" t="inlineStr">
        <is>
          <t>Lager, 12x440ml</t>
        </is>
      </c>
      <c r="D52" s="17" t="n">
        <v>29071</v>
      </c>
      <c r="E52" s="18" t="n"/>
      <c r="G52" s="19">
        <f>IF(Data!AC26&gt;0,RANK(Data!AC26,Data!$AC$5:$AC$804),"")</f>
        <v/>
      </c>
      <c r="H52" s="19">
        <f>IF(N(D52)&gt;0,RANK(D52,$D$31:$D$830),"")</f>
        <v/>
      </c>
    </row>
    <row r="53">
      <c r="A53" s="15" t="n">
        <v>23</v>
      </c>
      <c r="B53" s="16" t="inlineStr">
        <is>
          <t>8712345536688</t>
        </is>
      </c>
      <c r="C53" s="7" t="inlineStr">
        <is>
          <t>Unsweetened soya drink, 6x1l</t>
        </is>
      </c>
      <c r="D53" s="17" t="n">
        <v>24144</v>
      </c>
      <c r="E53" s="18" t="n"/>
      <c r="G53" s="19">
        <f>IF(Data!AC27&gt;0,RANK(Data!AC27,Data!$AC$5:$AC$804),"")</f>
        <v/>
      </c>
      <c r="H53" s="19">
        <f>IF(N(D53)&gt;0,RANK(D53,$D$31:$D$830),"")</f>
        <v/>
      </c>
    </row>
    <row r="54">
      <c r="A54" s="15" t="n">
        <v>24</v>
      </c>
      <c r="B54" s="16" t="inlineStr">
        <is>
          <t>8712345576776</t>
        </is>
      </c>
      <c r="C54" s="7" t="inlineStr">
        <is>
          <t>Mild cheddar, 800g</t>
        </is>
      </c>
      <c r="D54" s="17" t="n">
        <v>181066</v>
      </c>
      <c r="E54" s="18" t="n"/>
      <c r="G54" s="19">
        <f>IF(Data!AC28&gt;0,RANK(Data!AC28,Data!$AC$5:$AC$804),"")</f>
        <v/>
      </c>
      <c r="H54" s="19">
        <f>IF(N(D54)&gt;0,RANK(D54,$D$31:$D$830),"")</f>
        <v/>
      </c>
    </row>
    <row r="55">
      <c r="A55" s="15" t="n">
        <v>25</v>
      </c>
      <c r="B55" s="16" t="inlineStr">
        <is>
          <t>5012345249353</t>
        </is>
      </c>
      <c r="C55" s="7" t="inlineStr">
        <is>
          <t>Beef mince, 15% fat, 1kg</t>
        </is>
      </c>
      <c r="D55" s="17" t="n">
        <v>137957</v>
      </c>
      <c r="E55" s="18" t="n"/>
      <c r="G55" s="19">
        <f>IF(Data!AC29&gt;0,RANK(Data!AC29,Data!$AC$5:$AC$804),"")</f>
        <v/>
      </c>
      <c r="H55" s="19">
        <f>IF(N(D55)&gt;0,RANK(D55,$D$31:$D$830),"")</f>
        <v/>
      </c>
    </row>
    <row r="56">
      <c r="A56" s="15" t="n">
        <v>26</v>
      </c>
      <c r="B56" s="16" t="inlineStr">
        <is>
          <t>4012345059229</t>
        </is>
      </c>
      <c r="C56" s="7" t="inlineStr">
        <is>
          <t>Strawberries, 1kg</t>
        </is>
      </c>
      <c r="D56" s="17" t="n">
        <v>137110</v>
      </c>
      <c r="E56" s="18" t="n"/>
      <c r="G56" s="19">
        <f>IF(Data!AC30&gt;0,RANK(Data!AC30,Data!$AC$5:$AC$804),"")</f>
        <v/>
      </c>
      <c r="H56" s="19">
        <f>IF(N(D56)&gt;0,RANK(D56,$D$31:$D$830),"")</f>
        <v/>
      </c>
    </row>
    <row r="57">
      <c r="A57" s="15" t="n">
        <v>27</v>
      </c>
      <c r="B57" s="16" t="inlineStr">
        <is>
          <t>3012345479561</t>
        </is>
      </c>
      <c r="C57" s="7" t="inlineStr">
        <is>
          <t>Peach iced tea, 2l</t>
        </is>
      </c>
      <c r="D57" s="17" t="n">
        <v>68259</v>
      </c>
      <c r="E57" s="18" t="n"/>
      <c r="G57" s="19">
        <f>IF(Data!AC31&gt;0,RANK(Data!AC31,Data!$AC$5:$AC$804),"")</f>
        <v/>
      </c>
      <c r="H57" s="19">
        <f>IF(N(D57)&gt;0,RANK(D57,$D$31:$D$830),"")</f>
        <v/>
      </c>
    </row>
    <row r="58">
      <c r="A58" s="15" t="n">
        <v>28</v>
      </c>
      <c r="B58" s="16" t="inlineStr">
        <is>
          <t>3012345172820</t>
        </is>
      </c>
      <c r="C58" s="7" t="inlineStr">
        <is>
          <t>Pale ale, 10x330ml</t>
        </is>
      </c>
      <c r="D58" s="17" t="n">
        <v>41084</v>
      </c>
      <c r="E58" s="18" t="n"/>
      <c r="G58" s="19">
        <f>IF(Data!AC32&gt;0,RANK(Data!AC32,Data!$AC$5:$AC$804),"")</f>
        <v/>
      </c>
      <c r="H58" s="19">
        <f>IF(N(D58)&gt;0,RANK(D58,$D$31:$D$830),"")</f>
        <v/>
      </c>
    </row>
    <row r="59">
      <c r="A59" s="15" t="n">
        <v>29</v>
      </c>
      <c r="B59" s="16" t="inlineStr">
        <is>
          <t>2259917616680</t>
        </is>
      </c>
      <c r="C59" s="7" t="inlineStr">
        <is>
          <t>Pink Lady apples</t>
        </is>
      </c>
      <c r="D59" s="17" t="n"/>
      <c r="E59" s="18" t="n">
        <v>127738</v>
      </c>
      <c r="G59" s="19">
        <f>IF(Data!AC33&gt;0,RANK(Data!AC33,Data!$AC$5:$AC$804),"")</f>
        <v/>
      </c>
      <c r="H59" s="19">
        <f>IF(N(D59)&gt;0,RANK(D59,$D$31:$D$830),"")</f>
        <v/>
      </c>
    </row>
    <row r="60">
      <c r="A60" s="15" t="n">
        <v>30</v>
      </c>
      <c r="B60" s="16" t="inlineStr">
        <is>
          <t>4012345654707</t>
        </is>
      </c>
      <c r="C60" s="7" t="inlineStr">
        <is>
          <t>Cola, no sugar, 24x330ml</t>
        </is>
      </c>
      <c r="D60" s="17" t="n">
        <v>16002</v>
      </c>
      <c r="E60" s="18" t="n"/>
      <c r="G60" s="19">
        <f>IF(Data!AC34&gt;0,RANK(Data!AC34,Data!$AC$5:$AC$804),"")</f>
        <v/>
      </c>
      <c r="H60" s="19">
        <f>IF(N(D60)&gt;0,RANK(D60,$D$31:$D$830),"")</f>
        <v/>
      </c>
    </row>
    <row r="61">
      <c r="A61" s="15" t="n">
        <v>31</v>
      </c>
      <c r="B61" s="16" t="inlineStr">
        <is>
          <t>3012345916011</t>
        </is>
      </c>
      <c r="C61" s="7" t="inlineStr">
        <is>
          <t>Still mineral water, 1.5l</t>
        </is>
      </c>
      <c r="D61" s="17" t="n">
        <v>80818</v>
      </c>
      <c r="E61" s="18" t="n"/>
      <c r="G61" s="19">
        <f>IF(Data!AC35&gt;0,RANK(Data!AC35,Data!$AC$5:$AC$804),"")</f>
        <v/>
      </c>
      <c r="H61" s="19">
        <f>IF(N(D61)&gt;0,RANK(D61,$D$31:$D$830),"")</f>
        <v/>
      </c>
    </row>
    <row r="62">
      <c r="A62" s="15" t="n">
        <v>32</v>
      </c>
      <c r="B62" s="16" t="inlineStr">
        <is>
          <t>8712345659196</t>
        </is>
      </c>
      <c r="C62" s="7" t="inlineStr">
        <is>
          <t>Orange juice with bits, 1l</t>
        </is>
      </c>
      <c r="D62" s="17" t="n">
        <v>114125</v>
      </c>
      <c r="E62" s="18" t="n"/>
      <c r="G62" s="19">
        <f>IF(Data!AC36&gt;0,RANK(Data!AC36,Data!$AC$5:$AC$804),"")</f>
        <v/>
      </c>
      <c r="H62" s="19">
        <f>IF(N(D62)&gt;0,RANK(D62,$D$31:$D$830),"")</f>
        <v/>
      </c>
    </row>
    <row r="63">
      <c r="A63" s="15" t="n">
        <v>33</v>
      </c>
      <c r="B63" s="16" t="inlineStr">
        <is>
          <t>3012345822404</t>
        </is>
      </c>
      <c r="C63" s="7" t="inlineStr">
        <is>
          <t>Natural skyr, 500g</t>
        </is>
      </c>
      <c r="D63" s="17" t="n">
        <v>233767</v>
      </c>
      <c r="E63" s="18" t="n"/>
      <c r="G63" s="19">
        <f>IF(Data!AC37&gt;0,RANK(Data!AC37,Data!$AC$5:$AC$804),"")</f>
        <v/>
      </c>
      <c r="H63" s="19">
        <f>IF(N(D63)&gt;0,RANK(D63,$D$31:$D$830),"")</f>
        <v/>
      </c>
    </row>
    <row r="64">
      <c r="A64" s="15" t="n">
        <v>34</v>
      </c>
      <c r="B64" s="16" t="inlineStr">
        <is>
          <t>8712345922603</t>
        </is>
      </c>
      <c r="C64" s="7" t="inlineStr">
        <is>
          <t>Gala apples, 1kg</t>
        </is>
      </c>
      <c r="D64" s="17" t="n">
        <v>115939</v>
      </c>
      <c r="E64" s="18" t="n"/>
      <c r="G64" s="19">
        <f>IF(Data!AC38&gt;0,RANK(Data!AC38,Data!$AC$5:$AC$804),"")</f>
        <v/>
      </c>
      <c r="H64" s="19">
        <f>IF(N(D64)&gt;0,RANK(D64,$D$31:$D$830),"")</f>
        <v/>
      </c>
    </row>
    <row r="65">
      <c r="A65" s="15" t="n">
        <v>35</v>
      </c>
      <c r="B65" s="16" t="inlineStr">
        <is>
          <t>8712345281137</t>
        </is>
      </c>
      <c r="C65" s="7" t="inlineStr">
        <is>
          <t>White potatoes, 2.5kg</t>
        </is>
      </c>
      <c r="D65" s="17" t="n">
        <v>45692</v>
      </c>
      <c r="E65" s="18" t="n"/>
      <c r="G65" s="19">
        <f>IF(Data!AC39&gt;0,RANK(Data!AC39,Data!$AC$5:$AC$804),"")</f>
        <v/>
      </c>
      <c r="H65" s="19">
        <f>IF(N(D65)&gt;0,RANK(D65,$D$31:$D$830),"")</f>
        <v/>
      </c>
    </row>
    <row r="66">
      <c r="A66" s="15" t="n">
        <v>36</v>
      </c>
      <c r="B66" s="16" t="inlineStr">
        <is>
          <t>4012345255560</t>
        </is>
      </c>
      <c r="C66" s="7" t="inlineStr">
        <is>
          <t>Arborio rice, 2kg</t>
        </is>
      </c>
      <c r="D66" s="17" t="n">
        <v>56403</v>
      </c>
      <c r="E66" s="18" t="n"/>
      <c r="G66" s="19">
        <f>IF(Data!AC40&gt;0,RANK(Data!AC40,Data!$AC$5:$AC$804),"")</f>
        <v/>
      </c>
      <c r="H66" s="19">
        <f>IF(N(D66)&gt;0,RANK(D66,$D$31:$D$830),"")</f>
        <v/>
      </c>
    </row>
    <row r="67">
      <c r="A67" s="15" t="n">
        <v>37</v>
      </c>
      <c r="B67" s="16" t="inlineStr">
        <is>
          <t>5012345013190</t>
        </is>
      </c>
      <c r="C67" s="7" t="inlineStr">
        <is>
          <t>Rosé wine, 3x75cl</t>
        </is>
      </c>
      <c r="D67" s="17" t="n">
        <v>49881</v>
      </c>
      <c r="E67" s="18" t="n"/>
      <c r="G67" s="19">
        <f>IF(Data!AC41&gt;0,RANK(Data!AC41,Data!$AC$5:$AC$804),"")</f>
        <v/>
      </c>
      <c r="H67" s="19">
        <f>IF(N(D67)&gt;0,RANK(D67,$D$31:$D$830),"")</f>
        <v/>
      </c>
    </row>
    <row r="68">
      <c r="A68" s="15" t="n">
        <v>38</v>
      </c>
      <c r="B68" s="16" t="inlineStr">
        <is>
          <t>3012345318525</t>
        </is>
      </c>
      <c r="C68" s="7" t="inlineStr">
        <is>
          <t>Merlot red wine, 3x75cl</t>
        </is>
      </c>
      <c r="D68" s="17" t="n">
        <v>49859</v>
      </c>
      <c r="E68" s="18" t="n"/>
      <c r="G68" s="19">
        <f>IF(Data!AC42&gt;0,RANK(Data!AC42,Data!$AC$5:$AC$804),"")</f>
        <v/>
      </c>
      <c r="H68" s="19">
        <f>IF(N(D68)&gt;0,RANK(D68,$D$31:$D$830),"")</f>
        <v/>
      </c>
    </row>
    <row r="69">
      <c r="A69" s="15" t="n">
        <v>39</v>
      </c>
      <c r="B69" s="16" t="inlineStr">
        <is>
          <t>8712345487935</t>
        </is>
      </c>
      <c r="C69" s="7" t="inlineStr">
        <is>
          <t>Raspberries, 1kg</t>
        </is>
      </c>
      <c r="D69" s="17" t="n">
        <v>110992</v>
      </c>
      <c r="E69" s="18" t="n"/>
      <c r="G69" s="19">
        <f>IF(Data!AC43&gt;0,RANK(Data!AC43,Data!$AC$5:$AC$804),"")</f>
        <v/>
      </c>
      <c r="H69" s="19">
        <f>IF(N(D69)&gt;0,RANK(D69,$D$31:$D$830),"")</f>
        <v/>
      </c>
    </row>
    <row r="70">
      <c r="A70" s="15" t="n">
        <v>40</v>
      </c>
      <c r="B70" s="16" t="inlineStr">
        <is>
          <t>4012345990492</t>
        </is>
      </c>
      <c r="C70" s="7" t="inlineStr">
        <is>
          <t>Whole milk, 4pt 2.27l</t>
        </is>
      </c>
      <c r="D70" s="17" t="n">
        <v>47291</v>
      </c>
      <c r="E70" s="18" t="n"/>
      <c r="G70" s="19">
        <f>IF(Data!AC44&gt;0,RANK(Data!AC44,Data!$AC$5:$AC$804),"")</f>
        <v/>
      </c>
      <c r="H70" s="19">
        <f>IF(N(D70)&gt;0,RANK(D70,$D$31:$D$830),"")</f>
        <v/>
      </c>
    </row>
    <row r="71">
      <c r="A71" s="15" t="n">
        <v>41</v>
      </c>
      <c r="B71" s="16" t="inlineStr">
        <is>
          <t>4012345039900</t>
        </is>
      </c>
      <c r="C71" s="7" t="inlineStr">
        <is>
          <t>Chicken mini fillets, 650g</t>
        </is>
      </c>
      <c r="D71" s="17" t="n">
        <v>167794</v>
      </c>
      <c r="E71" s="18" t="n"/>
      <c r="G71" s="19">
        <f>IF(Data!AC45&gt;0,RANK(Data!AC45,Data!$AC$5:$AC$804),"")</f>
        <v/>
      </c>
      <c r="H71" s="19">
        <f>IF(N(D71)&gt;0,RANK(D71,$D$31:$D$830),"")</f>
        <v/>
      </c>
    </row>
    <row r="72">
      <c r="A72" s="15" t="n">
        <v>42</v>
      </c>
      <c r="B72" s="16" t="inlineStr">
        <is>
          <t>8712345961398</t>
        </is>
      </c>
      <c r="C72" s="7" t="inlineStr">
        <is>
          <t>Cloudy lemonade, 1.5l</t>
        </is>
      </c>
      <c r="D72" s="17" t="n">
        <v>72037</v>
      </c>
      <c r="E72" s="18" t="n"/>
      <c r="G72" s="19">
        <f>IF(Data!AC46&gt;0,RANK(Data!AC46,Data!$AC$5:$AC$804),"")</f>
        <v/>
      </c>
      <c r="H72" s="19">
        <f>IF(N(D72)&gt;0,RANK(D72,$D$31:$D$830),"")</f>
        <v/>
      </c>
    </row>
    <row r="73">
      <c r="A73" s="15" t="n">
        <v>43</v>
      </c>
      <c r="B73" s="16" t="inlineStr">
        <is>
          <t>3012345019293</t>
        </is>
      </c>
      <c r="C73" s="7" t="inlineStr">
        <is>
          <t>Pink Lady apples, 1kg</t>
        </is>
      </c>
      <c r="D73" s="17" t="n">
        <v>105635</v>
      </c>
      <c r="E73" s="18" t="n"/>
      <c r="G73" s="19">
        <f>IF(Data!AC47&gt;0,RANK(Data!AC47,Data!$AC$5:$AC$804),"")</f>
        <v/>
      </c>
      <c r="H73" s="19">
        <f>IF(N(D73)&gt;0,RANK(D73,$D$31:$D$830),"")</f>
        <v/>
      </c>
    </row>
    <row r="74">
      <c r="A74" s="15" t="n">
        <v>44</v>
      </c>
      <c r="B74" s="16" t="inlineStr">
        <is>
          <t>8712345470241</t>
        </is>
      </c>
      <c r="C74" s="7" t="inlineStr">
        <is>
          <t>Skimmed milk, 1l</t>
        </is>
      </c>
      <c r="D74" s="17" t="n">
        <v>100518</v>
      </c>
      <c r="E74" s="18" t="n"/>
      <c r="G74" s="19">
        <f>IF(Data!AC48&gt;0,RANK(Data!AC48,Data!$AC$5:$AC$804),"")</f>
        <v/>
      </c>
      <c r="H74" s="19">
        <f>IF(N(D74)&gt;0,RANK(D74,$D$31:$D$830),"")</f>
        <v/>
      </c>
    </row>
    <row r="75">
      <c r="A75" s="15" t="n">
        <v>45</v>
      </c>
      <c r="B75" s="16" t="inlineStr">
        <is>
          <t>8712345997670</t>
        </is>
      </c>
      <c r="C75" s="7" t="inlineStr">
        <is>
          <t>Penne rigate, 3kg</t>
        </is>
      </c>
      <c r="D75" s="17" t="n">
        <v>34212</v>
      </c>
      <c r="E75" s="18" t="n"/>
      <c r="G75" s="19">
        <f>IF(Data!AC49&gt;0,RANK(Data!AC49,Data!$AC$5:$AC$804),"")</f>
        <v/>
      </c>
      <c r="H75" s="19">
        <f>IF(N(D75)&gt;0,RANK(D75,$D$31:$D$830),"")</f>
        <v/>
      </c>
    </row>
    <row r="76">
      <c r="A76" s="15" t="n">
        <v>46</v>
      </c>
      <c r="B76" s="16" t="inlineStr">
        <is>
          <t>8712345998424</t>
        </is>
      </c>
      <c r="C76" s="7" t="inlineStr">
        <is>
          <t>Pale ale, 4x440ml</t>
        </is>
      </c>
      <c r="D76" s="17" t="n">
        <v>56621</v>
      </c>
      <c r="E76" s="18" t="n"/>
      <c r="G76" s="19">
        <f>IF(Data!AC50&gt;0,RANK(Data!AC50,Data!$AC$5:$AC$804),"")</f>
        <v/>
      </c>
      <c r="H76" s="19">
        <f>IF(N(D76)&gt;0,RANK(D76,$D$31:$D$830),"")</f>
        <v/>
      </c>
    </row>
    <row r="77">
      <c r="A77" s="15" t="n">
        <v>47</v>
      </c>
      <c r="B77" s="16" t="inlineStr">
        <is>
          <t>5012345916170</t>
        </is>
      </c>
      <c r="C77" s="7" t="inlineStr">
        <is>
          <t>Farfalle, 3kg</t>
        </is>
      </c>
      <c r="D77" s="17" t="n">
        <v>32328</v>
      </c>
      <c r="E77" s="18" t="n"/>
      <c r="G77" s="19">
        <f>IF(Data!AC51&gt;0,RANK(Data!AC51,Data!$AC$5:$AC$804),"")</f>
        <v/>
      </c>
      <c r="H77" s="19">
        <f>IF(N(D77)&gt;0,RANK(D77,$D$31:$D$830),"")</f>
        <v/>
      </c>
    </row>
    <row r="78">
      <c r="A78" s="15" t="n">
        <v>48</v>
      </c>
      <c r="B78" s="16" t="inlineStr">
        <is>
          <t>8712345973469</t>
        </is>
      </c>
      <c r="C78" s="7" t="inlineStr">
        <is>
          <t>Penne rigate, 500g</t>
        </is>
      </c>
      <c r="D78" s="17" t="n">
        <v>191991</v>
      </c>
      <c r="E78" s="18" t="n"/>
      <c r="G78" s="19">
        <f>IF(Data!AC52&gt;0,RANK(Data!AC52,Data!$AC$5:$AC$804),"")</f>
        <v/>
      </c>
      <c r="H78" s="19">
        <f>IF(N(D78)&gt;0,RANK(D78,$D$31:$D$830),"")</f>
        <v/>
      </c>
    </row>
    <row r="79">
      <c r="A79" s="15" t="n">
        <v>49</v>
      </c>
      <c r="B79" s="16" t="inlineStr">
        <is>
          <t>5012345048253</t>
        </is>
      </c>
      <c r="C79" s="7" t="inlineStr">
        <is>
          <t>Strawberry skyr, 6x125g</t>
        </is>
      </c>
      <c r="D79" s="17" t="n">
        <v>127860</v>
      </c>
      <c r="E79" s="18" t="n"/>
      <c r="G79" s="19">
        <f>IF(Data!AC53&gt;0,RANK(Data!AC53,Data!$AC$5:$AC$804),"")</f>
        <v/>
      </c>
      <c r="H79" s="19">
        <f>IF(N(D79)&gt;0,RANK(D79,$D$31:$D$830),"")</f>
        <v/>
      </c>
    </row>
    <row r="80">
      <c r="A80" s="15" t="n">
        <v>50</v>
      </c>
      <c r="B80" s="16" t="inlineStr">
        <is>
          <t>4012345463101</t>
        </is>
      </c>
      <c r="C80" s="7" t="inlineStr">
        <is>
          <t>Cola, 6x330ml</t>
        </is>
      </c>
      <c r="D80" s="17" t="n">
        <v>48141</v>
      </c>
      <c r="E80" s="18" t="n"/>
      <c r="G80" s="19">
        <f>IF(Data!AC54&gt;0,RANK(Data!AC54,Data!$AC$5:$AC$804),"")</f>
        <v/>
      </c>
      <c r="H80" s="19">
        <f>IF(N(D80)&gt;0,RANK(D80,$D$31:$D$830),"")</f>
        <v/>
      </c>
    </row>
    <row r="81">
      <c r="A81" s="15" t="n">
        <v>51</v>
      </c>
      <c r="B81" s="16" t="inlineStr">
        <is>
          <t>8712345869571</t>
        </is>
      </c>
      <c r="C81" s="7" t="inlineStr">
        <is>
          <t>Couscous, 1kg</t>
        </is>
      </c>
      <c r="D81" s="17" t="n">
        <v>94691</v>
      </c>
      <c r="E81" s="18" t="n"/>
      <c r="G81" s="19">
        <f>IF(Data!AC55&gt;0,RANK(Data!AC55,Data!$AC$5:$AC$804),"")</f>
        <v/>
      </c>
      <c r="H81" s="19">
        <f>IF(N(D81)&gt;0,RANK(D81,$D$31:$D$830),"")</f>
        <v/>
      </c>
    </row>
    <row r="82">
      <c r="A82" s="15" t="n">
        <v>52</v>
      </c>
      <c r="B82" s="16" t="inlineStr">
        <is>
          <t>8712345150099</t>
        </is>
      </c>
      <c r="C82" s="7" t="inlineStr">
        <is>
          <t>Oat drink, barista edition, 6x1l</t>
        </is>
      </c>
      <c r="D82" s="17" t="n">
        <v>15266</v>
      </c>
      <c r="E82" s="18" t="n"/>
      <c r="G82" s="19">
        <f>IF(Data!AC56&gt;0,RANK(Data!AC56,Data!$AC$5:$AC$804),"")</f>
        <v/>
      </c>
      <c r="H82" s="19">
        <f>IF(N(D82)&gt;0,RANK(D82,$D$31:$D$830),"")</f>
        <v/>
      </c>
    </row>
    <row r="83">
      <c r="A83" s="15" t="n">
        <v>53</v>
      </c>
      <c r="B83" s="16" t="inlineStr">
        <is>
          <t>3012345480253</t>
        </is>
      </c>
      <c r="C83" s="7" t="inlineStr">
        <is>
          <t>Lactose-free semi-skimmed milk, 500ml</t>
        </is>
      </c>
      <c r="D83" s="17" t="n">
        <v>182022</v>
      </c>
      <c r="E83" s="18" t="n"/>
      <c r="G83" s="19">
        <f>IF(Data!AC57&gt;0,RANK(Data!AC57,Data!$AC$5:$AC$804),"")</f>
        <v/>
      </c>
      <c r="H83" s="19">
        <f>IF(N(D83)&gt;0,RANK(D83,$D$31:$D$830),"")</f>
        <v/>
      </c>
    </row>
    <row r="84">
      <c r="A84" s="15" t="n">
        <v>54</v>
      </c>
      <c r="B84" s="16" t="inlineStr">
        <is>
          <t>8712345384821</t>
        </is>
      </c>
      <c r="C84" s="7" t="inlineStr">
        <is>
          <t>Sweet potatoes, 1kg</t>
        </is>
      </c>
      <c r="D84" s="17" t="n">
        <v>91940</v>
      </c>
      <c r="E84" s="18" t="n"/>
      <c r="G84" s="19">
        <f>IF(Data!AC58&gt;0,RANK(Data!AC58,Data!$AC$5:$AC$804),"")</f>
        <v/>
      </c>
      <c r="H84" s="19">
        <f>IF(N(D84)&gt;0,RANK(D84,$D$31:$D$830),"")</f>
        <v/>
      </c>
    </row>
    <row r="85">
      <c r="A85" s="15" t="n">
        <v>55</v>
      </c>
      <c r="B85" s="16" t="inlineStr">
        <is>
          <t>5012345017563</t>
        </is>
      </c>
      <c r="C85" s="7" t="inlineStr">
        <is>
          <t>Bananas, 1kg</t>
        </is>
      </c>
      <c r="D85" s="17" t="n">
        <v>90739</v>
      </c>
      <c r="E85" s="18" t="n"/>
      <c r="G85" s="19">
        <f>IF(Data!AC59&gt;0,RANK(Data!AC59,Data!$AC$5:$AC$804),"")</f>
        <v/>
      </c>
      <c r="H85" s="19">
        <f>IF(N(D85)&gt;0,RANK(D85,$D$31:$D$830),"")</f>
        <v/>
      </c>
    </row>
    <row r="86">
      <c r="A86" s="15" t="n">
        <v>56</v>
      </c>
      <c r="B86" s="16" t="inlineStr">
        <is>
          <t>5012345516813</t>
        </is>
      </c>
      <c r="C86" s="7" t="inlineStr">
        <is>
          <t>Semi-skimmed milk, 4pt 2.27l</t>
        </is>
      </c>
      <c r="D86" s="17" t="n">
        <v>37637</v>
      </c>
      <c r="E86" s="18" t="n"/>
      <c r="G86" s="19">
        <f>IF(Data!AC60&gt;0,RANK(Data!AC60,Data!$AC$5:$AC$804),"")</f>
        <v/>
      </c>
      <c r="H86" s="19">
        <f>IF(N(D86)&gt;0,RANK(D86,$D$31:$D$830),"")</f>
        <v/>
      </c>
    </row>
    <row r="87">
      <c r="A87" s="15" t="n">
        <v>57</v>
      </c>
      <c r="B87" s="16" t="inlineStr">
        <is>
          <t>2253080743130</t>
        </is>
      </c>
      <c r="C87" s="7" t="inlineStr">
        <is>
          <t>Oranges</t>
        </is>
      </c>
      <c r="D87" s="17" t="n"/>
      <c r="E87" s="18" t="n">
        <v>86257</v>
      </c>
      <c r="G87" s="19">
        <f>IF(Data!AC61&gt;0,RANK(Data!AC61,Data!$AC$5:$AC$804),"")</f>
        <v/>
      </c>
      <c r="H87" s="19">
        <f>IF(N(D87)&gt;0,RANK(D87,$D$31:$D$830),"")</f>
        <v/>
      </c>
    </row>
    <row r="88">
      <c r="A88" s="15" t="n">
        <v>58</v>
      </c>
      <c r="B88" s="16" t="inlineStr">
        <is>
          <t>5012345403236</t>
        </is>
      </c>
      <c r="C88" s="7" t="inlineStr">
        <is>
          <t>Free-range eggs, 15pk</t>
        </is>
      </c>
      <c r="D88" s="17" t="n">
        <v>94635</v>
      </c>
      <c r="E88" s="18" t="n"/>
      <c r="G88" s="19">
        <f>IF(Data!AC62&gt;0,RANK(Data!AC62,Data!$AC$5:$AC$804),"")</f>
        <v/>
      </c>
      <c r="H88" s="19">
        <f>IF(N(D88)&gt;0,RANK(D88,$D$31:$D$830),"")</f>
        <v/>
      </c>
    </row>
    <row r="89">
      <c r="A89" s="15" t="n">
        <v>59</v>
      </c>
      <c r="B89" s="16" t="inlineStr">
        <is>
          <t>2820503816140</t>
        </is>
      </c>
      <c r="C89" s="7" t="inlineStr">
        <is>
          <t>Clementines</t>
        </is>
      </c>
      <c r="D89" s="17" t="n"/>
      <c r="E89" s="18" t="n">
        <v>85028</v>
      </c>
      <c r="G89" s="19">
        <f>IF(Data!AC63&gt;0,RANK(Data!AC63,Data!$AC$5:$AC$804),"")</f>
        <v/>
      </c>
      <c r="H89" s="19">
        <f>IF(N(D89)&gt;0,RANK(D89,$D$31:$D$830),"")</f>
        <v/>
      </c>
    </row>
    <row r="90">
      <c r="A90" s="15" t="n">
        <v>60</v>
      </c>
      <c r="B90" s="16" t="inlineStr">
        <is>
          <t>8712345128807</t>
        </is>
      </c>
      <c r="C90" s="7" t="inlineStr">
        <is>
          <t>Sieved tomatoes (passata), 500g</t>
        </is>
      </c>
      <c r="D90" s="17" t="n">
        <v>165867</v>
      </c>
      <c r="E90" s="18" t="n"/>
      <c r="G90" s="19">
        <f>IF(Data!AC64&gt;0,RANK(Data!AC64,Data!$AC$5:$AC$804),"")</f>
        <v/>
      </c>
      <c r="H90" s="19">
        <f>IF(N(D90)&gt;0,RANK(D90,$D$31:$D$830),"")</f>
        <v/>
      </c>
    </row>
    <row r="91">
      <c r="A91" s="15" t="n">
        <v>61</v>
      </c>
      <c r="B91" s="16" t="inlineStr">
        <is>
          <t>5012345947273</t>
        </is>
      </c>
      <c r="C91" s="7" t="inlineStr">
        <is>
          <t>Rye bread, 800g</t>
        </is>
      </c>
      <c r="D91" s="17" t="n">
        <v>103105</v>
      </c>
      <c r="E91" s="18" t="n"/>
      <c r="G91" s="19">
        <f>IF(Data!AC65&gt;0,RANK(Data!AC65,Data!$AC$5:$AC$804),"")</f>
        <v/>
      </c>
      <c r="H91" s="19">
        <f>IF(N(D91)&gt;0,RANK(D91,$D$31:$D$830),"")</f>
        <v/>
      </c>
    </row>
    <row r="92">
      <c r="A92" s="15" t="n">
        <v>62</v>
      </c>
      <c r="B92" s="16" t="inlineStr">
        <is>
          <t>3012345110730</t>
        </is>
      </c>
      <c r="C92" s="7" t="inlineStr">
        <is>
          <t>Chicken wings, 1kg</t>
        </is>
      </c>
      <c r="D92" s="17" t="n">
        <v>80932</v>
      </c>
      <c r="E92" s="18" t="n"/>
      <c r="G92" s="19">
        <f>IF(Data!AC66&gt;0,RANK(Data!AC66,Data!$AC$5:$AC$804),"")</f>
        <v/>
      </c>
      <c r="H92" s="19">
        <f>IF(N(D92)&gt;0,RANK(D92,$D$31:$D$830),"")</f>
        <v/>
      </c>
    </row>
    <row r="93">
      <c r="A93" s="15" t="n">
        <v>63</v>
      </c>
      <c r="B93" s="16" t="inlineStr">
        <is>
          <t>8712345766924</t>
        </is>
      </c>
      <c r="C93" s="7" t="inlineStr">
        <is>
          <t>Seedless red grapes, 1kg</t>
        </is>
      </c>
      <c r="D93" s="17" t="n">
        <v>80150</v>
      </c>
      <c r="E93" s="18" t="n"/>
      <c r="G93" s="19">
        <f>IF(Data!AC67&gt;0,RANK(Data!AC67,Data!$AC$5:$AC$804),"")</f>
        <v/>
      </c>
      <c r="H93" s="19">
        <f>IF(N(D93)&gt;0,RANK(D93,$D$31:$D$830),"")</f>
        <v/>
      </c>
    </row>
    <row r="94">
      <c r="A94" s="15" t="n">
        <v>64</v>
      </c>
      <c r="B94" s="16" t="inlineStr">
        <is>
          <t>4012345124340</t>
        </is>
      </c>
      <c r="C94" s="7" t="inlineStr">
        <is>
          <t>Pink Lady apples, 6pk</t>
        </is>
      </c>
      <c r="D94" s="17" t="n">
        <v>88505</v>
      </c>
      <c r="E94" s="18" t="n"/>
      <c r="G94" s="19">
        <f>IF(Data!AC68&gt;0,RANK(Data!AC68,Data!$AC$5:$AC$804),"")</f>
        <v/>
      </c>
      <c r="H94" s="19">
        <f>IF(N(D94)&gt;0,RANK(D94,$D$31:$D$830),"")</f>
        <v/>
      </c>
    </row>
    <row r="95">
      <c r="A95" s="15" t="n">
        <v>65</v>
      </c>
      <c r="B95" s="16" t="inlineStr">
        <is>
          <t>4012345709186</t>
        </is>
      </c>
      <c r="C95" s="7" t="inlineStr">
        <is>
          <t>Green tea bags, 1kg</t>
        </is>
      </c>
      <c r="D95" s="17" t="n">
        <v>79522</v>
      </c>
      <c r="E95" s="18" t="n"/>
      <c r="G95" s="19">
        <f>IF(Data!AC69&gt;0,RANK(Data!AC69,Data!$AC$5:$AC$804),"")</f>
        <v/>
      </c>
      <c r="H95" s="19">
        <f>IF(N(D95)&gt;0,RANK(D95,$D$31:$D$830),"")</f>
        <v/>
      </c>
    </row>
    <row r="96">
      <c r="A96" s="15" t="n">
        <v>66</v>
      </c>
      <c r="B96" s="16" t="inlineStr">
        <is>
          <t>4012345085433</t>
        </is>
      </c>
      <c r="C96" s="7" t="inlineStr">
        <is>
          <t>Chopped tomatoes, 690g</t>
        </is>
      </c>
      <c r="D96" s="17" t="n">
        <v>114779</v>
      </c>
      <c r="E96" s="18" t="n"/>
      <c r="G96" s="19">
        <f>IF(Data!AC70&gt;0,RANK(Data!AC70,Data!$AC$5:$AC$804),"")</f>
        <v/>
      </c>
      <c r="H96" s="19">
        <f>IF(N(D96)&gt;0,RANK(D96,$D$31:$D$830),"")</f>
        <v/>
      </c>
    </row>
    <row r="97">
      <c r="A97" s="15" t="n">
        <v>67</v>
      </c>
      <c r="B97" s="16" t="inlineStr">
        <is>
          <t>4012345770476</t>
        </is>
      </c>
      <c r="C97" s="7" t="inlineStr">
        <is>
          <t>Large eggs, 15pk</t>
        </is>
      </c>
      <c r="D97" s="17" t="n">
        <v>86454</v>
      </c>
      <c r="E97" s="18" t="n"/>
      <c r="G97" s="19">
        <f>IF(Data!AC71&gt;0,RANK(Data!AC71,Data!$AC$5:$AC$804),"")</f>
        <v/>
      </c>
      <c r="H97" s="19">
        <f>IF(N(D97)&gt;0,RANK(D97,$D$31:$D$830),"")</f>
        <v/>
      </c>
    </row>
    <row r="98">
      <c r="A98" s="15" t="n">
        <v>68</v>
      </c>
      <c r="B98" s="16" t="inlineStr">
        <is>
          <t>8712345332105</t>
        </is>
      </c>
      <c r="C98" s="7" t="inlineStr">
        <is>
          <t>Wheat beer, 12x440ml</t>
        </is>
      </c>
      <c r="D98" s="17" t="n">
        <v>14736</v>
      </c>
      <c r="E98" s="18" t="n"/>
      <c r="G98" s="19">
        <f>IF(Data!AC72&gt;0,RANK(Data!AC72,Data!$AC$5:$AC$804),"")</f>
        <v/>
      </c>
      <c r="H98" s="19">
        <f>IF(N(D98)&gt;0,RANK(D98,$D$31:$D$830),"")</f>
        <v/>
      </c>
    </row>
    <row r="99">
      <c r="A99" s="15" t="n">
        <v>69</v>
      </c>
      <c r="B99" s="16" t="inlineStr">
        <is>
          <t>2755600676120</t>
        </is>
      </c>
      <c r="C99" s="7" t="inlineStr">
        <is>
          <t>Cucumber</t>
        </is>
      </c>
      <c r="D99" s="17" t="n"/>
      <c r="E99" s="18" t="n">
        <v>77008</v>
      </c>
      <c r="G99" s="19">
        <f>IF(Data!AC73&gt;0,RANK(Data!AC73,Data!$AC$5:$AC$804),"")</f>
        <v/>
      </c>
      <c r="H99" s="19">
        <f>IF(N(D99)&gt;0,RANK(D99,$D$31:$D$830),"")</f>
        <v/>
      </c>
    </row>
    <row r="100">
      <c r="A100" s="15" t="n">
        <v>70</v>
      </c>
      <c r="B100" s="16" t="inlineStr">
        <is>
          <t>4012345334944</t>
        </is>
      </c>
      <c r="C100" s="7" t="inlineStr">
        <is>
          <t>Oat drink, 6x1l</t>
        </is>
      </c>
      <c r="D100" s="17" t="n">
        <v>12459</v>
      </c>
      <c r="E100" s="18" t="n"/>
      <c r="G100" s="19">
        <f>IF(Data!AC74&gt;0,RANK(Data!AC74,Data!$AC$5:$AC$804),"")</f>
        <v/>
      </c>
      <c r="H100" s="19">
        <f>IF(N(D100)&gt;0,RANK(D100,$D$31:$D$830),"")</f>
        <v/>
      </c>
    </row>
    <row r="101">
      <c r="A101" s="15" t="n">
        <v>71</v>
      </c>
      <c r="B101" s="16" t="inlineStr">
        <is>
          <t>3012345557597</t>
        </is>
      </c>
      <c r="C101" s="7" t="inlineStr">
        <is>
          <t>Skimmed milk, 500ml</t>
        </is>
      </c>
      <c r="D101" s="17" t="n">
        <v>145136</v>
      </c>
      <c r="E101" s="18" t="n"/>
      <c r="G101" s="19">
        <f>IF(Data!AC75&gt;0,RANK(Data!AC75,Data!$AC$5:$AC$804),"")</f>
        <v/>
      </c>
      <c r="H101" s="19">
        <f>IF(N(D101)&gt;0,RANK(D101,$D$31:$D$830),"")</f>
        <v/>
      </c>
    </row>
    <row r="102">
      <c r="A102" s="15" t="n">
        <v>72</v>
      </c>
      <c r="B102" s="16" t="inlineStr">
        <is>
          <t>8712345206383</t>
        </is>
      </c>
      <c r="C102" s="7" t="inlineStr">
        <is>
          <t>Pork chipolatas, 454g</t>
        </is>
      </c>
      <c r="D102" s="17" t="n">
        <v>164059</v>
      </c>
      <c r="E102" s="18" t="n"/>
      <c r="G102" s="19">
        <f>IF(Data!AC76&gt;0,RANK(Data!AC76,Data!$AC$5:$AC$804),"")</f>
        <v/>
      </c>
      <c r="H102" s="19">
        <f>IF(N(D102)&gt;0,RANK(D102,$D$31:$D$830),"")</f>
        <v/>
      </c>
    </row>
    <row r="103">
      <c r="A103" s="15" t="n">
        <v>73</v>
      </c>
      <c r="B103" s="16" t="inlineStr">
        <is>
          <t>3012345108874</t>
        </is>
      </c>
      <c r="C103" s="7" t="inlineStr">
        <is>
          <t>Sunflower oil, 3l</t>
        </is>
      </c>
      <c r="D103" s="17" t="n">
        <v>26064</v>
      </c>
      <c r="E103" s="18" t="n"/>
      <c r="G103" s="19">
        <f>IF(Data!AC77&gt;0,RANK(Data!AC77,Data!$AC$5:$AC$804),"")</f>
        <v/>
      </c>
      <c r="H103" s="19">
        <f>IF(N(D103)&gt;0,RANK(D103,$D$31:$D$830),"")</f>
        <v/>
      </c>
    </row>
    <row r="104">
      <c r="A104" s="15" t="n">
        <v>74</v>
      </c>
      <c r="B104" s="16" t="inlineStr">
        <is>
          <t>3012345809092</t>
        </is>
      </c>
      <c r="C104" s="7" t="inlineStr">
        <is>
          <t>Chicken thighs, 650g</t>
        </is>
      </c>
      <c r="D104" s="17" t="n">
        <v>108349</v>
      </c>
      <c r="E104" s="18" t="n"/>
      <c r="G104" s="19">
        <f>IF(Data!AC78&gt;0,RANK(Data!AC78,Data!$AC$5:$AC$804),"")</f>
        <v/>
      </c>
      <c r="H104" s="19">
        <f>IF(N(D104)&gt;0,RANK(D104,$D$31:$D$830),"")</f>
        <v/>
      </c>
    </row>
    <row r="105">
      <c r="A105" s="15" t="n">
        <v>75</v>
      </c>
      <c r="B105" s="16" t="inlineStr">
        <is>
          <t>3012345833325</t>
        </is>
      </c>
      <c r="C105" s="7" t="inlineStr">
        <is>
          <t>Cola, no sugar, 1.5l</t>
        </is>
      </c>
      <c r="D105" s="17" t="n">
        <v>46447</v>
      </c>
      <c r="E105" s="18" t="n"/>
      <c r="G105" s="19">
        <f>IF(Data!AC79&gt;0,RANK(Data!AC79,Data!$AC$5:$AC$804),"")</f>
        <v/>
      </c>
      <c r="H105" s="19">
        <f>IF(N(D105)&gt;0,RANK(D105,$D$31:$D$830),"")</f>
        <v/>
      </c>
    </row>
    <row r="106">
      <c r="A106" s="15" t="n">
        <v>76</v>
      </c>
      <c r="B106" s="16" t="inlineStr">
        <is>
          <t>3012345264785</t>
        </is>
      </c>
      <c r="C106" s="7" t="inlineStr">
        <is>
          <t>Iceberg lettuce, 300g</t>
        </is>
      </c>
      <c r="D106" s="17" t="n">
        <v>229181</v>
      </c>
      <c r="E106" s="18" t="n"/>
      <c r="G106" s="19">
        <f>IF(Data!AC80&gt;0,RANK(Data!AC80,Data!$AC$5:$AC$804),"")</f>
        <v/>
      </c>
      <c r="H106" s="19">
        <f>IF(N(D106)&gt;0,RANK(D106,$D$31:$D$830),"")</f>
        <v/>
      </c>
    </row>
    <row r="107">
      <c r="A107" s="15" t="n">
        <v>77</v>
      </c>
      <c r="B107" s="16" t="inlineStr">
        <is>
          <t>4012345026191</t>
        </is>
      </c>
      <c r="C107" s="7" t="inlineStr">
        <is>
          <t>Spaghetti, 1kg</t>
        </is>
      </c>
      <c r="D107" s="17" t="n">
        <v>68449</v>
      </c>
      <c r="E107" s="18" t="n"/>
      <c r="G107" s="19">
        <f>IF(Data!AC81&gt;0,RANK(Data!AC81,Data!$AC$5:$AC$804),"")</f>
        <v/>
      </c>
      <c r="H107" s="19">
        <f>IF(N(D107)&gt;0,RANK(D107,$D$31:$D$830),"")</f>
        <v/>
      </c>
    </row>
    <row r="108">
      <c r="A108" s="15" t="n">
        <v>78</v>
      </c>
      <c r="B108" s="16" t="inlineStr">
        <is>
          <t>2023214764290</t>
        </is>
      </c>
      <c r="C108" s="7" t="inlineStr">
        <is>
          <t>Courgettes</t>
        </is>
      </c>
      <c r="D108" s="17" t="n"/>
      <c r="E108" s="18" t="n">
        <v>68286</v>
      </c>
      <c r="G108" s="19">
        <f>IF(Data!AC82&gt;0,RANK(Data!AC82,Data!$AC$5:$AC$804),"")</f>
        <v/>
      </c>
      <c r="H108" s="19">
        <f>IF(N(D108)&gt;0,RANK(D108,$D$31:$D$830),"")</f>
        <v/>
      </c>
    </row>
    <row r="109">
      <c r="A109" s="15" t="n">
        <v>79</v>
      </c>
      <c r="B109" s="16" t="inlineStr">
        <is>
          <t>3012345036627</t>
        </is>
      </c>
      <c r="C109" s="7" t="inlineStr">
        <is>
          <t>Still mineral water, 500ml</t>
        </is>
      </c>
      <c r="D109" s="17" t="n">
        <v>136525</v>
      </c>
      <c r="E109" s="18" t="n"/>
      <c r="G109" s="19">
        <f>IF(Data!AC83&gt;0,RANK(Data!AC83,Data!$AC$5:$AC$804),"")</f>
        <v/>
      </c>
      <c r="H109" s="19">
        <f>IF(N(D109)&gt;0,RANK(D109,$D$31:$D$830),"")</f>
        <v/>
      </c>
    </row>
    <row r="110">
      <c r="A110" s="15" t="n">
        <v>80</v>
      </c>
      <c r="B110" s="16" t="inlineStr">
        <is>
          <t>5012345306339</t>
        </is>
      </c>
      <c r="C110" s="7" t="inlineStr">
        <is>
          <t>Leeks, 1kg</t>
        </is>
      </c>
      <c r="D110" s="17" t="n">
        <v>68165</v>
      </c>
      <c r="E110" s="18" t="n"/>
      <c r="G110" s="19">
        <f>IF(Data!AC84&gt;0,RANK(Data!AC84,Data!$AC$5:$AC$804),"")</f>
        <v/>
      </c>
      <c r="H110" s="19">
        <f>IF(N(D110)&gt;0,RANK(D110,$D$31:$D$830),"")</f>
        <v/>
      </c>
    </row>
    <row r="111">
      <c r="A111" s="15" t="n">
        <v>81</v>
      </c>
      <c r="B111" s="16" t="inlineStr">
        <is>
          <t>3012345972864</t>
        </is>
      </c>
      <c r="C111" s="7" t="inlineStr">
        <is>
          <t>Plain tortilla wraps, 6pk 360g</t>
        </is>
      </c>
      <c r="D111" s="17" t="n">
        <v>188950</v>
      </c>
      <c r="E111" s="18" t="n"/>
      <c r="G111" s="19">
        <f>IF(Data!AC85&gt;0,RANK(Data!AC85,Data!$AC$5:$AC$804),"")</f>
        <v/>
      </c>
      <c r="H111" s="19">
        <f>IF(N(D111)&gt;0,RANK(D111,$D$31:$D$830),"")</f>
        <v/>
      </c>
    </row>
    <row r="112">
      <c r="A112" s="15" t="n">
        <v>82</v>
      </c>
      <c r="B112" s="16" t="inlineStr">
        <is>
          <t>4012345263091</t>
        </is>
      </c>
      <c r="C112" s="7" t="inlineStr">
        <is>
          <t>Chicken drumsticks, 500g</t>
        </is>
      </c>
      <c r="D112" s="17" t="n">
        <v>135834</v>
      </c>
      <c r="E112" s="18" t="n"/>
      <c r="G112" s="19">
        <f>IF(Data!AC86&gt;0,RANK(Data!AC86,Data!$AC$5:$AC$804),"")</f>
        <v/>
      </c>
      <c r="H112" s="19">
        <f>IF(N(D112)&gt;0,RANK(D112,$D$31:$D$830),"")</f>
        <v/>
      </c>
    </row>
    <row r="113">
      <c r="A113" s="15" t="n">
        <v>83</v>
      </c>
      <c r="B113" s="16" t="inlineStr">
        <is>
          <t>4012345586077</t>
        </is>
      </c>
      <c r="C113" s="7" t="inlineStr">
        <is>
          <t>Milk chocolate digestives, 400g</t>
        </is>
      </c>
      <c r="D113" s="17" t="n">
        <v>169510</v>
      </c>
      <c r="E113" s="18" t="n"/>
      <c r="G113" s="19">
        <f>IF(Data!AC87&gt;0,RANK(Data!AC87,Data!$AC$5:$AC$804),"")</f>
        <v/>
      </c>
      <c r="H113" s="19">
        <f>IF(N(D113)&gt;0,RANK(D113,$D$31:$D$830),"")</f>
        <v/>
      </c>
    </row>
    <row r="114">
      <c r="A114" s="15" t="n">
        <v>84</v>
      </c>
      <c r="B114" s="16" t="inlineStr">
        <is>
          <t>8712345968526</t>
        </is>
      </c>
      <c r="C114" s="7" t="inlineStr">
        <is>
          <t>White bloomer, 800g</t>
        </is>
      </c>
      <c r="D114" s="17" t="n">
        <v>83997</v>
      </c>
      <c r="E114" s="18" t="n"/>
      <c r="G114" s="19">
        <f>IF(Data!AC88&gt;0,RANK(Data!AC88,Data!$AC$5:$AC$804),"")</f>
        <v/>
      </c>
      <c r="H114" s="19">
        <f>IF(N(D114)&gt;0,RANK(D114,$D$31:$D$830),"")</f>
        <v/>
      </c>
    </row>
    <row r="115">
      <c r="A115" s="15" t="n">
        <v>85</v>
      </c>
      <c r="B115" s="16" t="inlineStr">
        <is>
          <t>8712345077167</t>
        </is>
      </c>
      <c r="C115" s="7" t="inlineStr">
        <is>
          <t>Beef mince, 5% fat, 750g</t>
        </is>
      </c>
      <c r="D115" s="17" t="n">
        <v>88471</v>
      </c>
      <c r="E115" s="18" t="n"/>
      <c r="G115" s="19">
        <f>IF(Data!AC89&gt;0,RANK(Data!AC89,Data!$AC$5:$AC$804),"")</f>
        <v/>
      </c>
      <c r="H115" s="19">
        <f>IF(N(D115)&gt;0,RANK(D115,$D$31:$D$830),"")</f>
        <v/>
      </c>
    </row>
    <row r="116">
      <c r="A116" s="15" t="n">
        <v>86</v>
      </c>
      <c r="B116" s="16" t="inlineStr">
        <is>
          <t>4012345936698</t>
        </is>
      </c>
      <c r="C116" s="7" t="inlineStr">
        <is>
          <t>Lactose-free semi-skimmed milk, 1l</t>
        </is>
      </c>
      <c r="D116" s="17" t="n">
        <v>63957</v>
      </c>
      <c r="E116" s="18" t="n"/>
      <c r="G116" s="19">
        <f>IF(Data!AC90&gt;0,RANK(Data!AC90,Data!$AC$5:$AC$804),"")</f>
        <v/>
      </c>
      <c r="H116" s="19">
        <f>IF(N(D116)&gt;0,RANK(D116,$D$31:$D$830),"")</f>
        <v/>
      </c>
    </row>
    <row r="117">
      <c r="A117" s="15" t="n">
        <v>87</v>
      </c>
      <c r="B117" s="16" t="inlineStr">
        <is>
          <t>3012345163194</t>
        </is>
      </c>
      <c r="C117" s="7" t="inlineStr">
        <is>
          <t>Oat drink, 1l</t>
        </is>
      </c>
      <c r="D117" s="17" t="n">
        <v>63631</v>
      </c>
      <c r="E117" s="18" t="n"/>
      <c r="G117" s="19">
        <f>IF(Data!AC91&gt;0,RANK(Data!AC91,Data!$AC$5:$AC$804),"")</f>
        <v/>
      </c>
      <c r="H117" s="19">
        <f>IF(N(D117)&gt;0,RANK(D117,$D$31:$D$830),"")</f>
        <v/>
      </c>
    </row>
    <row r="118">
      <c r="A118" s="15" t="n">
        <v>88</v>
      </c>
      <c r="B118" s="16" t="inlineStr">
        <is>
          <t>8712345935467</t>
        </is>
      </c>
      <c r="C118" s="7" t="inlineStr">
        <is>
          <t>Brown basmati rice, 1kg</t>
        </is>
      </c>
      <c r="D118" s="17" t="n">
        <v>65208</v>
      </c>
      <c r="E118" s="18" t="n"/>
      <c r="G118" s="19">
        <f>IF(Data!AC92&gt;0,RANK(Data!AC92,Data!$AC$5:$AC$804),"")</f>
        <v/>
      </c>
      <c r="H118" s="19">
        <f>IF(N(D118)&gt;0,RANK(D118,$D$31:$D$830),"")</f>
        <v/>
      </c>
    </row>
    <row r="119">
      <c r="A119" s="15" t="n">
        <v>89</v>
      </c>
      <c r="B119" s="16" t="inlineStr">
        <is>
          <t>3012345993692</t>
        </is>
      </c>
      <c r="C119" s="7" t="inlineStr">
        <is>
          <t>Brown onions, 1kg</t>
        </is>
      </c>
      <c r="D119" s="17" t="n">
        <v>64795</v>
      </c>
      <c r="E119" s="18" t="n"/>
      <c r="G119" s="19">
        <f>IF(Data!AC93&gt;0,RANK(Data!AC93,Data!$AC$5:$AC$804),"")</f>
        <v/>
      </c>
      <c r="H119" s="19">
        <f>IF(N(D119)&gt;0,RANK(D119,$D$31:$D$830),"")</f>
        <v/>
      </c>
    </row>
    <row r="120">
      <c r="A120" s="15" t="n">
        <v>90</v>
      </c>
      <c r="B120" s="16" t="inlineStr">
        <is>
          <t>2209820707930</t>
        </is>
      </c>
      <c r="C120" s="7" t="inlineStr">
        <is>
          <t>Gala apples</t>
        </is>
      </c>
      <c r="D120" s="17" t="n"/>
      <c r="E120" s="18" t="n">
        <v>63435</v>
      </c>
      <c r="G120" s="19">
        <f>IF(Data!AC94&gt;0,RANK(Data!AC94,Data!$AC$5:$AC$804),"")</f>
        <v/>
      </c>
      <c r="H120" s="19">
        <f>IF(N(D120)&gt;0,RANK(D120,$D$31:$D$830),"")</f>
        <v/>
      </c>
    </row>
    <row r="121">
      <c r="A121" s="15" t="n">
        <v>91</v>
      </c>
      <c r="B121" s="16" t="inlineStr">
        <is>
          <t>5012345424200</t>
        </is>
      </c>
      <c r="C121" s="7" t="inlineStr">
        <is>
          <t>Spaghetti, 3kg</t>
        </is>
      </c>
      <c r="D121" s="17" t="n">
        <v>21102</v>
      </c>
      <c r="E121" s="18" t="n"/>
      <c r="G121" s="19">
        <f>IF(Data!AC95&gt;0,RANK(Data!AC95,Data!$AC$5:$AC$804),"")</f>
        <v/>
      </c>
      <c r="H121" s="19">
        <f>IF(N(D121)&gt;0,RANK(D121,$D$31:$D$830),"")</f>
        <v/>
      </c>
    </row>
    <row r="122">
      <c r="A122" s="15" t="n">
        <v>92</v>
      </c>
      <c r="B122" s="16" t="inlineStr">
        <is>
          <t>5012345277363</t>
        </is>
      </c>
      <c r="C122" s="7" t="inlineStr">
        <is>
          <t>Long-grain rice, 2kg</t>
        </is>
      </c>
      <c r="D122" s="17" t="n">
        <v>31316</v>
      </c>
      <c r="E122" s="18" t="n"/>
      <c r="G122" s="19">
        <f>IF(Data!AC96&gt;0,RANK(Data!AC96,Data!$AC$5:$AC$804),"")</f>
        <v/>
      </c>
      <c r="H122" s="19">
        <f>IF(N(D122)&gt;0,RANK(D122,$D$31:$D$830),"")</f>
        <v/>
      </c>
    </row>
    <row r="123">
      <c r="A123" s="15" t="n">
        <v>93</v>
      </c>
      <c r="B123" s="16" t="inlineStr">
        <is>
          <t>5012345053103</t>
        </is>
      </c>
      <c r="C123" s="7" t="inlineStr">
        <is>
          <t>Sieved tomatoes (passata), 4x400g</t>
        </is>
      </c>
      <c r="D123" s="17" t="n">
        <v>39015</v>
      </c>
      <c r="E123" s="18" t="n"/>
      <c r="G123" s="19">
        <f>IF(Data!AC97&gt;0,RANK(Data!AC97,Data!$AC$5:$AC$804),"")</f>
        <v/>
      </c>
      <c r="H123" s="19">
        <f>IF(N(D123)&gt;0,RANK(D123,$D$31:$D$830),"")</f>
        <v/>
      </c>
    </row>
    <row r="124">
      <c r="A124" s="15" t="n">
        <v>94</v>
      </c>
      <c r="B124" s="16" t="inlineStr">
        <is>
          <t>3012345571128</t>
        </is>
      </c>
      <c r="C124" s="7" t="inlineStr">
        <is>
          <t>Clementines, 6pk</t>
        </is>
      </c>
      <c r="D124" s="17" t="n">
        <v>68998</v>
      </c>
      <c r="E124" s="18" t="n"/>
      <c r="G124" s="19">
        <f>IF(Data!AC98&gt;0,RANK(Data!AC98,Data!$AC$5:$AC$804),"")</f>
        <v/>
      </c>
      <c r="H124" s="19">
        <f>IF(N(D124)&gt;0,RANK(D124,$D$31:$D$830),"")</f>
        <v/>
      </c>
    </row>
    <row r="125">
      <c r="A125" s="15" t="n">
        <v>95</v>
      </c>
      <c r="B125" s="16" t="inlineStr">
        <is>
          <t>8712345280499</t>
        </is>
      </c>
      <c r="C125" s="7" t="inlineStr">
        <is>
          <t>Mild cheddar, 400g</t>
        </is>
      </c>
      <c r="D125" s="17" t="n">
        <v>154953</v>
      </c>
      <c r="E125" s="18" t="n"/>
      <c r="G125" s="19">
        <f>IF(Data!AC99&gt;0,RANK(Data!AC99,Data!$AC$5:$AC$804),"")</f>
        <v/>
      </c>
      <c r="H125" s="19">
        <f>IF(N(D125)&gt;0,RANK(D125,$D$31:$D$830),"")</f>
        <v/>
      </c>
    </row>
    <row r="126">
      <c r="A126" s="15" t="n">
        <v>96</v>
      </c>
      <c r="B126" s="16" t="inlineStr">
        <is>
          <t>8712345077921</t>
        </is>
      </c>
      <c r="C126" s="7" t="inlineStr">
        <is>
          <t>Natural skyr, 4x125g</t>
        </is>
      </c>
      <c r="D126" s="17" t="n">
        <v>123668</v>
      </c>
      <c r="E126" s="18" t="n"/>
      <c r="G126" s="19">
        <f>IF(Data!AC100&gt;0,RANK(Data!AC100,Data!$AC$5:$AC$804),"")</f>
        <v/>
      </c>
      <c r="H126" s="19">
        <f>IF(N(D126)&gt;0,RANK(D126,$D$31:$D$830),"")</f>
        <v/>
      </c>
    </row>
    <row r="127">
      <c r="A127" s="15" t="n">
        <v>97</v>
      </c>
      <c r="B127" s="16" t="inlineStr">
        <is>
          <t>8712345292164</t>
        </is>
      </c>
      <c r="C127" s="7" t="inlineStr">
        <is>
          <t>Skimmed milk, 4pt 2.27l</t>
        </is>
      </c>
      <c r="D127" s="17" t="n">
        <v>25955</v>
      </c>
      <c r="E127" s="18" t="n"/>
      <c r="G127" s="19">
        <f>IF(Data!AC101&gt;0,RANK(Data!AC101,Data!$AC$5:$AC$804),"")</f>
        <v/>
      </c>
      <c r="H127" s="19">
        <f>IF(N(D127)&gt;0,RANK(D127,$D$31:$D$830),"")</f>
        <v/>
      </c>
    </row>
    <row r="128">
      <c r="A128" s="15" t="n">
        <v>98</v>
      </c>
      <c r="B128" s="16" t="inlineStr">
        <is>
          <t>5012345053172</t>
        </is>
      </c>
      <c r="C128" s="7" t="inlineStr">
        <is>
          <t>Broccoli, 1kg</t>
        </is>
      </c>
      <c r="D128" s="17" t="n">
        <v>60296</v>
      </c>
      <c r="E128" s="18" t="n"/>
      <c r="G128" s="19">
        <f>IF(Data!AC102&gt;0,RANK(Data!AC102,Data!$AC$5:$AC$804),"")</f>
        <v/>
      </c>
      <c r="H128" s="19">
        <f>IF(N(D128)&gt;0,RANK(D128,$D$31:$D$830),"")</f>
        <v/>
      </c>
    </row>
    <row r="129">
      <c r="A129" s="15" t="n">
        <v>99</v>
      </c>
      <c r="B129" s="16" t="inlineStr">
        <is>
          <t>4012345957020</t>
        </is>
      </c>
      <c r="C129" s="7" t="inlineStr">
        <is>
          <t>Sparkling mineral water, 1.5l</t>
        </is>
      </c>
      <c r="D129" s="17" t="n">
        <v>40016</v>
      </c>
      <c r="E129" s="18" t="n"/>
      <c r="G129" s="19">
        <f>IF(Data!AC103&gt;0,RANK(Data!AC103,Data!$AC$5:$AC$804),"")</f>
        <v/>
      </c>
      <c r="H129" s="19">
        <f>IF(N(D129)&gt;0,RANK(D129,$D$31:$D$830),"")</f>
        <v/>
      </c>
    </row>
    <row r="130">
      <c r="A130" s="15" t="n">
        <v>100</v>
      </c>
      <c r="B130" s="16" t="inlineStr">
        <is>
          <t>5012345036793</t>
        </is>
      </c>
      <c r="C130" s="7" t="inlineStr">
        <is>
          <t>Apple cider, 500ml</t>
        </is>
      </c>
      <c r="D130" s="17" t="n">
        <v>119083</v>
      </c>
      <c r="E130" s="18" t="n"/>
      <c r="G130" s="19">
        <f>IF(Data!AC104&gt;0,RANK(Data!AC104,Data!$AC$5:$AC$804),"")</f>
        <v/>
      </c>
      <c r="H130" s="19">
        <f>IF(N(D130)&gt;0,RANK(D130,$D$31:$D$830),"")</f>
        <v/>
      </c>
    </row>
    <row r="131">
      <c r="A131" s="15" t="n">
        <v>101</v>
      </c>
      <c r="B131" s="16" t="inlineStr">
        <is>
          <t>5012345466804</t>
        </is>
      </c>
      <c r="C131" s="7" t="inlineStr">
        <is>
          <t>Porridge oats, 2kg</t>
        </is>
      </c>
      <c r="D131" s="17" t="n">
        <v>29435</v>
      </c>
      <c r="E131" s="18" t="n"/>
      <c r="G131" s="19">
        <f>IF(Data!AC105&gt;0,RANK(Data!AC105,Data!$AC$5:$AC$804),"")</f>
        <v/>
      </c>
      <c r="H131" s="19">
        <f>IF(N(D131)&gt;0,RANK(D131,$D$31:$D$830),"")</f>
        <v/>
      </c>
    </row>
    <row r="132">
      <c r="A132" s="15" t="n">
        <v>102</v>
      </c>
      <c r="B132" s="16" t="inlineStr">
        <is>
          <t>8712345888244</t>
        </is>
      </c>
      <c r="C132" s="7" t="inlineStr">
        <is>
          <t>Oranges, 1kg</t>
        </is>
      </c>
      <c r="D132" s="17" t="n">
        <v>58504</v>
      </c>
      <c r="E132" s="18" t="n"/>
      <c r="G132" s="19">
        <f>IF(Data!AC106&gt;0,RANK(Data!AC106,Data!$AC$5:$AC$804),"")</f>
        <v/>
      </c>
      <c r="H132" s="19">
        <f>IF(N(D132)&gt;0,RANK(D132,$D$31:$D$830),"")</f>
        <v/>
      </c>
    </row>
    <row r="133">
      <c r="A133" s="15" t="n">
        <v>103</v>
      </c>
      <c r="B133" s="16" t="inlineStr">
        <is>
          <t>5012345294360</t>
        </is>
      </c>
      <c r="C133" s="7" t="inlineStr">
        <is>
          <t>Peach iced tea, 2l</t>
        </is>
      </c>
      <c r="D133" s="17" t="n">
        <v>29159</v>
      </c>
      <c r="E133" s="18" t="n"/>
      <c r="G133" s="19">
        <f>IF(Data!AC107&gt;0,RANK(Data!AC107,Data!$AC$5:$AC$804),"")</f>
        <v/>
      </c>
      <c r="H133" s="19">
        <f>IF(N(D133)&gt;0,RANK(D133,$D$31:$D$830),"")</f>
        <v/>
      </c>
    </row>
    <row r="134">
      <c r="A134" s="15" t="n">
        <v>104</v>
      </c>
      <c r="B134" s="16" t="inlineStr">
        <is>
          <t>5012345890739</t>
        </is>
      </c>
      <c r="C134" s="7" t="inlineStr">
        <is>
          <t>Cauliflower, 1kg</t>
        </is>
      </c>
      <c r="D134" s="17" t="n">
        <v>58133</v>
      </c>
      <c r="E134" s="18" t="n"/>
      <c r="G134" s="19">
        <f>IF(Data!AC108&gt;0,RANK(Data!AC108,Data!$AC$5:$AC$804),"")</f>
        <v/>
      </c>
      <c r="H134" s="19">
        <f>IF(N(D134)&gt;0,RANK(D134,$D$31:$D$830),"")</f>
        <v/>
      </c>
    </row>
    <row r="135">
      <c r="A135" s="15" t="n">
        <v>105</v>
      </c>
      <c r="B135" s="16" t="inlineStr">
        <is>
          <t>5012345707839</t>
        </is>
      </c>
      <c r="C135" s="7" t="inlineStr">
        <is>
          <t>Garlic bulbs, 1kg</t>
        </is>
      </c>
      <c r="D135" s="17" t="n">
        <v>57979</v>
      </c>
      <c r="E135" s="18" t="n"/>
      <c r="G135" s="19">
        <f>IF(Data!AC109&gt;0,RANK(Data!AC109,Data!$AC$5:$AC$804),"")</f>
        <v/>
      </c>
      <c r="H135" s="19">
        <f>IF(N(D135)&gt;0,RANK(D135,$D$31:$D$830),"")</f>
        <v/>
      </c>
    </row>
    <row r="136">
      <c r="A136" s="15" t="n">
        <v>106</v>
      </c>
      <c r="B136" s="16" t="inlineStr">
        <is>
          <t>4012345803983</t>
        </is>
      </c>
      <c r="C136" s="7" t="inlineStr">
        <is>
          <t>Whole chicken, 300g</t>
        </is>
      </c>
      <c r="D136" s="17" t="n">
        <v>191991</v>
      </c>
      <c r="E136" s="18" t="n"/>
      <c r="G136" s="19">
        <f>IF(Data!AC110&gt;0,RANK(Data!AC110,Data!$AC$5:$AC$804),"")</f>
        <v/>
      </c>
      <c r="H136" s="19">
        <f>IF(N(D136)&gt;0,RANK(D136,$D$31:$D$830),"")</f>
        <v/>
      </c>
    </row>
    <row r="137">
      <c r="A137" s="15" t="n">
        <v>107</v>
      </c>
      <c r="B137" s="16" t="inlineStr">
        <is>
          <t>3012345832939</t>
        </is>
      </c>
      <c r="C137" s="7" t="inlineStr">
        <is>
          <t>Prosecco, 3x75cl</t>
        </is>
      </c>
      <c r="D137" s="17" t="n">
        <v>25051</v>
      </c>
      <c r="E137" s="18" t="n"/>
      <c r="G137" s="19">
        <f>IF(Data!AC111&gt;0,RANK(Data!AC111,Data!$AC$5:$AC$804),"")</f>
        <v/>
      </c>
      <c r="H137" s="19">
        <f>IF(N(D137)&gt;0,RANK(D137,$D$31:$D$830),"")</f>
        <v/>
      </c>
    </row>
    <row r="138">
      <c r="A138" s="15" t="n">
        <v>108</v>
      </c>
      <c r="B138" s="16" t="inlineStr">
        <is>
          <t>4012345403626</t>
        </is>
      </c>
      <c r="C138" s="7" t="inlineStr">
        <is>
          <t>Farfalle, 1kg</t>
        </is>
      </c>
      <c r="D138" s="17" t="n">
        <v>56149</v>
      </c>
      <c r="E138" s="18" t="n"/>
      <c r="G138" s="19">
        <f>IF(Data!AC112&gt;0,RANK(Data!AC112,Data!$AC$5:$AC$804),"")</f>
        <v/>
      </c>
      <c r="H138" s="19">
        <f>IF(N(D138)&gt;0,RANK(D138,$D$31:$D$830),"")</f>
        <v/>
      </c>
    </row>
    <row r="139">
      <c r="A139" s="15" t="n">
        <v>109</v>
      </c>
      <c r="B139" s="16" t="inlineStr">
        <is>
          <t>2625799418610</t>
        </is>
      </c>
      <c r="C139" s="7" t="inlineStr">
        <is>
          <t>Brown onions</t>
        </is>
      </c>
      <c r="D139" s="17" t="n"/>
      <c r="E139" s="18" t="n">
        <v>55719</v>
      </c>
      <c r="G139" s="19">
        <f>IF(Data!AC113&gt;0,RANK(Data!AC113,Data!$AC$5:$AC$804),"")</f>
        <v/>
      </c>
      <c r="H139" s="19">
        <f>IF(N(D139)&gt;0,RANK(D139,$D$31:$D$830),"")</f>
        <v/>
      </c>
    </row>
    <row r="140">
      <c r="A140" s="15" t="n">
        <v>110</v>
      </c>
      <c r="B140" s="16" t="inlineStr">
        <is>
          <t>5012345241005</t>
        </is>
      </c>
      <c r="C140" s="7" t="inlineStr">
        <is>
          <t>Olive oil spread, 1kg</t>
        </is>
      </c>
      <c r="D140" s="17" t="n">
        <v>54893</v>
      </c>
      <c r="E140" s="18" t="n"/>
      <c r="G140" s="19">
        <f>IF(Data!AC114&gt;0,RANK(Data!AC114,Data!$AC$5:$AC$804),"")</f>
        <v/>
      </c>
      <c r="H140" s="19">
        <f>IF(N(D140)&gt;0,RANK(D140,$D$31:$D$830),"")</f>
        <v/>
      </c>
    </row>
    <row r="141">
      <c r="A141" s="15" t="n">
        <v>111</v>
      </c>
      <c r="B141" s="16" t="inlineStr">
        <is>
          <t>8712345151195</t>
        </is>
      </c>
      <c r="C141" s="7" t="inlineStr">
        <is>
          <t>Raspberries, 500g</t>
        </is>
      </c>
      <c r="D141" s="17" t="n">
        <v>109466</v>
      </c>
      <c r="E141" s="18" t="n"/>
      <c r="G141" s="19">
        <f>IF(Data!AC115&gt;0,RANK(Data!AC115,Data!$AC$5:$AC$804),"")</f>
        <v/>
      </c>
      <c r="H141" s="19">
        <f>IF(N(D141)&gt;0,RANK(D141,$D$31:$D$830),"")</f>
        <v/>
      </c>
    </row>
    <row r="142">
      <c r="A142" s="15" t="n">
        <v>112</v>
      </c>
      <c r="B142" s="16" t="inlineStr">
        <is>
          <t>5012345272870</t>
        </is>
      </c>
      <c r="C142" s="7" t="inlineStr">
        <is>
          <t>Cherry yoghurt, 450g</t>
        </is>
      </c>
      <c r="D142" s="17" t="n">
        <v>120806</v>
      </c>
      <c r="E142" s="18" t="n"/>
      <c r="G142" s="19">
        <f>IF(Data!AC116&gt;0,RANK(Data!AC116,Data!$AC$5:$AC$804),"")</f>
        <v/>
      </c>
      <c r="H142" s="19">
        <f>IF(N(D142)&gt;0,RANK(D142,$D$31:$D$830),"")</f>
        <v/>
      </c>
    </row>
    <row r="143">
      <c r="A143" s="15" t="n">
        <v>113</v>
      </c>
      <c r="B143" s="16" t="inlineStr">
        <is>
          <t>0012345375217</t>
        </is>
      </c>
      <c r="C143" s="7" t="inlineStr">
        <is>
          <t>Classic houmous, 200g</t>
        </is>
      </c>
      <c r="D143" s="17" t="n">
        <v>270455</v>
      </c>
      <c r="E143" s="18" t="n"/>
      <c r="G143" s="19">
        <f>IF(Data!AC117&gt;0,RANK(Data!AC117,Data!$AC$5:$AC$804),"")</f>
        <v/>
      </c>
      <c r="H143" s="19">
        <f>IF(N(D143)&gt;0,RANK(D143,$D$31:$D$830),"")</f>
        <v/>
      </c>
    </row>
    <row r="144">
      <c r="A144" s="15" t="n">
        <v>114</v>
      </c>
      <c r="B144" s="16" t="inlineStr">
        <is>
          <t>3012345771986</t>
        </is>
      </c>
      <c r="C144" s="7" t="inlineStr">
        <is>
          <t>Red kidney beans in water, 4x400g</t>
        </is>
      </c>
      <c r="D144" s="17" t="n">
        <v>33595</v>
      </c>
      <c r="E144" s="18" t="n"/>
      <c r="G144" s="19">
        <f>IF(Data!AC118&gt;0,RANK(Data!AC118,Data!$AC$5:$AC$804),"")</f>
        <v/>
      </c>
      <c r="H144" s="19">
        <f>IF(N(D144)&gt;0,RANK(D144,$D$31:$D$830),"")</f>
        <v/>
      </c>
    </row>
    <row r="145">
      <c r="A145" s="15" t="n">
        <v>115</v>
      </c>
      <c r="B145" s="16" t="inlineStr">
        <is>
          <t>4012345357578</t>
        </is>
      </c>
      <c r="C145" s="7" t="inlineStr">
        <is>
          <t>Spreadable butter, 250g</t>
        </is>
      </c>
      <c r="D145" s="17" t="n">
        <v>214702</v>
      </c>
      <c r="E145" s="18" t="n"/>
      <c r="G145" s="19">
        <f>IF(Data!AC119&gt;0,RANK(Data!AC119,Data!$AC$5:$AC$804),"")</f>
        <v/>
      </c>
      <c r="H145" s="19">
        <f>IF(N(D145)&gt;0,RANK(D145,$D$31:$D$830),"")</f>
        <v/>
      </c>
    </row>
    <row r="146">
      <c r="A146" s="15" t="n">
        <v>116</v>
      </c>
      <c r="B146" s="16" t="inlineStr">
        <is>
          <t>4012345084641</t>
        </is>
      </c>
      <c r="C146" s="7" t="inlineStr">
        <is>
          <t>Iceberg lettuce, 1kg</t>
        </is>
      </c>
      <c r="D146" s="17" t="n">
        <v>53558</v>
      </c>
      <c r="E146" s="18" t="n"/>
      <c r="G146" s="19">
        <f>IF(Data!AC120&gt;0,RANK(Data!AC120,Data!$AC$5:$AC$804),"")</f>
        <v/>
      </c>
      <c r="H146" s="19">
        <f>IF(N(D146)&gt;0,RANK(D146,$D$31:$D$830),"")</f>
        <v/>
      </c>
    </row>
    <row r="147">
      <c r="A147" s="15" t="n">
        <v>117</v>
      </c>
      <c r="B147" s="16" t="inlineStr">
        <is>
          <t>5012345217505</t>
        </is>
      </c>
      <c r="C147" s="7" t="inlineStr">
        <is>
          <t>Orange soda, 2l</t>
        </is>
      </c>
      <c r="D147" s="17" t="n">
        <v>26767</v>
      </c>
      <c r="E147" s="18" t="n"/>
      <c r="G147" s="19">
        <f>IF(Data!AC121&gt;0,RANK(Data!AC121,Data!$AC$5:$AC$804),"")</f>
        <v/>
      </c>
      <c r="H147" s="19">
        <f>IF(N(D147)&gt;0,RANK(D147,$D$31:$D$830),"")</f>
        <v/>
      </c>
    </row>
    <row r="148">
      <c r="A148" s="15" t="n">
        <v>118</v>
      </c>
      <c r="B148" s="16" t="inlineStr">
        <is>
          <t>5012345442990</t>
        </is>
      </c>
      <c r="C148" s="7" t="inlineStr">
        <is>
          <t>Greek-style yoghurt, 4x125g</t>
        </is>
      </c>
      <c r="D148" s="17" t="n">
        <v>106845</v>
      </c>
      <c r="E148" s="18" t="n"/>
      <c r="G148" s="19">
        <f>IF(Data!AC122&gt;0,RANK(Data!AC122,Data!$AC$5:$AC$804),"")</f>
        <v/>
      </c>
      <c r="H148" s="19">
        <f>IF(N(D148)&gt;0,RANK(D148,$D$31:$D$830),"")</f>
        <v/>
      </c>
    </row>
    <row r="149">
      <c r="A149" s="15" t="n">
        <v>119</v>
      </c>
      <c r="B149" s="16" t="inlineStr">
        <is>
          <t>8712345104481</t>
        </is>
      </c>
      <c r="C149" s="7" t="inlineStr">
        <is>
          <t>Diced beef for stewing, 250g</t>
        </is>
      </c>
      <c r="D149" s="17" t="n">
        <v>213489</v>
      </c>
      <c r="E149" s="18" t="n"/>
      <c r="G149" s="19">
        <f>IF(Data!AC123&gt;0,RANK(Data!AC123,Data!$AC$5:$AC$804),"")</f>
        <v/>
      </c>
      <c r="H149" s="19">
        <f>IF(N(D149)&gt;0,RANK(D149,$D$31:$D$830),"")</f>
        <v/>
      </c>
    </row>
    <row r="150">
      <c r="A150" s="15" t="n">
        <v>120</v>
      </c>
      <c r="B150" s="16" t="inlineStr">
        <is>
          <t>2707017813310</t>
        </is>
      </c>
      <c r="C150" s="7" t="inlineStr">
        <is>
          <t>Lemons</t>
        </is>
      </c>
      <c r="D150" s="17" t="n"/>
      <c r="E150" s="18" t="n">
        <v>52388</v>
      </c>
      <c r="G150" s="19">
        <f>IF(Data!AC124&gt;0,RANK(Data!AC124,Data!$AC$5:$AC$804),"")</f>
        <v/>
      </c>
      <c r="H150" s="19">
        <f>IF(N(D150)&gt;0,RANK(D150,$D$31:$D$830),"")</f>
        <v/>
      </c>
    </row>
    <row r="151">
      <c r="A151" s="15" t="n">
        <v>121</v>
      </c>
      <c r="B151" s="16" t="inlineStr">
        <is>
          <t>8712345649364</t>
        </is>
      </c>
      <c r="C151" s="7" t="inlineStr">
        <is>
          <t>Sauvignon blanc white wine, 3x75cl</t>
        </is>
      </c>
      <c r="D151" s="17" t="n">
        <v>23230</v>
      </c>
      <c r="E151" s="18" t="n"/>
      <c r="G151" s="19">
        <f>IF(Data!AC125&gt;0,RANK(Data!AC125,Data!$AC$5:$AC$804),"")</f>
        <v/>
      </c>
      <c r="H151" s="19">
        <f>IF(N(D151)&gt;0,RANK(D151,$D$31:$D$830),"")</f>
        <v/>
      </c>
    </row>
    <row r="152">
      <c r="A152" s="15" t="n">
        <v>122</v>
      </c>
      <c r="B152" s="16" t="inlineStr">
        <is>
          <t>3012345039864</t>
        </is>
      </c>
      <c r="C152" s="7" t="inlineStr">
        <is>
          <t>Clementines, 500g</t>
        </is>
      </c>
      <c r="D152" s="17" t="n">
        <v>103112</v>
      </c>
      <c r="E152" s="18" t="n"/>
      <c r="G152" s="19">
        <f>IF(Data!AC126&gt;0,RANK(Data!AC126,Data!$AC$5:$AC$804),"")</f>
        <v/>
      </c>
      <c r="H152" s="19">
        <f>IF(N(D152)&gt;0,RANK(D152,$D$31:$D$830),"")</f>
        <v/>
      </c>
    </row>
    <row r="153">
      <c r="A153" s="15" t="n">
        <v>123</v>
      </c>
      <c r="B153" s="16" t="inlineStr">
        <is>
          <t>5012345440699</t>
        </is>
      </c>
      <c r="C153" s="7" t="inlineStr">
        <is>
          <t>Cherry tomatoes, 1kg</t>
        </is>
      </c>
      <c r="D153" s="17" t="n">
        <v>51458</v>
      </c>
      <c r="E153" s="18" t="n"/>
      <c r="G153" s="19">
        <f>IF(Data!AC127&gt;0,RANK(Data!AC127,Data!$AC$5:$AC$804),"")</f>
        <v/>
      </c>
      <c r="H153" s="19">
        <f>IF(N(D153)&gt;0,RANK(D153,$D$31:$D$830),"")</f>
        <v/>
      </c>
    </row>
    <row r="154">
      <c r="A154" s="15" t="n">
        <v>124</v>
      </c>
      <c r="B154" s="16" t="inlineStr">
        <is>
          <t>4012345330366</t>
        </is>
      </c>
      <c r="C154" s="7" t="inlineStr">
        <is>
          <t>Baguette, 800g</t>
        </is>
      </c>
      <c r="D154" s="17" t="n">
        <v>64245</v>
      </c>
      <c r="E154" s="18" t="n"/>
      <c r="G154" s="19">
        <f>IF(Data!AC128&gt;0,RANK(Data!AC128,Data!$AC$5:$AC$804),"")</f>
        <v/>
      </c>
      <c r="H154" s="19">
        <f>IF(N(D154)&gt;0,RANK(D154,$D$31:$D$830),"")</f>
        <v/>
      </c>
    </row>
    <row r="155">
      <c r="A155" s="15" t="n">
        <v>125</v>
      </c>
      <c r="B155" s="16" t="inlineStr">
        <is>
          <t>0012345230677</t>
        </is>
      </c>
      <c r="C155" s="7" t="inlineStr">
        <is>
          <t>White pitta bread, 6pk 360g</t>
        </is>
      </c>
      <c r="D155" s="17" t="n">
        <v>142306</v>
      </c>
      <c r="E155" s="18" t="n"/>
      <c r="G155" s="19">
        <f>IF(Data!AC129&gt;0,RANK(Data!AC129,Data!$AC$5:$AC$804),"")</f>
        <v/>
      </c>
      <c r="H155" s="19">
        <f>IF(N(D155)&gt;0,RANK(D155,$D$31:$D$830),"")</f>
        <v/>
      </c>
    </row>
    <row r="156">
      <c r="A156" s="15" t="n">
        <v>126</v>
      </c>
      <c r="B156" s="16" t="inlineStr">
        <is>
          <t>8712345606770</t>
        </is>
      </c>
      <c r="C156" s="7" t="inlineStr">
        <is>
          <t>Chicken breast fillets, 300g</t>
        </is>
      </c>
      <c r="D156" s="17" t="n">
        <v>167835</v>
      </c>
      <c r="E156" s="18" t="n"/>
      <c r="G156" s="19">
        <f>IF(Data!AC130&gt;0,RANK(Data!AC130,Data!$AC$5:$AC$804),"")</f>
        <v/>
      </c>
      <c r="H156" s="19">
        <f>IF(N(D156)&gt;0,RANK(D156,$D$31:$D$830),"")</f>
        <v/>
      </c>
    </row>
    <row r="157">
      <c r="A157" s="15" t="n">
        <v>127</v>
      </c>
      <c r="B157" s="16" t="inlineStr">
        <is>
          <t>3012345736930</t>
        </is>
      </c>
      <c r="C157" s="7" t="inlineStr">
        <is>
          <t>Linguine, 3kg</t>
        </is>
      </c>
      <c r="D157" s="17" t="n">
        <v>16736</v>
      </c>
      <c r="E157" s="18" t="n"/>
      <c r="G157" s="19">
        <f>IF(Data!AC131&gt;0,RANK(Data!AC131,Data!$AC$5:$AC$804),"")</f>
        <v/>
      </c>
      <c r="H157" s="19">
        <f>IF(N(D157)&gt;0,RANK(D157,$D$31:$D$830),"")</f>
        <v/>
      </c>
    </row>
    <row r="158">
      <c r="A158" s="15" t="n">
        <v>128</v>
      </c>
      <c r="B158" s="16" t="inlineStr">
        <is>
          <t>4012345125740</t>
        </is>
      </c>
      <c r="C158" s="7" t="inlineStr">
        <is>
          <t>Vine tomatoes, 1kg</t>
        </is>
      </c>
      <c r="D158" s="17" t="n">
        <v>50093</v>
      </c>
      <c r="E158" s="18" t="n"/>
      <c r="G158" s="19">
        <f>IF(Data!AC132&gt;0,RANK(Data!AC132,Data!$AC$5:$AC$804),"")</f>
        <v/>
      </c>
      <c r="H158" s="19">
        <f>IF(N(D158)&gt;0,RANK(D158,$D$31:$D$830),"")</f>
        <v/>
      </c>
    </row>
    <row r="159">
      <c r="A159" s="15" t="n">
        <v>129</v>
      </c>
      <c r="B159" s="16" t="inlineStr">
        <is>
          <t>3012345869447</t>
        </is>
      </c>
      <c r="C159" s="7" t="inlineStr">
        <is>
          <t>Fruit &amp; nut muesli, 500g</t>
        </is>
      </c>
      <c r="D159" s="17" t="n">
        <v>100071</v>
      </c>
      <c r="E159" s="18" t="n"/>
      <c r="G159" s="19">
        <f>IF(Data!AC133&gt;0,RANK(Data!AC133,Data!$AC$5:$AC$804),"")</f>
        <v/>
      </c>
      <c r="H159" s="19">
        <f>IF(N(D159)&gt;0,RANK(D159,$D$31:$D$830),"")</f>
        <v/>
      </c>
    </row>
    <row r="160">
      <c r="A160" s="15" t="n">
        <v>130</v>
      </c>
      <c r="B160" s="16" t="inlineStr">
        <is>
          <t>5012345981284</t>
        </is>
      </c>
      <c r="C160" s="7" t="inlineStr">
        <is>
          <t>Cola, no sugar, 6x330ml</t>
        </is>
      </c>
      <c r="D160" s="17" t="n">
        <v>25234</v>
      </c>
      <c r="E160" s="18" t="n"/>
      <c r="G160" s="19">
        <f>IF(Data!AC134&gt;0,RANK(Data!AC134,Data!$AC$5:$AC$804),"")</f>
        <v/>
      </c>
      <c r="H160" s="19">
        <f>IF(N(D160)&gt;0,RANK(D160,$D$31:$D$830),"")</f>
        <v/>
      </c>
    </row>
    <row r="161">
      <c r="A161" s="15" t="n">
        <v>131</v>
      </c>
      <c r="B161" s="16" t="inlineStr">
        <is>
          <t>4012345886924</t>
        </is>
      </c>
      <c r="C161" s="7" t="inlineStr">
        <is>
          <t>Still mineral water, 500ml</t>
        </is>
      </c>
      <c r="D161" s="17" t="n">
        <v>99879</v>
      </c>
      <c r="E161" s="18" t="n"/>
      <c r="G161" s="19">
        <f>IF(Data!AC135&gt;0,RANK(Data!AC135,Data!$AC$5:$AC$804),"")</f>
        <v/>
      </c>
      <c r="H161" s="19">
        <f>IF(N(D161)&gt;0,RANK(D161,$D$31:$D$830),"")</f>
        <v/>
      </c>
    </row>
    <row r="162">
      <c r="A162" s="15" t="n">
        <v>132</v>
      </c>
      <c r="B162" s="16" t="inlineStr">
        <is>
          <t>8712345642068</t>
        </is>
      </c>
      <c r="C162" s="7" t="inlineStr">
        <is>
          <t>Cauliflower</t>
        </is>
      </c>
      <c r="D162" s="17" t="n">
        <v>83128</v>
      </c>
      <c r="E162" s="18" t="n"/>
      <c r="G162" s="19">
        <f>IF(Data!AC136&gt;0,RANK(Data!AC136,Data!$AC$5:$AC$804),"")</f>
        <v/>
      </c>
      <c r="H162" s="19">
        <f>IF(N(D162)&gt;0,RANK(D162,$D$31:$D$830),"")</f>
        <v/>
      </c>
    </row>
    <row r="163">
      <c r="A163" s="15" t="n">
        <v>133</v>
      </c>
      <c r="B163" s="16" t="inlineStr">
        <is>
          <t>8712345531966</t>
        </is>
      </c>
      <c r="C163" s="7" t="inlineStr">
        <is>
          <t>Conference pears, 500g</t>
        </is>
      </c>
      <c r="D163" s="17" t="n">
        <v>98649</v>
      </c>
      <c r="E163" s="18" t="n"/>
      <c r="G163" s="19">
        <f>IF(Data!AC137&gt;0,RANK(Data!AC137,Data!$AC$5:$AC$804),"")</f>
        <v/>
      </c>
      <c r="H163" s="19">
        <f>IF(N(D163)&gt;0,RANK(D163,$D$31:$D$830),"")</f>
        <v/>
      </c>
    </row>
    <row r="164">
      <c r="A164" s="15" t="n">
        <v>134</v>
      </c>
      <c r="B164" s="16" t="inlineStr">
        <is>
          <t>3012345033206</t>
        </is>
      </c>
      <c r="C164" s="7" t="inlineStr">
        <is>
          <t>Carrots, 1kg</t>
        </is>
      </c>
      <c r="D164" s="17" t="n">
        <v>48002</v>
      </c>
      <c r="E164" s="18" t="n"/>
      <c r="G164" s="19">
        <f>IF(Data!AC138&gt;0,RANK(Data!AC138,Data!$AC$5:$AC$804),"")</f>
        <v/>
      </c>
      <c r="H164" s="19">
        <f>IF(N(D164)&gt;0,RANK(D164,$D$31:$D$830),"")</f>
        <v/>
      </c>
    </row>
    <row r="165">
      <c r="A165" s="15" t="n">
        <v>135</v>
      </c>
      <c r="B165" s="16" t="inlineStr">
        <is>
          <t>8712345691684</t>
        </is>
      </c>
      <c r="C165" s="7" t="inlineStr">
        <is>
          <t>Basmati rice, 1kg</t>
        </is>
      </c>
      <c r="D165" s="17" t="n">
        <v>47208</v>
      </c>
      <c r="E165" s="18" t="n"/>
      <c r="G165" s="19">
        <f>IF(Data!AC139&gt;0,RANK(Data!AC139,Data!$AC$5:$AC$804),"")</f>
        <v/>
      </c>
      <c r="H165" s="19">
        <f>IF(N(D165)&gt;0,RANK(D165,$D$31:$D$830),"")</f>
        <v/>
      </c>
    </row>
    <row r="166">
      <c r="A166" s="15" t="n">
        <v>136</v>
      </c>
      <c r="B166" s="16" t="inlineStr">
        <is>
          <t>3012345378055</t>
        </is>
      </c>
      <c r="C166" s="7" t="inlineStr">
        <is>
          <t>Oven chips, 900g</t>
        </is>
      </c>
      <c r="D166" s="17" t="n">
        <v>51940</v>
      </c>
      <c r="E166" s="18" t="n"/>
      <c r="G166" s="19">
        <f>IF(Data!AC140&gt;0,RANK(Data!AC140,Data!$AC$5:$AC$804),"")</f>
        <v/>
      </c>
      <c r="H166" s="19">
        <f>IF(N(D166)&gt;0,RANK(D166,$D$31:$D$830),"")</f>
        <v/>
      </c>
    </row>
    <row r="167">
      <c r="A167" s="15" t="n">
        <v>137</v>
      </c>
      <c r="B167" s="16" t="inlineStr">
        <is>
          <t>4012345397901</t>
        </is>
      </c>
      <c r="C167" s="7" t="inlineStr">
        <is>
          <t>Pressed apple juice, 1l</t>
        </is>
      </c>
      <c r="D167" s="17" t="n">
        <v>44865</v>
      </c>
      <c r="E167" s="18" t="n"/>
      <c r="G167" s="19">
        <f>IF(Data!AC141&gt;0,RANK(Data!AC141,Data!$AC$5:$AC$804),"")</f>
        <v/>
      </c>
      <c r="H167" s="19">
        <f>IF(N(D167)&gt;0,RANK(D167,$D$31:$D$830),"")</f>
        <v/>
      </c>
    </row>
    <row r="168">
      <c r="A168" s="15" t="n">
        <v>138</v>
      </c>
      <c r="B168" s="16" t="inlineStr">
        <is>
          <t>8712345210083</t>
        </is>
      </c>
      <c r="C168" s="7" t="inlineStr">
        <is>
          <t>Smooth orange juice, 1.75l</t>
        </is>
      </c>
      <c r="D168" s="17" t="n">
        <v>25400</v>
      </c>
      <c r="E168" s="18" t="n"/>
      <c r="G168" s="19">
        <f>IF(Data!AC142&gt;0,RANK(Data!AC142,Data!$AC$5:$AC$804),"")</f>
        <v/>
      </c>
      <c r="H168" s="19">
        <f>IF(N(D168)&gt;0,RANK(D168,$D$31:$D$830),"")</f>
        <v/>
      </c>
    </row>
    <row r="169">
      <c r="A169" s="15" t="n">
        <v>139</v>
      </c>
      <c r="B169" s="16" t="inlineStr">
        <is>
          <t>3012345548496</t>
        </is>
      </c>
      <c r="C169" s="7" t="inlineStr">
        <is>
          <t>Chicken breast fillets, 1.4kg</t>
        </is>
      </c>
      <c r="D169" s="17" t="n">
        <v>32335</v>
      </c>
      <c r="E169" s="18" t="n"/>
      <c r="G169" s="19">
        <f>IF(Data!AC143&gt;0,RANK(Data!AC143,Data!$AC$5:$AC$804),"")</f>
        <v/>
      </c>
      <c r="H169" s="19">
        <f>IF(N(D169)&gt;0,RANK(D169,$D$31:$D$830),"")</f>
        <v/>
      </c>
    </row>
    <row r="170">
      <c r="A170" s="15" t="n">
        <v>140</v>
      </c>
      <c r="B170" s="16" t="inlineStr">
        <is>
          <t>4012345814590</t>
        </is>
      </c>
      <c r="C170" s="7" t="inlineStr">
        <is>
          <t>Extra virgin olive oil, 3l</t>
        </is>
      </c>
      <c r="D170" s="17" t="n">
        <v>16312</v>
      </c>
      <c r="E170" s="18" t="n"/>
      <c r="G170" s="19">
        <f>IF(Data!AC144&gt;0,RANK(Data!AC144,Data!$AC$5:$AC$804),"")</f>
        <v/>
      </c>
      <c r="H170" s="19">
        <f>IF(N(D170)&gt;0,RANK(D170,$D$31:$D$830),"")</f>
        <v/>
      </c>
    </row>
    <row r="171">
      <c r="A171" s="15" t="n">
        <v>141</v>
      </c>
      <c r="B171" s="16" t="inlineStr">
        <is>
          <t>5012345419374</t>
        </is>
      </c>
      <c r="C171" s="7" t="inlineStr">
        <is>
          <t>Pork loin chops, 1kg</t>
        </is>
      </c>
      <c r="D171" s="17" t="n">
        <v>44619</v>
      </c>
      <c r="E171" s="18" t="n"/>
      <c r="G171" s="19">
        <f>IF(Data!AC145&gt;0,RANK(Data!AC145,Data!$AC$5:$AC$804),"")</f>
        <v/>
      </c>
      <c r="H171" s="19">
        <f>IF(N(D171)&gt;0,RANK(D171,$D$31:$D$830),"")</f>
        <v/>
      </c>
    </row>
    <row r="172">
      <c r="A172" s="15" t="n">
        <v>142</v>
      </c>
      <c r="B172" s="16" t="inlineStr">
        <is>
          <t>5012345181929</t>
        </is>
      </c>
      <c r="C172" s="7" t="inlineStr">
        <is>
          <t>Lemons, 500g</t>
        </is>
      </c>
      <c r="D172" s="17" t="n">
        <v>89037</v>
      </c>
      <c r="E172" s="18" t="n"/>
      <c r="G172" s="19">
        <f>IF(Data!AC146&gt;0,RANK(Data!AC146,Data!$AC$5:$AC$804),"")</f>
        <v/>
      </c>
      <c r="H172" s="19">
        <f>IF(N(D172)&gt;0,RANK(D172,$D$31:$D$830),"")</f>
        <v/>
      </c>
    </row>
    <row r="173">
      <c r="A173" s="15" t="n">
        <v>143</v>
      </c>
      <c r="B173" s="16" t="inlineStr">
        <is>
          <t>5012345150703</t>
        </is>
      </c>
      <c r="C173" s="7" t="inlineStr">
        <is>
          <t>Clementines, 1kg</t>
        </is>
      </c>
      <c r="D173" s="17" t="n">
        <v>44311</v>
      </c>
      <c r="E173" s="18" t="n"/>
      <c r="G173" s="19">
        <f>IF(Data!AC147&gt;0,RANK(Data!AC147,Data!$AC$5:$AC$804),"")</f>
        <v/>
      </c>
      <c r="H173" s="19">
        <f>IF(N(D173)&gt;0,RANK(D173,$D$31:$D$830),"")</f>
        <v/>
      </c>
    </row>
    <row r="174">
      <c r="A174" s="15" t="n">
        <v>144</v>
      </c>
      <c r="B174" s="16" t="inlineStr">
        <is>
          <t>8712345407438</t>
        </is>
      </c>
      <c r="C174" s="7" t="inlineStr">
        <is>
          <t>Galia melon</t>
        </is>
      </c>
      <c r="D174" s="17" t="n">
        <v>36817</v>
      </c>
      <c r="E174" s="18" t="n"/>
      <c r="G174" s="19">
        <f>IF(Data!AC148&gt;0,RANK(Data!AC148,Data!$AC$5:$AC$804),"")</f>
        <v/>
      </c>
      <c r="H174" s="19">
        <f>IF(N(D174)&gt;0,RANK(D174,$D$31:$D$830),"")</f>
        <v/>
      </c>
    </row>
    <row r="175">
      <c r="A175" s="15" t="n">
        <v>145</v>
      </c>
      <c r="B175" s="16" t="inlineStr">
        <is>
          <t>4012345118865</t>
        </is>
      </c>
      <c r="C175" s="7" t="inlineStr">
        <is>
          <t>Merlot red wine, 3x75cl</t>
        </is>
      </c>
      <c r="D175" s="17" t="n">
        <v>19632</v>
      </c>
      <c r="E175" s="18" t="n"/>
      <c r="G175" s="19">
        <f>IF(Data!AC149&gt;0,RANK(Data!AC149,Data!$AC$5:$AC$804),"")</f>
        <v/>
      </c>
      <c r="H175" s="19">
        <f>IF(N(D175)&gt;0,RANK(D175,$D$31:$D$830),"")</f>
        <v/>
      </c>
    </row>
    <row r="176">
      <c r="A176" s="15" t="n">
        <v>146</v>
      </c>
      <c r="B176" s="16" t="inlineStr">
        <is>
          <t>0712345523471</t>
        </is>
      </c>
      <c r="C176" s="7" t="inlineStr">
        <is>
          <t>Skinless salmon fillets, 2x140g</t>
        </is>
      </c>
      <c r="D176" s="17" t="n">
        <v>157433</v>
      </c>
      <c r="E176" s="18" t="n"/>
      <c r="G176" s="19">
        <f>IF(Data!AC150&gt;0,RANK(Data!AC150,Data!$AC$5:$AC$804),"")</f>
        <v/>
      </c>
      <c r="H176" s="19">
        <f>IF(N(D176)&gt;0,RANK(D176,$D$31:$D$830),"")</f>
        <v/>
      </c>
    </row>
    <row r="177">
      <c r="A177" s="15" t="n">
        <v>147</v>
      </c>
      <c r="B177" s="16" t="inlineStr">
        <is>
          <t>4012345774986</t>
        </is>
      </c>
      <c r="C177" s="7" t="inlineStr">
        <is>
          <t>Prosecco, 1.5l</t>
        </is>
      </c>
      <c r="D177" s="17" t="n">
        <v>29375</v>
      </c>
      <c r="E177" s="18" t="n"/>
      <c r="G177" s="19">
        <f>IF(Data!AC151&gt;0,RANK(Data!AC151,Data!$AC$5:$AC$804),"")</f>
        <v/>
      </c>
      <c r="H177" s="19">
        <f>IF(N(D177)&gt;0,RANK(D177,$D$31:$D$830),"")</f>
        <v/>
      </c>
    </row>
    <row r="178">
      <c r="A178" s="15" t="n">
        <v>148</v>
      </c>
      <c r="B178" s="16" t="inlineStr">
        <is>
          <t>3012345459082</t>
        </is>
      </c>
      <c r="C178" s="7" t="inlineStr">
        <is>
          <t>Butter beans in water, 410g</t>
        </is>
      </c>
      <c r="D178" s="17" t="n">
        <v>105527</v>
      </c>
      <c r="E178" s="18" t="n"/>
      <c r="G178" s="19">
        <f>IF(Data!AC152&gt;0,RANK(Data!AC152,Data!$AC$5:$AC$804),"")</f>
        <v/>
      </c>
      <c r="H178" s="19">
        <f>IF(N(D178)&gt;0,RANK(D178,$D$31:$D$830),"")</f>
        <v/>
      </c>
    </row>
    <row r="179">
      <c r="A179" s="15" t="n">
        <v>149</v>
      </c>
      <c r="B179" s="16" t="inlineStr">
        <is>
          <t>5012345963150</t>
        </is>
      </c>
      <c r="C179" s="7" t="inlineStr">
        <is>
          <t>Beef burgers, 4 pack, 454g</t>
        </is>
      </c>
      <c r="D179" s="17" t="n">
        <v>94628</v>
      </c>
      <c r="E179" s="18" t="n"/>
      <c r="G179" s="19">
        <f>IF(Data!AC153&gt;0,RANK(Data!AC153,Data!$AC$5:$AC$804),"")</f>
        <v/>
      </c>
      <c r="H179" s="19">
        <f>IF(N(D179)&gt;0,RANK(D179,$D$31:$D$830),"")</f>
        <v/>
      </c>
    </row>
    <row r="180">
      <c r="A180" s="15" t="n">
        <v>150</v>
      </c>
      <c r="B180" s="16" t="inlineStr">
        <is>
          <t>8712345920562</t>
        </is>
      </c>
      <c r="C180" s="7" t="inlineStr">
        <is>
          <t>Whole milk, 500ml</t>
        </is>
      </c>
      <c r="D180" s="17" t="n">
        <v>83302</v>
      </c>
      <c r="E180" s="18" t="n"/>
      <c r="G180" s="19">
        <f>IF(Data!AC154&gt;0,RANK(Data!AC154,Data!$AC$5:$AC$804),"")</f>
        <v/>
      </c>
      <c r="H180" s="19">
        <f>IF(N(D180)&gt;0,RANK(D180,$D$31:$D$830),"")</f>
        <v/>
      </c>
    </row>
    <row r="181">
      <c r="A181" s="15" t="n">
        <v>151</v>
      </c>
      <c r="B181" s="16" t="inlineStr">
        <is>
          <t>5012345573823</t>
        </is>
      </c>
      <c r="C181" s="7" t="inlineStr">
        <is>
          <t>Spaghetti bolognese, 2x400g</t>
        </is>
      </c>
      <c r="D181" s="17" t="n">
        <v>53446</v>
      </c>
      <c r="E181" s="18" t="n"/>
      <c r="G181" s="19">
        <f>IF(Data!AC155&gt;0,RANK(Data!AC155,Data!$AC$5:$AC$804),"")</f>
        <v/>
      </c>
      <c r="H181" s="19">
        <f>IF(N(D181)&gt;0,RANK(D181,$D$31:$D$830),"")</f>
        <v/>
      </c>
    </row>
    <row r="182">
      <c r="A182" s="15" t="n">
        <v>152</v>
      </c>
      <c r="B182" s="16" t="inlineStr">
        <is>
          <t>3012345121088</t>
        </is>
      </c>
      <c r="C182" s="7" t="inlineStr">
        <is>
          <t>White pitta bread, 800g</t>
        </is>
      </c>
      <c r="D182" s="17" t="n">
        <v>53445</v>
      </c>
      <c r="E182" s="18" t="n"/>
      <c r="G182" s="19">
        <f>IF(Data!AC156&gt;0,RANK(Data!AC156,Data!$AC$5:$AC$804),"")</f>
        <v/>
      </c>
      <c r="H182" s="19">
        <f>IF(N(D182)&gt;0,RANK(D182,$D$31:$D$830),"")</f>
        <v/>
      </c>
    </row>
    <row r="183">
      <c r="A183" s="15" t="n">
        <v>153</v>
      </c>
      <c r="B183" s="16" t="inlineStr">
        <is>
          <t>4012345619362</t>
        </is>
      </c>
      <c r="C183" s="7" t="inlineStr">
        <is>
          <t>Vine tomatoes, 500g</t>
        </is>
      </c>
      <c r="D183" s="17" t="n">
        <v>85294</v>
      </c>
      <c r="E183" s="18" t="n"/>
      <c r="G183" s="19">
        <f>IF(Data!AC157&gt;0,RANK(Data!AC157,Data!$AC$5:$AC$804),"")</f>
        <v/>
      </c>
      <c r="H183" s="19">
        <f>IF(N(D183)&gt;0,RANK(D183,$D$31:$D$830),"")</f>
        <v/>
      </c>
    </row>
    <row r="184">
      <c r="A184" s="15" t="n">
        <v>154</v>
      </c>
      <c r="B184" s="16" t="inlineStr">
        <is>
          <t>4012345555738</t>
        </is>
      </c>
      <c r="C184" s="7" t="inlineStr">
        <is>
          <t>Sea bass fillets, 240g</t>
        </is>
      </c>
      <c r="D184" s="17" t="n">
        <v>177230</v>
      </c>
      <c r="E184" s="18" t="n"/>
      <c r="G184" s="19">
        <f>IF(Data!AC158&gt;0,RANK(Data!AC158,Data!$AC$5:$AC$804),"")</f>
        <v/>
      </c>
      <c r="H184" s="19">
        <f>IF(N(D184)&gt;0,RANK(D184,$D$31:$D$830),"")</f>
        <v/>
      </c>
    </row>
    <row r="185">
      <c r="A185" s="15" t="n">
        <v>155</v>
      </c>
      <c r="B185" s="16" t="inlineStr">
        <is>
          <t>5012345364742</t>
        </is>
      </c>
      <c r="C185" s="7" t="inlineStr">
        <is>
          <t>Pale ale, 12x440ml</t>
        </is>
      </c>
      <c r="D185" s="17" t="n">
        <v>8050</v>
      </c>
      <c r="E185" s="18" t="n"/>
      <c r="G185" s="19">
        <f>IF(Data!AC159&gt;0,RANK(Data!AC159,Data!$AC$5:$AC$804),"")</f>
        <v/>
      </c>
      <c r="H185" s="19">
        <f>IF(N(D185)&gt;0,RANK(D185,$D$31:$D$830),"")</f>
        <v/>
      </c>
    </row>
    <row r="186">
      <c r="A186" s="15" t="n">
        <v>156</v>
      </c>
      <c r="B186" s="16" t="inlineStr">
        <is>
          <t>5012345359694</t>
        </is>
      </c>
      <c r="C186" s="7" t="inlineStr">
        <is>
          <t>Breaded scampi, 20pk 560g</t>
        </is>
      </c>
      <c r="D186" s="17" t="n">
        <v>75889</v>
      </c>
      <c r="E186" s="18" t="n"/>
      <c r="G186" s="19">
        <f>IF(Data!AC160&gt;0,RANK(Data!AC160,Data!$AC$5:$AC$804),"")</f>
        <v/>
      </c>
      <c r="H186" s="19">
        <f>IF(N(D186)&gt;0,RANK(D186,$D$31:$D$830),"")</f>
        <v/>
      </c>
    </row>
    <row r="187">
      <c r="A187" s="15" t="n">
        <v>157</v>
      </c>
      <c r="B187" s="16" t="inlineStr">
        <is>
          <t>3012345523387</t>
        </is>
      </c>
      <c r="C187" s="7" t="inlineStr">
        <is>
          <t>Bananas, 500g</t>
        </is>
      </c>
      <c r="D187" s="17" t="n">
        <v>84438</v>
      </c>
      <c r="E187" s="18" t="n"/>
      <c r="G187" s="19">
        <f>IF(Data!AC161&gt;0,RANK(Data!AC161,Data!$AC$5:$AC$804),"")</f>
        <v/>
      </c>
      <c r="H187" s="19">
        <f>IF(N(D187)&gt;0,RANK(D187,$D$31:$D$830),"")</f>
        <v/>
      </c>
    </row>
    <row r="188">
      <c r="A188" s="15" t="n">
        <v>158</v>
      </c>
      <c r="B188" s="16" t="inlineStr">
        <is>
          <t>3012345098021</t>
        </is>
      </c>
      <c r="C188" s="7" t="inlineStr">
        <is>
          <t>Cucumber, 1kg</t>
        </is>
      </c>
      <c r="D188" s="17" t="n">
        <v>42170</v>
      </c>
      <c r="E188" s="18" t="n"/>
      <c r="G188" s="19">
        <f>IF(Data!AC162&gt;0,RANK(Data!AC162,Data!$AC$5:$AC$804),"")</f>
        <v/>
      </c>
      <c r="H188" s="19">
        <f>IF(N(D188)&gt;0,RANK(D188,$D$31:$D$830),"")</f>
        <v/>
      </c>
    </row>
    <row r="189">
      <c r="A189" s="15" t="n">
        <v>159</v>
      </c>
      <c r="B189" s="16" t="inlineStr">
        <is>
          <t>8712345835583</t>
        </is>
      </c>
      <c r="C189" s="7" t="inlineStr">
        <is>
          <t>Ham &amp; mushroom pizza, 335g</t>
        </is>
      </c>
      <c r="D189" s="17" t="n">
        <v>125109</v>
      </c>
      <c r="E189" s="18" t="n"/>
      <c r="G189" s="19">
        <f>IF(Data!AC163&gt;0,RANK(Data!AC163,Data!$AC$5:$AC$804),"")</f>
        <v/>
      </c>
      <c r="H189" s="19">
        <f>IF(N(D189)&gt;0,RANK(D189,$D$31:$D$830),"")</f>
        <v/>
      </c>
    </row>
    <row r="190">
      <c r="A190" s="15" t="n">
        <v>160</v>
      </c>
      <c r="B190" s="16" t="inlineStr">
        <is>
          <t>8712345556891</t>
        </is>
      </c>
      <c r="C190" s="7" t="inlineStr">
        <is>
          <t>Iceberg lettuce, 500g</t>
        </is>
      </c>
      <c r="D190" s="17" t="n">
        <v>82630</v>
      </c>
      <c r="E190" s="18" t="n"/>
      <c r="G190" s="19">
        <f>IF(Data!AC164&gt;0,RANK(Data!AC164,Data!$AC$5:$AC$804),"")</f>
        <v/>
      </c>
      <c r="H190" s="19">
        <f>IF(N(D190)&gt;0,RANK(D190,$D$31:$D$830),"")</f>
        <v/>
      </c>
    </row>
    <row r="191">
      <c r="A191" s="15" t="n">
        <v>161</v>
      </c>
      <c r="B191" s="16" t="inlineStr">
        <is>
          <t>3012345223812</t>
        </is>
      </c>
      <c r="C191" s="7" t="inlineStr">
        <is>
          <t>Pork shoulder joint, 1kg</t>
        </is>
      </c>
      <c r="D191" s="17" t="n">
        <v>40632</v>
      </c>
      <c r="E191" s="18" t="n"/>
      <c r="G191" s="19">
        <f>IF(Data!AC165&gt;0,RANK(Data!AC165,Data!$AC$5:$AC$804),"")</f>
        <v/>
      </c>
      <c r="H191" s="19">
        <f>IF(N(D191)&gt;0,RANK(D191,$D$31:$D$830),"")</f>
        <v/>
      </c>
    </row>
    <row r="192">
      <c r="A192" s="15" t="n">
        <v>162</v>
      </c>
      <c r="B192" s="16" t="inlineStr">
        <is>
          <t>8712345951146</t>
        </is>
      </c>
      <c r="C192" s="7" t="inlineStr">
        <is>
          <t>Merlot red wine, 1.5l</t>
        </is>
      </c>
      <c r="D192" s="17" t="n">
        <v>26952</v>
      </c>
      <c r="E192" s="18" t="n"/>
      <c r="G192" s="19">
        <f>IF(Data!AC166&gt;0,RANK(Data!AC166,Data!$AC$5:$AC$804),"")</f>
        <v/>
      </c>
      <c r="H192" s="19">
        <f>IF(N(D192)&gt;0,RANK(D192,$D$31:$D$830),"")</f>
        <v/>
      </c>
    </row>
    <row r="193">
      <c r="A193" s="15" t="n">
        <v>163</v>
      </c>
      <c r="B193" s="16" t="inlineStr">
        <is>
          <t>2495822423450</t>
        </is>
      </c>
      <c r="C193" s="7" t="inlineStr">
        <is>
          <t>Seedless red grapes</t>
        </is>
      </c>
      <c r="D193" s="17" t="n"/>
      <c r="E193" s="18" t="n">
        <v>40302</v>
      </c>
      <c r="G193" s="19">
        <f>IF(Data!AC167&gt;0,RANK(Data!AC167,Data!$AC$5:$AC$804),"")</f>
        <v/>
      </c>
      <c r="H193" s="19">
        <f>IF(N(D193)&gt;0,RANK(D193,$D$31:$D$830),"")</f>
        <v/>
      </c>
    </row>
    <row r="194">
      <c r="A194" s="15" t="n">
        <v>164</v>
      </c>
      <c r="B194" s="16" t="inlineStr">
        <is>
          <t>3012345277471</t>
        </is>
      </c>
      <c r="C194" s="7" t="inlineStr">
        <is>
          <t>Blended whisky, 1l</t>
        </is>
      </c>
      <c r="D194" s="17" t="n">
        <v>40079</v>
      </c>
      <c r="E194" s="18" t="n"/>
      <c r="G194" s="19">
        <f>IF(Data!AC168&gt;0,RANK(Data!AC168,Data!$AC$5:$AC$804),"")</f>
        <v/>
      </c>
      <c r="H194" s="19">
        <f>IF(N(D194)&gt;0,RANK(D194,$D$31:$D$830),"")</f>
        <v/>
      </c>
    </row>
    <row r="195">
      <c r="A195" s="15" t="n">
        <v>165</v>
      </c>
      <c r="B195" s="16" t="inlineStr">
        <is>
          <t>2781328249020</t>
        </is>
      </c>
      <c r="C195" s="7" t="inlineStr">
        <is>
          <t>Bananas</t>
        </is>
      </c>
      <c r="D195" s="17" t="n"/>
      <c r="E195" s="18" t="n">
        <v>40019</v>
      </c>
      <c r="G195" s="19">
        <f>IF(Data!AC169&gt;0,RANK(Data!AC169,Data!$AC$5:$AC$804),"")</f>
        <v/>
      </c>
      <c r="H195" s="19">
        <f>IF(N(D195)&gt;0,RANK(D195,$D$31:$D$830),"")</f>
        <v/>
      </c>
    </row>
    <row r="196">
      <c r="A196" s="15" t="n">
        <v>166</v>
      </c>
      <c r="B196" s="16" t="inlineStr">
        <is>
          <t>4012345212266</t>
        </is>
      </c>
      <c r="C196" s="7" t="inlineStr">
        <is>
          <t>Crinkle-cut chips, 1.5kg</t>
        </is>
      </c>
      <c r="D196" s="17" t="n">
        <v>26519</v>
      </c>
      <c r="E196" s="18" t="n"/>
      <c r="G196" s="19">
        <f>IF(Data!AC170&gt;0,RANK(Data!AC170,Data!$AC$5:$AC$804),"")</f>
        <v/>
      </c>
      <c r="H196" s="19">
        <f>IF(N(D196)&gt;0,RANK(D196,$D$31:$D$830),"")</f>
        <v/>
      </c>
    </row>
    <row r="197">
      <c r="A197" s="15" t="n">
        <v>167</v>
      </c>
      <c r="B197" s="16" t="inlineStr">
        <is>
          <t>3012345098380</t>
        </is>
      </c>
      <c r="C197" s="7" t="inlineStr">
        <is>
          <t>Sieved tomatoes (passata), 690g</t>
        </is>
      </c>
      <c r="D197" s="17" t="n">
        <v>57609</v>
      </c>
      <c r="E197" s="18" t="n"/>
      <c r="G197" s="19">
        <f>IF(Data!AC171&gt;0,RANK(Data!AC171,Data!$AC$5:$AC$804),"")</f>
        <v/>
      </c>
      <c r="H197" s="19">
        <f>IF(N(D197)&gt;0,RANK(D197,$D$31:$D$830),"")</f>
        <v/>
      </c>
    </row>
    <row r="198">
      <c r="A198" s="15" t="n">
        <v>168</v>
      </c>
      <c r="B198" s="16" t="inlineStr">
        <is>
          <t>4012345574500</t>
        </is>
      </c>
      <c r="C198" s="7" t="inlineStr">
        <is>
          <t>Still mineral water, 1.5l</t>
        </is>
      </c>
      <c r="D198" s="17" t="n">
        <v>26379</v>
      </c>
      <c r="E198" s="18" t="n"/>
      <c r="G198" s="19">
        <f>IF(Data!AC172&gt;0,RANK(Data!AC172,Data!$AC$5:$AC$804),"")</f>
        <v/>
      </c>
      <c r="H198" s="19">
        <f>IF(N(D198)&gt;0,RANK(D198,$D$31:$D$830),"")</f>
        <v/>
      </c>
    </row>
    <row r="199">
      <c r="A199" s="15" t="n">
        <v>169</v>
      </c>
      <c r="B199" s="16" t="inlineStr">
        <is>
          <t>4012345464030</t>
        </is>
      </c>
      <c r="C199" s="7" t="inlineStr">
        <is>
          <t>Pork mince, 4pk 600g</t>
        </is>
      </c>
      <c r="D199" s="17" t="n">
        <v>65730</v>
      </c>
      <c r="E199" s="18" t="n"/>
      <c r="G199" s="19">
        <f>IF(Data!AC173&gt;0,RANK(Data!AC173,Data!$AC$5:$AC$804),"")</f>
        <v/>
      </c>
      <c r="H199" s="19">
        <f>IF(N(D199)&gt;0,RANK(D199,$D$31:$D$830),"")</f>
        <v/>
      </c>
    </row>
    <row r="200">
      <c r="A200" s="15" t="n">
        <v>170</v>
      </c>
      <c r="B200" s="16" t="inlineStr">
        <is>
          <t>4012345481389</t>
        </is>
      </c>
      <c r="C200" s="7" t="inlineStr">
        <is>
          <t>Cola, 6x330ml</t>
        </is>
      </c>
      <c r="D200" s="17" t="n">
        <v>19865</v>
      </c>
      <c r="E200" s="18" t="n"/>
      <c r="G200" s="19">
        <f>IF(Data!AC174&gt;0,RANK(Data!AC174,Data!$AC$5:$AC$804),"")</f>
        <v/>
      </c>
      <c r="H200" s="19">
        <f>IF(N(D200)&gt;0,RANK(D200,$D$31:$D$830),"")</f>
        <v/>
      </c>
    </row>
    <row r="201">
      <c r="A201" s="15" t="n">
        <v>171</v>
      </c>
      <c r="B201" s="16" t="inlineStr">
        <is>
          <t>3012345481427</t>
        </is>
      </c>
      <c r="C201" s="7" t="inlineStr">
        <is>
          <t>Cottage pie, 2x400g</t>
        </is>
      </c>
      <c r="D201" s="17" t="n">
        <v>48721</v>
      </c>
      <c r="E201" s="18" t="n"/>
      <c r="G201" s="19">
        <f>IF(Data!AC175&gt;0,RANK(Data!AC175,Data!$AC$5:$AC$804),"")</f>
        <v/>
      </c>
      <c r="H201" s="19">
        <f>IF(N(D201)&gt;0,RANK(D201,$D$31:$D$830),"")</f>
        <v/>
      </c>
    </row>
    <row r="202">
      <c r="A202" s="15" t="n">
        <v>172</v>
      </c>
      <c r="B202" s="16" t="inlineStr">
        <is>
          <t>4012345351552</t>
        </is>
      </c>
      <c r="C202" s="7" t="inlineStr">
        <is>
          <t>Fusilli, 3kg</t>
        </is>
      </c>
      <c r="D202" s="17" t="n">
        <v>12969</v>
      </c>
      <c r="E202" s="18" t="n"/>
      <c r="G202" s="19">
        <f>IF(Data!AC176&gt;0,RANK(Data!AC176,Data!$AC$5:$AC$804),"")</f>
        <v/>
      </c>
      <c r="H202" s="19">
        <f>IF(N(D202)&gt;0,RANK(D202,$D$31:$D$830),"")</f>
        <v/>
      </c>
    </row>
    <row r="203">
      <c r="A203" s="15" t="n">
        <v>173</v>
      </c>
      <c r="B203" s="16" t="inlineStr">
        <is>
          <t>8712345699499</t>
        </is>
      </c>
      <c r="C203" s="7" t="inlineStr">
        <is>
          <t>Seeded batch loaf, 800g</t>
        </is>
      </c>
      <c r="D203" s="17" t="n">
        <v>48591</v>
      </c>
      <c r="E203" s="18" t="n"/>
      <c r="G203" s="19">
        <f>IF(Data!AC177&gt;0,RANK(Data!AC177,Data!$AC$5:$AC$804),"")</f>
        <v/>
      </c>
      <c r="H203" s="19">
        <f>IF(N(D203)&gt;0,RANK(D203,$D$31:$D$830),"")</f>
        <v/>
      </c>
    </row>
    <row r="204">
      <c r="A204" s="15" t="n">
        <v>174</v>
      </c>
      <c r="B204" s="16" t="inlineStr">
        <is>
          <t>3012345692403</t>
        </is>
      </c>
      <c r="C204" s="7" t="inlineStr">
        <is>
          <t>Sardines in olive oil, 3x145g</t>
        </is>
      </c>
      <c r="D204" s="17" t="n">
        <v>89263</v>
      </c>
      <c r="E204" s="18" t="n"/>
      <c r="G204" s="19">
        <f>IF(Data!AC178&gt;0,RANK(Data!AC178,Data!$AC$5:$AC$804),"")</f>
        <v/>
      </c>
      <c r="H204" s="19">
        <f>IF(N(D204)&gt;0,RANK(D204,$D$31:$D$830),"")</f>
        <v/>
      </c>
    </row>
    <row r="205">
      <c r="A205" s="15" t="n">
        <v>175</v>
      </c>
      <c r="B205" s="16" t="inlineStr">
        <is>
          <t>4012345280975</t>
        </is>
      </c>
      <c r="C205" s="7" t="inlineStr">
        <is>
          <t>Honey-roast ham, 400g</t>
        </is>
      </c>
      <c r="D205" s="17" t="n">
        <v>96989</v>
      </c>
      <c r="E205" s="18" t="n"/>
      <c r="G205" s="19">
        <f>IF(Data!AC179&gt;0,RANK(Data!AC179,Data!$AC$5:$AC$804),"")</f>
        <v/>
      </c>
      <c r="H205" s="19">
        <f>IF(N(D205)&gt;0,RANK(D205,$D$31:$D$830),"")</f>
        <v/>
      </c>
    </row>
    <row r="206">
      <c r="A206" s="15" t="n">
        <v>176</v>
      </c>
      <c r="B206" s="16" t="inlineStr">
        <is>
          <t>5012345112954</t>
        </is>
      </c>
      <c r="C206" s="7" t="inlineStr">
        <is>
          <t>Sweetcorn cobs, 500g</t>
        </is>
      </c>
      <c r="D206" s="17" t="n">
        <v>77571</v>
      </c>
      <c r="E206" s="18" t="n"/>
      <c r="G206" s="19">
        <f>IF(Data!AC180&gt;0,RANK(Data!AC180,Data!$AC$5:$AC$804),"")</f>
        <v/>
      </c>
      <c r="H206" s="19">
        <f>IF(N(D206)&gt;0,RANK(D206,$D$31:$D$830),"")</f>
        <v/>
      </c>
    </row>
    <row r="207">
      <c r="A207" s="15" t="n">
        <v>177</v>
      </c>
      <c r="B207" s="16" t="inlineStr">
        <is>
          <t>5012345236483</t>
        </is>
      </c>
      <c r="C207" s="7" t="inlineStr">
        <is>
          <t>Beef burgers, 4 pack, 400g</t>
        </is>
      </c>
      <c r="D207" s="17" t="n">
        <v>96015</v>
      </c>
      <c r="E207" s="18" t="n"/>
      <c r="G207" s="19">
        <f>IF(Data!AC181&gt;0,RANK(Data!AC181,Data!$AC$5:$AC$804),"")</f>
        <v/>
      </c>
      <c r="H207" s="19">
        <f>IF(N(D207)&gt;0,RANK(D207,$D$31:$D$830),"")</f>
        <v/>
      </c>
    </row>
    <row r="208">
      <c r="A208" s="15" t="n">
        <v>178</v>
      </c>
      <c r="B208" s="16" t="inlineStr">
        <is>
          <t>3012345149075</t>
        </is>
      </c>
      <c r="C208" s="7" t="inlineStr">
        <is>
          <t>Chicken thighs, 500g</t>
        </is>
      </c>
      <c r="D208" s="17" t="n">
        <v>76751</v>
      </c>
      <c r="E208" s="18" t="n"/>
      <c r="G208" s="19">
        <f>IF(Data!AC182&gt;0,RANK(Data!AC182,Data!$AC$5:$AC$804),"")</f>
        <v/>
      </c>
      <c r="H208" s="19">
        <f>IF(N(D208)&gt;0,RANK(D208,$D$31:$D$830),"")</f>
        <v/>
      </c>
    </row>
    <row r="209">
      <c r="A209" s="15" t="n">
        <v>179</v>
      </c>
      <c r="B209" s="16" t="inlineStr">
        <is>
          <t>5012345518169</t>
        </is>
      </c>
      <c r="C209" s="7" t="inlineStr">
        <is>
          <t>Beef mince, 20% fat, 400g</t>
        </is>
      </c>
      <c r="D209" s="17" t="n">
        <v>95677</v>
      </c>
      <c r="E209" s="18" t="n"/>
      <c r="G209" s="19">
        <f>IF(Data!AC183&gt;0,RANK(Data!AC183,Data!$AC$5:$AC$804),"")</f>
        <v/>
      </c>
      <c r="H209" s="19">
        <f>IF(N(D209)&gt;0,RANK(D209,$D$31:$D$830),"")</f>
        <v/>
      </c>
    </row>
    <row r="210">
      <c r="A210" s="15" t="n">
        <v>180</v>
      </c>
      <c r="B210" s="16" t="inlineStr">
        <is>
          <t>4012345573909</t>
        </is>
      </c>
      <c r="C210" s="7" t="inlineStr">
        <is>
          <t>Sweetcorn cobs, 1kg</t>
        </is>
      </c>
      <c r="D210" s="17" t="n">
        <v>38072</v>
      </c>
      <c r="E210" s="18" t="n"/>
      <c r="G210" s="19">
        <f>IF(Data!AC184&gt;0,RANK(Data!AC184,Data!$AC$5:$AC$804),"")</f>
        <v/>
      </c>
      <c r="H210" s="19">
        <f>IF(N(D210)&gt;0,RANK(D210,$D$31:$D$830),"")</f>
        <v/>
      </c>
    </row>
    <row r="211">
      <c r="A211" s="15" t="n">
        <v>181</v>
      </c>
      <c r="B211" s="16" t="inlineStr">
        <is>
          <t>5012345839035</t>
        </is>
      </c>
      <c r="C211" s="7" t="inlineStr">
        <is>
          <t>Natural skyr, 4x125g</t>
        </is>
      </c>
      <c r="D211" s="17" t="n">
        <v>75770</v>
      </c>
      <c r="E211" s="18" t="n"/>
      <c r="G211" s="19">
        <f>IF(Data!AC185&gt;0,RANK(Data!AC185,Data!$AC$5:$AC$804),"")</f>
        <v/>
      </c>
      <c r="H211" s="19">
        <f>IF(N(D211)&gt;0,RANK(D211,$D$31:$D$830),"")</f>
        <v/>
      </c>
    </row>
    <row r="212">
      <c r="A212" s="15" t="n">
        <v>182</v>
      </c>
      <c r="B212" s="16" t="inlineStr">
        <is>
          <t>8712345592011</t>
        </is>
      </c>
      <c r="C212" s="7" t="inlineStr">
        <is>
          <t>Semi-skimmed milk, 500ml</t>
        </is>
      </c>
      <c r="D212" s="17" t="n">
        <v>73332</v>
      </c>
      <c r="E212" s="18" t="n"/>
      <c r="G212" s="19">
        <f>IF(Data!AC186&gt;0,RANK(Data!AC186,Data!$AC$5:$AC$804),"")</f>
        <v/>
      </c>
      <c r="H212" s="19">
        <f>IF(N(D212)&gt;0,RANK(D212,$D$31:$D$830),"")</f>
        <v/>
      </c>
    </row>
    <row r="213">
      <c r="A213" s="15" t="n">
        <v>183</v>
      </c>
      <c r="B213" s="16" t="inlineStr">
        <is>
          <t>8712345465155</t>
        </is>
      </c>
      <c r="C213" s="7" t="inlineStr">
        <is>
          <t>Almond drink, 1l</t>
        </is>
      </c>
      <c r="D213" s="17" t="n">
        <v>36409</v>
      </c>
      <c r="E213" s="18" t="n"/>
      <c r="G213" s="19">
        <f>IF(Data!AC187&gt;0,RANK(Data!AC187,Data!$AC$5:$AC$804),"")</f>
        <v/>
      </c>
      <c r="H213" s="19">
        <f>IF(N(D213)&gt;0,RANK(D213,$D$31:$D$830),"")</f>
        <v/>
      </c>
    </row>
    <row r="214">
      <c r="A214" s="15" t="n">
        <v>184</v>
      </c>
      <c r="B214" s="16" t="inlineStr">
        <is>
          <t>8712345582647</t>
        </is>
      </c>
      <c r="C214" s="7" t="inlineStr">
        <is>
          <t>Brown onions, 500g</t>
        </is>
      </c>
      <c r="D214" s="17" t="n">
        <v>73983</v>
      </c>
      <c r="E214" s="18" t="n"/>
      <c r="G214" s="19">
        <f>IF(Data!AC188&gt;0,RANK(Data!AC188,Data!$AC$5:$AC$804),"")</f>
        <v/>
      </c>
      <c r="H214" s="19">
        <f>IF(N(D214)&gt;0,RANK(D214,$D$31:$D$830),"")</f>
        <v/>
      </c>
    </row>
    <row r="215">
      <c r="A215" s="15" t="n">
        <v>185</v>
      </c>
      <c r="B215" s="16" t="inlineStr">
        <is>
          <t>4012345565560</t>
        </is>
      </c>
      <c r="C215" s="7" t="inlineStr">
        <is>
          <t>Almond drink, 6x1l</t>
        </is>
      </c>
      <c r="D215" s="17" t="n">
        <v>5977</v>
      </c>
      <c r="E215" s="18" t="n"/>
      <c r="G215" s="19">
        <f>IF(Data!AC189&gt;0,RANK(Data!AC189,Data!$AC$5:$AC$804),"")</f>
        <v/>
      </c>
      <c r="H215" s="19">
        <f>IF(N(D215)&gt;0,RANK(D215,$D$31:$D$830),"")</f>
        <v/>
      </c>
    </row>
    <row r="216">
      <c r="A216" s="15" t="n">
        <v>186</v>
      </c>
      <c r="B216" s="16" t="inlineStr">
        <is>
          <t>5012345090108</t>
        </is>
      </c>
      <c r="C216" s="7" t="inlineStr">
        <is>
          <t>Beef rump steak, 300g</t>
        </is>
      </c>
      <c r="D216" s="17" t="n">
        <v>122743</v>
      </c>
      <c r="E216" s="18" t="n"/>
      <c r="G216" s="19">
        <f>IF(Data!AC190&gt;0,RANK(Data!AC190,Data!$AC$5:$AC$804),"")</f>
        <v/>
      </c>
      <c r="H216" s="19">
        <f>IF(N(D216)&gt;0,RANK(D216,$D$31:$D$830),"")</f>
        <v/>
      </c>
    </row>
    <row r="217">
      <c r="A217" s="15" t="n">
        <v>187</v>
      </c>
      <c r="B217" s="16" t="inlineStr">
        <is>
          <t>4012345889628</t>
        </is>
      </c>
      <c r="C217" s="7" t="inlineStr">
        <is>
          <t>Oven chips, 750g</t>
        </is>
      </c>
      <c r="D217" s="17" t="n">
        <v>48905</v>
      </c>
      <c r="E217" s="18" t="n"/>
      <c r="G217" s="19">
        <f>IF(Data!AC191&gt;0,RANK(Data!AC191,Data!$AC$5:$AC$804),"")</f>
        <v/>
      </c>
      <c r="H217" s="19">
        <f>IF(N(D217)&gt;0,RANK(D217,$D$31:$D$830),"")</f>
        <v/>
      </c>
    </row>
    <row r="218">
      <c r="A218" s="15" t="n">
        <v>188</v>
      </c>
      <c r="B218" s="16" t="inlineStr">
        <is>
          <t>8712345760045</t>
        </is>
      </c>
      <c r="C218" s="7" t="inlineStr">
        <is>
          <t>Oranges, 6pk</t>
        </is>
      </c>
      <c r="D218" s="17" t="n">
        <v>39553</v>
      </c>
      <c r="E218" s="18" t="n"/>
      <c r="G218" s="19">
        <f>IF(Data!AC192&gt;0,RANK(Data!AC192,Data!$AC$5:$AC$804),"")</f>
        <v/>
      </c>
      <c r="H218" s="19">
        <f>IF(N(D218)&gt;0,RANK(D218,$D$31:$D$830),"")</f>
        <v/>
      </c>
    </row>
    <row r="219">
      <c r="A219" s="15" t="n">
        <v>189</v>
      </c>
      <c r="B219" s="16" t="inlineStr">
        <is>
          <t>5012345844220</t>
        </is>
      </c>
      <c r="C219" s="7" t="inlineStr">
        <is>
          <t>Rosé wine, 1.5l</t>
        </is>
      </c>
      <c r="D219" s="17" t="n">
        <v>23694</v>
      </c>
      <c r="E219" s="18" t="n"/>
      <c r="G219" s="19">
        <f>IF(Data!AC193&gt;0,RANK(Data!AC193,Data!$AC$5:$AC$804),"")</f>
        <v/>
      </c>
      <c r="H219" s="19">
        <f>IF(N(D219)&gt;0,RANK(D219,$D$31:$D$830),"")</f>
        <v/>
      </c>
    </row>
    <row r="220">
      <c r="A220" s="15" t="n">
        <v>190</v>
      </c>
      <c r="B220" s="16" t="inlineStr">
        <is>
          <t>8712345435639</t>
        </is>
      </c>
      <c r="C220" s="7" t="inlineStr">
        <is>
          <t>Chocolate chip cookies, 200g</t>
        </is>
      </c>
      <c r="D220" s="17" t="n">
        <v>177702</v>
      </c>
      <c r="E220" s="18" t="n"/>
      <c r="G220" s="19">
        <f>IF(Data!AC194&gt;0,RANK(Data!AC194,Data!$AC$5:$AC$804),"")</f>
        <v/>
      </c>
      <c r="H220" s="19">
        <f>IF(N(D220)&gt;0,RANK(D220,$D$31:$D$830),"")</f>
        <v/>
      </c>
    </row>
    <row r="221">
      <c r="A221" s="15" t="n">
        <v>191</v>
      </c>
      <c r="B221" s="16" t="inlineStr">
        <is>
          <t>4012345154504</t>
        </is>
      </c>
      <c r="C221" s="7" t="inlineStr">
        <is>
          <t>Crunchy peanut butter, 1kg</t>
        </is>
      </c>
      <c r="D221" s="17" t="n">
        <v>35453</v>
      </c>
      <c r="E221" s="18" t="n"/>
      <c r="G221" s="19">
        <f>IF(Data!AC195&gt;0,RANK(Data!AC195,Data!$AC$5:$AC$804),"")</f>
        <v/>
      </c>
      <c r="H221" s="19">
        <f>IF(N(D221)&gt;0,RANK(D221,$D$31:$D$830),"")</f>
        <v/>
      </c>
    </row>
    <row r="222">
      <c r="A222" s="15" t="n">
        <v>192</v>
      </c>
      <c r="B222" s="16" t="inlineStr">
        <is>
          <t>2881811447670</t>
        </is>
      </c>
      <c r="C222" s="7" t="inlineStr">
        <is>
          <t>Kiwi fruit</t>
        </is>
      </c>
      <c r="D222" s="17" t="n"/>
      <c r="E222" s="18" t="n">
        <v>35410</v>
      </c>
      <c r="G222" s="19">
        <f>IF(Data!AC196&gt;0,RANK(Data!AC196,Data!$AC$5:$AC$804),"")</f>
        <v/>
      </c>
      <c r="H222" s="19">
        <f>IF(N(D222)&gt;0,RANK(D222,$D$31:$D$830),"")</f>
        <v/>
      </c>
    </row>
    <row r="223">
      <c r="A223" s="15" t="n">
        <v>193</v>
      </c>
      <c r="B223" s="16" t="inlineStr">
        <is>
          <t>2385470341100</t>
        </is>
      </c>
      <c r="C223" s="7" t="inlineStr">
        <is>
          <t>Kiwi fruit</t>
        </is>
      </c>
      <c r="D223" s="17" t="n"/>
      <c r="E223" s="18" t="n">
        <v>35141</v>
      </c>
      <c r="G223" s="19">
        <f>IF(Data!AC197&gt;0,RANK(Data!AC197,Data!$AC$5:$AC$804),"")</f>
        <v/>
      </c>
      <c r="H223" s="19">
        <f>IF(N(D223)&gt;0,RANK(D223,$D$31:$D$830),"")</f>
        <v/>
      </c>
    </row>
    <row r="224">
      <c r="A224" s="15" t="n">
        <v>194</v>
      </c>
      <c r="B224" s="16" t="inlineStr">
        <is>
          <t>4012345234831</t>
        </is>
      </c>
      <c r="C224" s="7" t="inlineStr">
        <is>
          <t>Chicken drumsticks, 650g</t>
        </is>
      </c>
      <c r="D224" s="17" t="n">
        <v>53998</v>
      </c>
      <c r="E224" s="18" t="n"/>
      <c r="G224" s="19">
        <f>IF(Data!AC198&gt;0,RANK(Data!AC198,Data!$AC$5:$AC$804),"")</f>
        <v/>
      </c>
      <c r="H224" s="19">
        <f>IF(N(D224)&gt;0,RANK(D224,$D$31:$D$830),"")</f>
        <v/>
      </c>
    </row>
    <row r="225">
      <c r="A225" s="15" t="n">
        <v>195</v>
      </c>
      <c r="B225" s="16" t="inlineStr">
        <is>
          <t>8712345529918</t>
        </is>
      </c>
      <c r="C225" s="7" t="inlineStr">
        <is>
          <t>Four cheese pizza, 400g</t>
        </is>
      </c>
      <c r="D225" s="17" t="n">
        <v>87484</v>
      </c>
      <c r="E225" s="18" t="n"/>
      <c r="G225" s="19">
        <f>IF(Data!AC199&gt;0,RANK(Data!AC199,Data!$AC$5:$AC$804),"")</f>
        <v/>
      </c>
      <c r="H225" s="19">
        <f>IF(N(D225)&gt;0,RANK(D225,$D$31:$D$830),"")</f>
        <v/>
      </c>
    </row>
    <row r="226">
      <c r="A226" s="15" t="n">
        <v>196</v>
      </c>
      <c r="B226" s="16" t="inlineStr">
        <is>
          <t>8712345517311</t>
        </is>
      </c>
      <c r="C226" s="7" t="inlineStr">
        <is>
          <t>Maris Piper potatoes, 750g</t>
        </is>
      </c>
      <c r="D226" s="17" t="n">
        <v>46447</v>
      </c>
      <c r="E226" s="18" t="n"/>
      <c r="G226" s="19">
        <f>IF(Data!AC200&gt;0,RANK(Data!AC200,Data!$AC$5:$AC$804),"")</f>
        <v/>
      </c>
      <c r="H226" s="19">
        <f>IF(N(D226)&gt;0,RANK(D226,$D$31:$D$830),"")</f>
        <v/>
      </c>
    </row>
    <row r="227">
      <c r="A227" s="15" t="n">
        <v>197</v>
      </c>
      <c r="B227" s="16" t="inlineStr">
        <is>
          <t>3012345156455</t>
        </is>
      </c>
      <c r="C227" s="7" t="inlineStr">
        <is>
          <t>Chickpeas in water, 4x400g</t>
        </is>
      </c>
      <c r="D227" s="17" t="n">
        <v>21512</v>
      </c>
      <c r="E227" s="18" t="n"/>
      <c r="G227" s="19">
        <f>IF(Data!AC201&gt;0,RANK(Data!AC201,Data!$AC$5:$AC$804),"")</f>
        <v/>
      </c>
      <c r="H227" s="19">
        <f>IF(N(D227)&gt;0,RANK(D227,$D$31:$D$830),"")</f>
        <v/>
      </c>
    </row>
    <row r="228">
      <c r="A228" s="15" t="n">
        <v>198</v>
      </c>
      <c r="B228" s="16" t="inlineStr">
        <is>
          <t>8712345409098</t>
        </is>
      </c>
      <c r="C228" s="7" t="inlineStr">
        <is>
          <t>Baked beans in tomato sauce, 4x400g</t>
        </is>
      </c>
      <c r="D228" s="17" t="n">
        <v>21461</v>
      </c>
      <c r="E228" s="18" t="n"/>
      <c r="G228" s="19">
        <f>IF(Data!AC202&gt;0,RANK(Data!AC202,Data!$AC$5:$AC$804),"")</f>
        <v/>
      </c>
      <c r="H228" s="19">
        <f>IF(N(D228)&gt;0,RANK(D228,$D$31:$D$830),"")</f>
        <v/>
      </c>
    </row>
    <row r="229">
      <c r="A229" s="15" t="n">
        <v>199</v>
      </c>
      <c r="B229" s="16" t="inlineStr">
        <is>
          <t>5012345723525</t>
        </is>
      </c>
      <c r="C229" s="7" t="inlineStr">
        <is>
          <t>Vanilla ice cream cones, 4x110ml</t>
        </is>
      </c>
      <c r="D229" s="17" t="n">
        <v>122508</v>
      </c>
      <c r="E229" s="18" t="n"/>
      <c r="G229" s="19">
        <f>IF(Data!AC203&gt;0,RANK(Data!AC203,Data!$AC$5:$AC$804),"")</f>
        <v/>
      </c>
      <c r="H229" s="19">
        <f>IF(N(D229)&gt;0,RANK(D229,$D$31:$D$830),"")</f>
        <v/>
      </c>
    </row>
    <row r="230">
      <c r="A230" s="15" t="n">
        <v>200</v>
      </c>
      <c r="B230" s="16" t="inlineStr">
        <is>
          <t>4012345350432</t>
        </is>
      </c>
      <c r="C230" s="7" t="inlineStr">
        <is>
          <t>Corn flakes, 1kg</t>
        </is>
      </c>
      <c r="D230" s="17" t="n">
        <v>33619</v>
      </c>
      <c r="E230" s="18" t="n"/>
      <c r="G230" s="19">
        <f>IF(Data!AC204&gt;0,RANK(Data!AC204,Data!$AC$5:$AC$804),"")</f>
        <v/>
      </c>
      <c r="H230" s="19">
        <f>IF(N(D230)&gt;0,RANK(D230,$D$31:$D$830),"")</f>
        <v/>
      </c>
    </row>
    <row r="231">
      <c r="A231" s="15" t="n">
        <v>201</v>
      </c>
      <c r="B231" s="16" t="inlineStr">
        <is>
          <t>8712345043087</t>
        </is>
      </c>
      <c r="C231" s="7" t="inlineStr">
        <is>
          <t>Thick sliced white bread, 250g</t>
        </is>
      </c>
      <c r="D231" s="17" t="n">
        <v>132822</v>
      </c>
      <c r="E231" s="18" t="n"/>
      <c r="G231" s="19">
        <f>IF(Data!AC205&gt;0,RANK(Data!AC205,Data!$AC$5:$AC$804),"")</f>
        <v/>
      </c>
      <c r="H231" s="19">
        <f>IF(N(D231)&gt;0,RANK(D231,$D$31:$D$830),"")</f>
        <v/>
      </c>
    </row>
    <row r="232">
      <c r="A232" s="15" t="n">
        <v>202</v>
      </c>
      <c r="B232" s="16" t="inlineStr">
        <is>
          <t>3012345445665</t>
        </is>
      </c>
      <c r="C232" s="7" t="inlineStr">
        <is>
          <t>Smooth orange juice, 1.75l</t>
        </is>
      </c>
      <c r="D232" s="17" t="n">
        <v>18184</v>
      </c>
      <c r="E232" s="18" t="n"/>
      <c r="G232" s="19">
        <f>IF(Data!AC206&gt;0,RANK(Data!AC206,Data!$AC$5:$AC$804),"")</f>
        <v/>
      </c>
      <c r="H232" s="19">
        <f>IF(N(D232)&gt;0,RANK(D232,$D$31:$D$830),"")</f>
        <v/>
      </c>
    </row>
    <row r="233">
      <c r="A233" s="15" t="n">
        <v>203</v>
      </c>
      <c r="B233" s="16" t="inlineStr">
        <is>
          <t>2809464823400</t>
        </is>
      </c>
      <c r="C233" s="7" t="inlineStr">
        <is>
          <t>Baby spinach</t>
        </is>
      </c>
      <c r="D233" s="17" t="n"/>
      <c r="E233" s="18" t="n">
        <v>33011</v>
      </c>
      <c r="G233" s="19">
        <f>IF(Data!AC207&gt;0,RANK(Data!AC207,Data!$AC$5:$AC$804),"")</f>
        <v/>
      </c>
      <c r="H233" s="19">
        <f>IF(N(D233)&gt;0,RANK(D233,$D$31:$D$830),"")</f>
        <v/>
      </c>
    </row>
    <row r="234">
      <c r="A234" s="15" t="n">
        <v>204</v>
      </c>
      <c r="B234" s="16" t="inlineStr">
        <is>
          <t>5012345288635</t>
        </is>
      </c>
      <c r="C234" s="7" t="inlineStr">
        <is>
          <t>Raspberries, 6pk</t>
        </is>
      </c>
      <c r="D234" s="17" t="n">
        <v>36673</v>
      </c>
      <c r="E234" s="18" t="n"/>
      <c r="G234" s="19">
        <f>IF(Data!AC208&gt;0,RANK(Data!AC208,Data!$AC$5:$AC$804),"")</f>
        <v/>
      </c>
      <c r="H234" s="19">
        <f>IF(N(D234)&gt;0,RANK(D234,$D$31:$D$830),"")</f>
        <v/>
      </c>
    </row>
    <row r="235">
      <c r="A235" s="15" t="n">
        <v>205</v>
      </c>
      <c r="B235" s="16" t="inlineStr">
        <is>
          <t>8712345520335</t>
        </is>
      </c>
      <c r="C235" s="7" t="inlineStr">
        <is>
          <t>Quark, 250g</t>
        </is>
      </c>
      <c r="D235" s="17" t="n">
        <v>132022</v>
      </c>
      <c r="E235" s="18" t="n"/>
      <c r="G235" s="19">
        <f>IF(Data!AC209&gt;0,RANK(Data!AC209,Data!$AC$5:$AC$804),"")</f>
        <v/>
      </c>
      <c r="H235" s="19">
        <f>IF(N(D235)&gt;0,RANK(D235,$D$31:$D$830),"")</f>
        <v/>
      </c>
    </row>
    <row r="236">
      <c r="A236" s="15" t="n">
        <v>206</v>
      </c>
      <c r="B236" s="16" t="inlineStr">
        <is>
          <t>4012345935370</t>
        </is>
      </c>
      <c r="C236" s="7" t="inlineStr">
        <is>
          <t>Peach yoghurt, 6x125g</t>
        </is>
      </c>
      <c r="D236" s="17" t="n">
        <v>44002</v>
      </c>
      <c r="E236" s="18" t="n"/>
      <c r="G236" s="19">
        <f>IF(Data!AC210&gt;0,RANK(Data!AC210,Data!$AC$5:$AC$804),"")</f>
        <v/>
      </c>
      <c r="H236" s="19">
        <f>IF(N(D236)&gt;0,RANK(D236,$D$31:$D$830),"")</f>
        <v/>
      </c>
    </row>
    <row r="237">
      <c r="A237" s="15" t="n">
        <v>207</v>
      </c>
      <c r="B237" s="16" t="inlineStr">
        <is>
          <t>5012345195490</t>
        </is>
      </c>
      <c r="C237" s="7" t="inlineStr">
        <is>
          <t>Chocolate milk drink, 6x200ml</t>
        </is>
      </c>
      <c r="D237" s="17" t="n">
        <v>26329</v>
      </c>
      <c r="E237" s="18" t="n"/>
      <c r="G237" s="19">
        <f>IF(Data!AC211&gt;0,RANK(Data!AC211,Data!$AC$5:$AC$804),"")</f>
        <v/>
      </c>
      <c r="H237" s="19">
        <f>IF(N(D237)&gt;0,RANK(D237,$D$31:$D$830),"")</f>
        <v/>
      </c>
    </row>
    <row r="238">
      <c r="A238" s="15" t="n">
        <v>208</v>
      </c>
      <c r="B238" s="16" t="inlineStr">
        <is>
          <t>3012345351287</t>
        </is>
      </c>
      <c r="C238" s="7" t="inlineStr">
        <is>
          <t>Pork shoulder joint, 500g</t>
        </is>
      </c>
      <c r="D238" s="17" t="n">
        <v>64790</v>
      </c>
      <c r="E238" s="18" t="n"/>
      <c r="G238" s="19">
        <f>IF(Data!AC212&gt;0,RANK(Data!AC212,Data!$AC$5:$AC$804),"")</f>
        <v/>
      </c>
      <c r="H238" s="19">
        <f>IF(N(D238)&gt;0,RANK(D238,$D$31:$D$830),"")</f>
        <v/>
      </c>
    </row>
    <row r="239">
      <c r="A239" s="15" t="n">
        <v>209</v>
      </c>
      <c r="B239" s="16" t="inlineStr">
        <is>
          <t>4012345914429</t>
        </is>
      </c>
      <c r="C239" s="7" t="inlineStr">
        <is>
          <t>Wheat beer, 4x440ml</t>
        </is>
      </c>
      <c r="D239" s="17" t="n">
        <v>18339</v>
      </c>
      <c r="E239" s="18" t="n"/>
      <c r="G239" s="19">
        <f>IF(Data!AC213&gt;0,RANK(Data!AC213,Data!$AC$5:$AC$804),"")</f>
        <v/>
      </c>
      <c r="H239" s="19">
        <f>IF(N(D239)&gt;0,RANK(D239,$D$31:$D$830),"")</f>
        <v/>
      </c>
    </row>
    <row r="240">
      <c r="A240" s="15" t="n">
        <v>210</v>
      </c>
      <c r="B240" s="16" t="inlineStr">
        <is>
          <t>8712345792923</t>
        </is>
      </c>
      <c r="C240" s="7" t="inlineStr">
        <is>
          <t>Ginger nut biscuits, 300g</t>
        </is>
      </c>
      <c r="D240" s="17" t="n">
        <v>105731</v>
      </c>
      <c r="E240" s="18" t="n"/>
      <c r="G240" s="19">
        <f>IF(Data!AC214&gt;0,RANK(Data!AC214,Data!$AC$5:$AC$804),"")</f>
        <v/>
      </c>
      <c r="H240" s="19">
        <f>IF(N(D240)&gt;0,RANK(D240,$D$31:$D$830),"")</f>
        <v/>
      </c>
    </row>
    <row r="241">
      <c r="A241" s="15" t="n">
        <v>211</v>
      </c>
      <c r="B241" s="16" t="inlineStr">
        <is>
          <t>3012345602952</t>
        </is>
      </c>
      <c r="C241" s="7" t="inlineStr">
        <is>
          <t>Marinated BBQ pork ribs, 700g</t>
        </is>
      </c>
      <c r="D241" s="17" t="n">
        <v>45180</v>
      </c>
      <c r="E241" s="18" t="n"/>
      <c r="G241" s="19">
        <f>IF(Data!AC215&gt;0,RANK(Data!AC215,Data!$AC$5:$AC$804),"")</f>
        <v/>
      </c>
      <c r="H241" s="19">
        <f>IF(N(D241)&gt;0,RANK(D241,$D$31:$D$830),"")</f>
        <v/>
      </c>
    </row>
    <row r="242">
      <c r="A242" s="15" t="n">
        <v>212</v>
      </c>
      <c r="B242" s="16" t="inlineStr">
        <is>
          <t>8712345540999</t>
        </is>
      </c>
      <c r="C242" s="7" t="inlineStr">
        <is>
          <t>Maris Piper potatoes, 1kg</t>
        </is>
      </c>
      <c r="D242" s="17" t="n">
        <v>31310</v>
      </c>
      <c r="E242" s="18" t="n"/>
      <c r="G242" s="19">
        <f>IF(Data!AC216&gt;0,RANK(Data!AC216,Data!$AC$5:$AC$804),"")</f>
        <v/>
      </c>
      <c r="H242" s="19">
        <f>IF(N(D242)&gt;0,RANK(D242,$D$31:$D$830),"")</f>
        <v/>
      </c>
    </row>
    <row r="243">
      <c r="A243" s="15" t="n">
        <v>213</v>
      </c>
      <c r="B243" s="16" t="inlineStr">
        <is>
          <t>3012345694865</t>
        </is>
      </c>
      <c r="C243" s="7" t="inlineStr">
        <is>
          <t>Whole chicken, 1kg</t>
        </is>
      </c>
      <c r="D243" s="17" t="n">
        <v>31155</v>
      </c>
      <c r="E243" s="18" t="n"/>
      <c r="G243" s="19">
        <f>IF(Data!AC217&gt;0,RANK(Data!AC217,Data!$AC$5:$AC$804),"")</f>
        <v/>
      </c>
      <c r="H243" s="19">
        <f>IF(N(D243)&gt;0,RANK(D243,$D$31:$D$830),"")</f>
        <v/>
      </c>
    </row>
    <row r="244">
      <c r="A244" s="15" t="n">
        <v>214</v>
      </c>
      <c r="B244" s="16" t="inlineStr">
        <is>
          <t>8712345060305</t>
        </is>
      </c>
      <c r="C244" s="7" t="inlineStr">
        <is>
          <t>Baby spinach, 500g</t>
        </is>
      </c>
      <c r="D244" s="17" t="n">
        <v>62044</v>
      </c>
      <c r="E244" s="18" t="n"/>
      <c r="G244" s="19">
        <f>IF(Data!AC218&gt;0,RANK(Data!AC218,Data!$AC$5:$AC$804),"")</f>
        <v/>
      </c>
      <c r="H244" s="19">
        <f>IF(N(D244)&gt;0,RANK(D244,$D$31:$D$830),"")</f>
        <v/>
      </c>
    </row>
    <row r="245">
      <c r="A245" s="15" t="n">
        <v>215</v>
      </c>
      <c r="B245" s="16" t="inlineStr">
        <is>
          <t>4012345314168</t>
        </is>
      </c>
      <c r="C245" s="7" t="inlineStr">
        <is>
          <t>Kiwi fruit, 500g</t>
        </is>
      </c>
      <c r="D245" s="17" t="n">
        <v>61928</v>
      </c>
      <c r="E245" s="18" t="n"/>
      <c r="G245" s="19">
        <f>IF(Data!AC219&gt;0,RANK(Data!AC219,Data!$AC$5:$AC$804),"")</f>
        <v/>
      </c>
      <c r="H245" s="19">
        <f>IF(N(D245)&gt;0,RANK(D245,$D$31:$D$830),"")</f>
        <v/>
      </c>
    </row>
    <row r="246">
      <c r="A246" s="15" t="n">
        <v>216</v>
      </c>
      <c r="B246" s="16" t="inlineStr">
        <is>
          <t>8712345765408</t>
        </is>
      </c>
      <c r="C246" s="7" t="inlineStr">
        <is>
          <t>Unsalted butter, 500g</t>
        </is>
      </c>
      <c r="D246" s="17" t="n">
        <v>61744</v>
      </c>
      <c r="E246" s="18" t="n"/>
      <c r="G246" s="19">
        <f>IF(Data!AC220&gt;0,RANK(Data!AC220,Data!$AC$5:$AC$804),"")</f>
        <v/>
      </c>
      <c r="H246" s="19">
        <f>IF(N(D246)&gt;0,RANK(D246,$D$31:$D$830),"")</f>
        <v/>
      </c>
    </row>
    <row r="247">
      <c r="A247" s="15" t="n">
        <v>217</v>
      </c>
      <c r="B247" s="16" t="inlineStr">
        <is>
          <t>4012345416879</t>
        </is>
      </c>
      <c r="C247" s="7" t="inlineStr">
        <is>
          <t>Ginger nut biscuits, 300g</t>
        </is>
      </c>
      <c r="D247" s="17" t="n">
        <v>102717</v>
      </c>
      <c r="E247" s="18" t="n"/>
      <c r="G247" s="19">
        <f>IF(Data!AC221&gt;0,RANK(Data!AC221,Data!$AC$5:$AC$804),"")</f>
        <v/>
      </c>
      <c r="H247" s="19">
        <f>IF(N(D247)&gt;0,RANK(D247,$D$31:$D$830),"")</f>
        <v/>
      </c>
    </row>
    <row r="248">
      <c r="A248" s="15" t="n">
        <v>218</v>
      </c>
      <c r="B248" s="16" t="inlineStr">
        <is>
          <t>8712345540203</t>
        </is>
      </c>
      <c r="C248" s="7" t="inlineStr">
        <is>
          <t>Organic free-range eggs, 12pk</t>
        </is>
      </c>
      <c r="D248" s="17" t="n">
        <v>42549</v>
      </c>
      <c r="E248" s="18" t="n"/>
      <c r="G248" s="19">
        <f>IF(Data!AC222&gt;0,RANK(Data!AC222,Data!$AC$5:$AC$804),"")</f>
        <v/>
      </c>
      <c r="H248" s="19">
        <f>IF(N(D248)&gt;0,RANK(D248,$D$31:$D$830),"")</f>
        <v/>
      </c>
    </row>
    <row r="249">
      <c r="A249" s="15" t="n">
        <v>219</v>
      </c>
      <c r="B249" s="16" t="inlineStr">
        <is>
          <t>3012345319959</t>
        </is>
      </c>
      <c r="C249" s="7" t="inlineStr">
        <is>
          <t>Closed cup mushrooms, 500g</t>
        </is>
      </c>
      <c r="D249" s="17" t="n">
        <v>60888</v>
      </c>
      <c r="E249" s="18" t="n"/>
      <c r="G249" s="19">
        <f>IF(Data!AC223&gt;0,RANK(Data!AC223,Data!$AC$5:$AC$804),"")</f>
        <v/>
      </c>
      <c r="H249" s="19">
        <f>IF(N(D249)&gt;0,RANK(D249,$D$31:$D$830),"")</f>
        <v/>
      </c>
    </row>
    <row r="250">
      <c r="A250" s="15" t="n">
        <v>220</v>
      </c>
      <c r="B250" s="16" t="inlineStr">
        <is>
          <t>4012345192285</t>
        </is>
      </c>
      <c r="C250" s="7" t="inlineStr">
        <is>
          <t>Brie, 200g</t>
        </is>
      </c>
      <c r="D250" s="17" t="n">
        <v>151306</v>
      </c>
      <c r="E250" s="18" t="n"/>
      <c r="G250" s="19">
        <f>IF(Data!AC224&gt;0,RANK(Data!AC224,Data!$AC$5:$AC$804),"")</f>
        <v/>
      </c>
      <c r="H250" s="19">
        <f>IF(N(D250)&gt;0,RANK(D250,$D$31:$D$830),"")</f>
        <v/>
      </c>
    </row>
    <row r="251">
      <c r="A251" s="15" t="n">
        <v>221</v>
      </c>
      <c r="B251" s="16" t="inlineStr">
        <is>
          <t>5012345245973</t>
        </is>
      </c>
      <c r="C251" s="7" t="inlineStr">
        <is>
          <t>Arborio rice, 1kg</t>
        </is>
      </c>
      <c r="D251" s="17" t="n">
        <v>30006</v>
      </c>
      <c r="E251" s="18" t="n"/>
      <c r="G251" s="19">
        <f>IF(Data!AC225&gt;0,RANK(Data!AC225,Data!$AC$5:$AC$804),"")</f>
        <v/>
      </c>
      <c r="H251" s="19">
        <f>IF(N(D251)&gt;0,RANK(D251,$D$31:$D$830),"")</f>
        <v/>
      </c>
    </row>
    <row r="252">
      <c r="A252" s="15" t="n">
        <v>222</v>
      </c>
      <c r="B252" s="16" t="inlineStr">
        <is>
          <t>4012345525977</t>
        </is>
      </c>
      <c r="C252" s="7" t="inlineStr">
        <is>
          <t>Pork mince, 400g</t>
        </is>
      </c>
      <c r="D252" s="17" t="n">
        <v>74778</v>
      </c>
      <c r="E252" s="18" t="n"/>
      <c r="G252" s="19">
        <f>IF(Data!AC226&gt;0,RANK(Data!AC226,Data!$AC$5:$AC$804),"")</f>
        <v/>
      </c>
      <c r="H252" s="19">
        <f>IF(N(D252)&gt;0,RANK(D252,$D$31:$D$830),"")</f>
        <v/>
      </c>
    </row>
    <row r="253">
      <c r="A253" s="15" t="n">
        <v>223</v>
      </c>
      <c r="B253" s="16" t="inlineStr">
        <is>
          <t>4012345389791</t>
        </is>
      </c>
      <c r="C253" s="7" t="inlineStr">
        <is>
          <t>Thick sliced white bread, 6pk 360g</t>
        </is>
      </c>
      <c r="D253" s="17" t="n">
        <v>82612</v>
      </c>
      <c r="E253" s="18" t="n"/>
      <c r="G253" s="19">
        <f>IF(Data!AC227&gt;0,RANK(Data!AC227,Data!$AC$5:$AC$804),"")</f>
        <v/>
      </c>
      <c r="H253" s="19">
        <f>IF(N(D253)&gt;0,RANK(D253,$D$31:$D$830),"")</f>
        <v/>
      </c>
    </row>
    <row r="254">
      <c r="A254" s="15" t="n">
        <v>224</v>
      </c>
      <c r="B254" s="16" t="inlineStr">
        <is>
          <t>2833803580080</t>
        </is>
      </c>
      <c r="C254" s="7" t="inlineStr">
        <is>
          <t>Cherry tomatoes</t>
        </is>
      </c>
      <c r="D254" s="17" t="n"/>
      <c r="E254" s="18" t="n">
        <v>29562</v>
      </c>
      <c r="G254" s="19">
        <f>IF(Data!AC228&gt;0,RANK(Data!AC228,Data!$AC$5:$AC$804),"")</f>
        <v/>
      </c>
      <c r="H254" s="19">
        <f>IF(N(D254)&gt;0,RANK(D254,$D$31:$D$830),"")</f>
        <v/>
      </c>
    </row>
    <row r="255">
      <c r="A255" s="15" t="n">
        <v>225</v>
      </c>
      <c r="B255" s="16" t="inlineStr">
        <is>
          <t>4012345293067</t>
        </is>
      </c>
      <c r="C255" s="7" t="inlineStr">
        <is>
          <t>Wheat beer, 10x330ml</t>
        </is>
      </c>
      <c r="D255" s="17" t="n">
        <v>8958</v>
      </c>
      <c r="E255" s="18" t="n"/>
      <c r="G255" s="19">
        <f>IF(Data!AC229&gt;0,RANK(Data!AC229,Data!$AC$5:$AC$804),"")</f>
        <v/>
      </c>
      <c r="H255" s="19">
        <f>IF(N(D255)&gt;0,RANK(D255,$D$31:$D$830),"")</f>
        <v/>
      </c>
    </row>
    <row r="256">
      <c r="A256" s="15" t="n">
        <v>226</v>
      </c>
      <c r="B256" s="16" t="inlineStr">
        <is>
          <t>8712345953577</t>
        </is>
      </c>
      <c r="C256" s="7" t="inlineStr">
        <is>
          <t>Broccoli florets, 1kg</t>
        </is>
      </c>
      <c r="D256" s="17" t="n">
        <v>29548</v>
      </c>
      <c r="E256" s="18" t="n"/>
      <c r="G256" s="19">
        <f>IF(Data!AC230&gt;0,RANK(Data!AC230,Data!$AC$5:$AC$804),"")</f>
        <v/>
      </c>
      <c r="H256" s="19">
        <f>IF(N(D256)&gt;0,RANK(D256,$D$31:$D$830),"")</f>
        <v/>
      </c>
    </row>
    <row r="257">
      <c r="A257" s="15" t="n">
        <v>227</v>
      </c>
      <c r="B257" s="16" t="inlineStr">
        <is>
          <t>5012345545509</t>
        </is>
      </c>
      <c r="C257" s="7" t="inlineStr">
        <is>
          <t>White bloomer, 6pk 360g</t>
        </is>
      </c>
      <c r="D257" s="17" t="n">
        <v>81901</v>
      </c>
      <c r="E257" s="18" t="n"/>
      <c r="G257" s="19">
        <f>IF(Data!AC231&gt;0,RANK(Data!AC231,Data!$AC$5:$AC$804),"")</f>
        <v/>
      </c>
      <c r="H257" s="19">
        <f>IF(N(D257)&gt;0,RANK(D257,$D$31:$D$830),"")</f>
        <v/>
      </c>
    </row>
    <row r="258">
      <c r="A258" s="15" t="n">
        <v>228</v>
      </c>
      <c r="B258" s="16" t="inlineStr">
        <is>
          <t>3012345927987</t>
        </is>
      </c>
      <c r="C258" s="7" t="inlineStr">
        <is>
          <t>Pink Lady apples, 500g</t>
        </is>
      </c>
      <c r="D258" s="17" t="n">
        <v>58934</v>
      </c>
      <c r="E258" s="18" t="n"/>
      <c r="G258" s="19">
        <f>IF(Data!AC232&gt;0,RANK(Data!AC232,Data!$AC$5:$AC$804),"")</f>
        <v/>
      </c>
      <c r="H258" s="19">
        <f>IF(N(D258)&gt;0,RANK(D258,$D$31:$D$830),"")</f>
        <v/>
      </c>
    </row>
    <row r="259">
      <c r="A259" s="15" t="n">
        <v>229</v>
      </c>
      <c r="B259" s="16" t="inlineStr">
        <is>
          <t>4012345408249</t>
        </is>
      </c>
      <c r="C259" s="7" t="inlineStr">
        <is>
          <t>White potatoes, 750g</t>
        </is>
      </c>
      <c r="D259" s="17" t="n">
        <v>39256</v>
      </c>
      <c r="E259" s="18" t="n"/>
      <c r="G259" s="19">
        <f>IF(Data!AC233&gt;0,RANK(Data!AC233,Data!$AC$5:$AC$804),"")</f>
        <v/>
      </c>
      <c r="H259" s="19">
        <f>IF(N(D259)&gt;0,RANK(D259,$D$31:$D$830),"")</f>
        <v/>
      </c>
    </row>
    <row r="260">
      <c r="A260" s="15" t="n">
        <v>230</v>
      </c>
      <c r="B260" s="16" t="inlineStr">
        <is>
          <t>5012345976006</t>
        </is>
      </c>
      <c r="C260" s="7" t="inlineStr">
        <is>
          <t>Nut &amp; dark chocolate bars, 5x35g</t>
        </is>
      </c>
      <c r="D260" s="17" t="n">
        <v>166857</v>
      </c>
      <c r="E260" s="18" t="n"/>
      <c r="G260" s="19">
        <f>IF(Data!AC234&gt;0,RANK(Data!AC234,Data!$AC$5:$AC$804),"")</f>
        <v/>
      </c>
      <c r="H260" s="19">
        <f>IF(N(D260)&gt;0,RANK(D260,$D$31:$D$830),"")</f>
        <v/>
      </c>
    </row>
    <row r="261">
      <c r="A261" s="15" t="n">
        <v>231</v>
      </c>
      <c r="B261" s="16" t="inlineStr">
        <is>
          <t>3012345299794</t>
        </is>
      </c>
      <c r="C261" s="7" t="inlineStr">
        <is>
          <t>Egg lasagne sheets, 250g</t>
        </is>
      </c>
      <c r="D261" s="17" t="n">
        <v>116586</v>
      </c>
      <c r="E261" s="18" t="n"/>
      <c r="G261" s="19">
        <f>IF(Data!AC235&gt;0,RANK(Data!AC235,Data!$AC$5:$AC$804),"")</f>
        <v/>
      </c>
      <c r="H261" s="19">
        <f>IF(N(D261)&gt;0,RANK(D261,$D$31:$D$830),"")</f>
        <v/>
      </c>
    </row>
    <row r="262">
      <c r="A262" s="15" t="n">
        <v>232</v>
      </c>
      <c r="B262" s="16" t="inlineStr">
        <is>
          <t>4012345004939</t>
        </is>
      </c>
      <c r="C262" s="7" t="inlineStr">
        <is>
          <t>Tortilla chips, 150g</t>
        </is>
      </c>
      <c r="D262" s="17" t="n">
        <v>192043</v>
      </c>
      <c r="E262" s="18" t="n"/>
      <c r="G262" s="19">
        <f>IF(Data!AC236&gt;0,RANK(Data!AC236,Data!$AC$5:$AC$804),"")</f>
        <v/>
      </c>
      <c r="H262" s="19">
        <f>IF(N(D262)&gt;0,RANK(D262,$D$31:$D$830),"")</f>
        <v/>
      </c>
    </row>
    <row r="263">
      <c r="A263" s="15" t="n">
        <v>233</v>
      </c>
      <c r="B263" s="16" t="inlineStr">
        <is>
          <t>3012345655026</t>
        </is>
      </c>
      <c r="C263" s="7" t="inlineStr">
        <is>
          <t>Cauliflower, 300g</t>
        </is>
      </c>
      <c r="D263" s="17" t="n">
        <v>95305</v>
      </c>
      <c r="E263" s="18" t="n"/>
      <c r="G263" s="19">
        <f>IF(Data!AC237&gt;0,RANK(Data!AC237,Data!$AC$5:$AC$804),"")</f>
        <v/>
      </c>
      <c r="H263" s="19">
        <f>IF(N(D263)&gt;0,RANK(D263,$D$31:$D$830),"")</f>
        <v/>
      </c>
    </row>
    <row r="264">
      <c r="A264" s="15" t="n">
        <v>234</v>
      </c>
      <c r="B264" s="16" t="inlineStr">
        <is>
          <t>5012345491202</t>
        </is>
      </c>
      <c r="C264" s="7" t="inlineStr">
        <is>
          <t>Four cheese pizza, 335g</t>
        </is>
      </c>
      <c r="D264" s="17" t="n">
        <v>84983</v>
      </c>
      <c r="E264" s="18" t="n"/>
      <c r="G264" s="19">
        <f>IF(Data!AC238&gt;0,RANK(Data!AC238,Data!$AC$5:$AC$804),"")</f>
        <v/>
      </c>
      <c r="H264" s="19">
        <f>IF(N(D264)&gt;0,RANK(D264,$D$31:$D$830),"")</f>
        <v/>
      </c>
    </row>
    <row r="265">
      <c r="A265" s="15" t="n">
        <v>235</v>
      </c>
      <c r="B265" s="16" t="inlineStr">
        <is>
          <t>5012345027340</t>
        </is>
      </c>
      <c r="C265" s="7" t="inlineStr">
        <is>
          <t>Pressed apple juice, 1.75l</t>
        </is>
      </c>
      <c r="D265" s="17" t="n">
        <v>15628</v>
      </c>
      <c r="E265" s="18" t="n"/>
      <c r="G265" s="19">
        <f>IF(Data!AC239&gt;0,RANK(Data!AC239,Data!$AC$5:$AC$804),"")</f>
        <v/>
      </c>
      <c r="H265" s="19">
        <f>IF(N(D265)&gt;0,RANK(D265,$D$31:$D$830),"")</f>
        <v/>
      </c>
    </row>
    <row r="266">
      <c r="A266" s="15" t="n">
        <v>236</v>
      </c>
      <c r="B266" s="16" t="inlineStr">
        <is>
          <t>2344057077190</t>
        </is>
      </c>
      <c r="C266" s="7" t="inlineStr">
        <is>
          <t>Sweetcorn cobs</t>
        </is>
      </c>
      <c r="D266" s="17" t="n"/>
      <c r="E266" s="18" t="n">
        <v>28385</v>
      </c>
      <c r="G266" s="19">
        <f>IF(Data!AC240&gt;0,RANK(Data!AC240,Data!$AC$5:$AC$804),"")</f>
        <v/>
      </c>
      <c r="H266" s="19">
        <f>IF(N(D266)&gt;0,RANK(D266,$D$31:$D$830),"")</f>
        <v/>
      </c>
    </row>
    <row r="267">
      <c r="A267" s="15" t="n">
        <v>237</v>
      </c>
      <c r="B267" s="16" t="inlineStr">
        <is>
          <t>5012345899916</t>
        </is>
      </c>
      <c r="C267" s="7" t="inlineStr">
        <is>
          <t>Rapeseed oil, 3l</t>
        </is>
      </c>
      <c r="D267" s="17" t="n">
        <v>10178</v>
      </c>
      <c r="E267" s="18" t="n"/>
      <c r="G267" s="19">
        <f>IF(Data!AC241&gt;0,RANK(Data!AC241,Data!$AC$5:$AC$804),"")</f>
        <v/>
      </c>
      <c r="H267" s="19">
        <f>IF(N(D267)&gt;0,RANK(D267,$D$31:$D$830),"")</f>
        <v/>
      </c>
    </row>
    <row r="268">
      <c r="A268" s="15" t="n">
        <v>238</v>
      </c>
      <c r="B268" s="16" t="inlineStr">
        <is>
          <t>3012345786478</t>
        </is>
      </c>
      <c r="C268" s="7" t="inlineStr">
        <is>
          <t>Organic free-range eggs, 6pk</t>
        </is>
      </c>
      <c r="D268" s="17" t="n">
        <v>77539</v>
      </c>
      <c r="E268" s="18" t="n"/>
      <c r="G268" s="19">
        <f>IF(Data!AC242&gt;0,RANK(Data!AC242,Data!$AC$5:$AC$804),"")</f>
        <v/>
      </c>
      <c r="H268" s="19">
        <f>IF(N(D268)&gt;0,RANK(D268,$D$31:$D$830),"")</f>
        <v/>
      </c>
    </row>
    <row r="269">
      <c r="A269" s="15" t="n">
        <v>239</v>
      </c>
      <c r="B269" s="16" t="inlineStr">
        <is>
          <t>3012345750974</t>
        </is>
      </c>
      <c r="C269" s="7" t="inlineStr">
        <is>
          <t>Sauvignon blanc white wine, 1.5l</t>
        </is>
      </c>
      <c r="D269" s="17" t="n">
        <v>18608</v>
      </c>
      <c r="E269" s="18" t="n"/>
      <c r="G269" s="19">
        <f>IF(Data!AC243&gt;0,RANK(Data!AC243,Data!$AC$5:$AC$804),"")</f>
        <v/>
      </c>
      <c r="H269" s="19">
        <f>IF(N(D269)&gt;0,RANK(D269,$D$31:$D$830),"")</f>
        <v/>
      </c>
    </row>
    <row r="270">
      <c r="A270" s="15" t="n">
        <v>240</v>
      </c>
      <c r="B270" s="16" t="inlineStr">
        <is>
          <t>8712345052614</t>
        </is>
      </c>
      <c r="C270" s="7" t="inlineStr">
        <is>
          <t>Plain tortilla wraps, 800g</t>
        </is>
      </c>
      <c r="D270" s="17" t="n">
        <v>34885</v>
      </c>
      <c r="E270" s="18" t="n"/>
      <c r="G270" s="19">
        <f>IF(Data!AC244&gt;0,RANK(Data!AC244,Data!$AC$5:$AC$804),"")</f>
        <v/>
      </c>
      <c r="H270" s="19">
        <f>IF(N(D270)&gt;0,RANK(D270,$D$31:$D$830),"")</f>
        <v/>
      </c>
    </row>
    <row r="271">
      <c r="A271" s="15" t="n">
        <v>241</v>
      </c>
      <c r="B271" s="16" t="inlineStr">
        <is>
          <t>8712345471293</t>
        </is>
      </c>
      <c r="C271" s="7" t="inlineStr">
        <is>
          <t>Wholewheat penne, 1kg</t>
        </is>
      </c>
      <c r="D271" s="17" t="n">
        <v>27687</v>
      </c>
      <c r="E271" s="18" t="n"/>
      <c r="G271" s="19">
        <f>IF(Data!AC245&gt;0,RANK(Data!AC245,Data!$AC$5:$AC$804),"")</f>
        <v/>
      </c>
      <c r="H271" s="19">
        <f>IF(N(D271)&gt;0,RANK(D271,$D$31:$D$830),"")</f>
        <v/>
      </c>
    </row>
    <row r="272">
      <c r="A272" s="15" t="n">
        <v>242</v>
      </c>
      <c r="B272" s="16" t="inlineStr">
        <is>
          <t>4012345806564</t>
        </is>
      </c>
      <c r="C272" s="7" t="inlineStr">
        <is>
          <t>Black beans in water, 4x400g</t>
        </is>
      </c>
      <c r="D272" s="17" t="n">
        <v>17242</v>
      </c>
      <c r="E272" s="18" t="n"/>
      <c r="G272" s="19">
        <f>IF(Data!AC246&gt;0,RANK(Data!AC246,Data!$AC$5:$AC$804),"")</f>
        <v/>
      </c>
      <c r="H272" s="19">
        <f>IF(N(D272)&gt;0,RANK(D272,$D$31:$D$830),"")</f>
        <v/>
      </c>
    </row>
    <row r="273">
      <c r="A273" s="15" t="n">
        <v>243</v>
      </c>
      <c r="B273" s="16" t="inlineStr">
        <is>
          <t>8712345176662</t>
        </is>
      </c>
      <c r="C273" s="7" t="inlineStr">
        <is>
          <t>Bran flakes, 1kg</t>
        </is>
      </c>
      <c r="D273" s="17" t="n">
        <v>27365</v>
      </c>
      <c r="E273" s="18" t="n"/>
      <c r="G273" s="19">
        <f>IF(Data!AC247&gt;0,RANK(Data!AC247,Data!$AC$5:$AC$804),"")</f>
        <v/>
      </c>
      <c r="H273" s="19">
        <f>IF(N(D273)&gt;0,RANK(D273,$D$31:$D$830),"")</f>
        <v/>
      </c>
    </row>
    <row r="274">
      <c r="A274" s="15" t="n">
        <v>244</v>
      </c>
      <c r="B274" s="16" t="inlineStr">
        <is>
          <t>5012345508702</t>
        </is>
      </c>
      <c r="C274" s="7" t="inlineStr">
        <is>
          <t>Closed cup mushrooms, 1kg</t>
        </is>
      </c>
      <c r="D274" s="17" t="n">
        <v>27315</v>
      </c>
      <c r="E274" s="18" t="n"/>
      <c r="G274" s="19">
        <f>IF(Data!AC248&gt;0,RANK(Data!AC248,Data!$AC$5:$AC$804),"")</f>
        <v/>
      </c>
      <c r="H274" s="19">
        <f>IF(N(D274)&gt;0,RANK(D274,$D$31:$D$830),"")</f>
        <v/>
      </c>
    </row>
    <row r="275">
      <c r="A275" s="15" t="n">
        <v>245</v>
      </c>
      <c r="B275" s="16" t="inlineStr">
        <is>
          <t>3012345736305</t>
        </is>
      </c>
      <c r="C275" s="7" t="inlineStr">
        <is>
          <t>Coconut yoghurt alternative, 400g</t>
        </is>
      </c>
      <c r="D275" s="17" t="n">
        <v>67604</v>
      </c>
      <c r="E275" s="18" t="n"/>
      <c r="G275" s="19">
        <f>IF(Data!AC249&gt;0,RANK(Data!AC249,Data!$AC$5:$AC$804),"")</f>
        <v/>
      </c>
      <c r="H275" s="19">
        <f>IF(N(D275)&gt;0,RANK(D275,$D$31:$D$830),"")</f>
        <v/>
      </c>
    </row>
    <row r="276">
      <c r="A276" s="15" t="n">
        <v>246</v>
      </c>
      <c r="B276" s="16" t="inlineStr">
        <is>
          <t>5012345912462</t>
        </is>
      </c>
      <c r="C276" s="7" t="inlineStr">
        <is>
          <t>Lager, 500ml</t>
        </is>
      </c>
      <c r="D276" s="17" t="n">
        <v>53306</v>
      </c>
      <c r="E276" s="18" t="n"/>
      <c r="G276" s="19">
        <f>IF(Data!AC250&gt;0,RANK(Data!AC250,Data!$AC$5:$AC$804),"")</f>
        <v/>
      </c>
      <c r="H276" s="19">
        <f>IF(N(D276)&gt;0,RANK(D276,$D$31:$D$830),"")</f>
        <v/>
      </c>
    </row>
    <row r="277">
      <c r="A277" s="15" t="n">
        <v>247</v>
      </c>
      <c r="B277" s="16" t="inlineStr">
        <is>
          <t>4012345113723</t>
        </is>
      </c>
      <c r="C277" s="7" t="inlineStr">
        <is>
          <t>Pineapple</t>
        </is>
      </c>
      <c r="D277" s="17" t="n">
        <v>24187</v>
      </c>
      <c r="E277" s="18" t="n"/>
      <c r="G277" s="19">
        <f>IF(Data!AC251&gt;0,RANK(Data!AC251,Data!$AC$5:$AC$804),"")</f>
        <v/>
      </c>
      <c r="H277" s="19">
        <f>IF(N(D277)&gt;0,RANK(D277,$D$31:$D$830),"")</f>
        <v/>
      </c>
    </row>
    <row r="278">
      <c r="A278" s="15" t="n">
        <v>248</v>
      </c>
      <c r="B278" s="16" t="inlineStr">
        <is>
          <t>2909635929550</t>
        </is>
      </c>
      <c r="C278" s="7" t="inlineStr">
        <is>
          <t>Mixed peppers</t>
        </is>
      </c>
      <c r="D278" s="17" t="n"/>
      <c r="E278" s="18" t="n">
        <v>26341</v>
      </c>
      <c r="G278" s="19">
        <f>IF(Data!AC252&gt;0,RANK(Data!AC252,Data!$AC$5:$AC$804),"")</f>
        <v/>
      </c>
      <c r="H278" s="19">
        <f>IF(N(D278)&gt;0,RANK(D278,$D$31:$D$830),"")</f>
        <v/>
      </c>
    </row>
    <row r="279">
      <c r="A279" s="15" t="n">
        <v>249</v>
      </c>
      <c r="B279" s="16" t="inlineStr">
        <is>
          <t>4012345090352</t>
        </is>
      </c>
      <c r="C279" s="7" t="inlineStr">
        <is>
          <t>Cumberland sausages, 454g</t>
        </is>
      </c>
      <c r="D279" s="17" t="n">
        <v>57752</v>
      </c>
      <c r="E279" s="18" t="n"/>
      <c r="G279" s="19">
        <f>IF(Data!AC253&gt;0,RANK(Data!AC253,Data!$AC$5:$AC$804),"")</f>
        <v/>
      </c>
      <c r="H279" s="19">
        <f>IF(N(D279)&gt;0,RANK(D279,$D$31:$D$830),"")</f>
        <v/>
      </c>
    </row>
    <row r="280">
      <c r="A280" s="15" t="n">
        <v>250</v>
      </c>
      <c r="B280" s="16" t="inlineStr">
        <is>
          <t>3012345290531</t>
        </is>
      </c>
      <c r="C280" s="7" t="inlineStr">
        <is>
          <t>Bananas, 250g</t>
        </is>
      </c>
      <c r="D280" s="17" t="n">
        <v>104145</v>
      </c>
      <c r="E280" s="18" t="n"/>
      <c r="G280" s="19">
        <f>IF(Data!AC254&gt;0,RANK(Data!AC254,Data!$AC$5:$AC$804),"")</f>
        <v/>
      </c>
      <c r="H280" s="19">
        <f>IF(N(D280)&gt;0,RANK(D280,$D$31:$D$830),"")</f>
        <v/>
      </c>
    </row>
    <row r="281">
      <c r="A281" s="15" t="n">
        <v>251</v>
      </c>
      <c r="B281" s="16" t="inlineStr">
        <is>
          <t>5012345748467</t>
        </is>
      </c>
      <c r="C281" s="7" t="inlineStr">
        <is>
          <t>Natural skyr, 1kg</t>
        </is>
      </c>
      <c r="D281" s="17" t="n">
        <v>25526</v>
      </c>
      <c r="E281" s="18" t="n"/>
      <c r="G281" s="19">
        <f>IF(Data!AC255&gt;0,RANK(Data!AC255,Data!$AC$5:$AC$804),"")</f>
        <v/>
      </c>
      <c r="H281" s="19">
        <f>IF(N(D281)&gt;0,RANK(D281,$D$31:$D$830),"")</f>
        <v/>
      </c>
    </row>
    <row r="282">
      <c r="A282" s="15" t="n">
        <v>252</v>
      </c>
      <c r="B282" s="16" t="inlineStr">
        <is>
          <t>4012345338065</t>
        </is>
      </c>
      <c r="C282" s="7" t="inlineStr">
        <is>
          <t>Whole chicken, 500g</t>
        </is>
      </c>
      <c r="D282" s="17" t="n">
        <v>51026</v>
      </c>
      <c r="E282" s="18" t="n"/>
      <c r="G282" s="19">
        <f>IF(Data!AC256&gt;0,RANK(Data!AC256,Data!$AC$5:$AC$804),"")</f>
        <v/>
      </c>
      <c r="H282" s="19">
        <f>IF(N(D282)&gt;0,RANK(D282,$D$31:$D$830),"")</f>
        <v/>
      </c>
    </row>
    <row r="283">
      <c r="A283" s="15" t="n">
        <v>253</v>
      </c>
      <c r="B283" s="16" t="inlineStr">
        <is>
          <t>3012345391207</t>
        </is>
      </c>
      <c r="C283" s="7" t="inlineStr">
        <is>
          <t>Breaded scampi, 4pk 440g</t>
        </is>
      </c>
      <c r="D283" s="17" t="n">
        <v>57696</v>
      </c>
      <c r="E283" s="18" t="n"/>
      <c r="G283" s="19">
        <f>IF(Data!AC257&gt;0,RANK(Data!AC257,Data!$AC$5:$AC$804),"")</f>
        <v/>
      </c>
      <c r="H283" s="19">
        <f>IF(N(D283)&gt;0,RANK(D283,$D$31:$D$830),"")</f>
        <v/>
      </c>
    </row>
    <row r="284">
      <c r="A284" s="15" t="n">
        <v>254</v>
      </c>
      <c r="B284" s="16" t="inlineStr">
        <is>
          <t>3012345173919</t>
        </is>
      </c>
      <c r="C284" s="7" t="inlineStr">
        <is>
          <t>Chicken wings, 1.4kg</t>
        </is>
      </c>
      <c r="D284" s="17" t="n">
        <v>18076</v>
      </c>
      <c r="E284" s="18" t="n"/>
      <c r="G284" s="19">
        <f>IF(Data!AC258&gt;0,RANK(Data!AC258,Data!$AC$5:$AC$804),"")</f>
        <v/>
      </c>
      <c r="H284" s="19">
        <f>IF(N(D284)&gt;0,RANK(D284,$D$31:$D$830),"")</f>
        <v/>
      </c>
    </row>
    <row r="285">
      <c r="A285" s="15" t="n">
        <v>255</v>
      </c>
      <c r="B285" s="16" t="inlineStr">
        <is>
          <t>3012345424417</t>
        </is>
      </c>
      <c r="C285" s="7" t="inlineStr">
        <is>
          <t>Oat drink, 1l</t>
        </is>
      </c>
      <c r="D285" s="17" t="n">
        <v>24475</v>
      </c>
      <c r="E285" s="18" t="n"/>
      <c r="G285" s="19">
        <f>IF(Data!AC259&gt;0,RANK(Data!AC259,Data!$AC$5:$AC$804),"")</f>
        <v/>
      </c>
      <c r="H285" s="19">
        <f>IF(N(D285)&gt;0,RANK(D285,$D$31:$D$830),"")</f>
        <v/>
      </c>
    </row>
    <row r="286">
      <c r="A286" s="15" t="n">
        <v>256</v>
      </c>
      <c r="B286" s="16" t="inlineStr">
        <is>
          <t>3012345132275</t>
        </is>
      </c>
      <c r="C286" s="7" t="inlineStr">
        <is>
          <t>Mixed peppers, 1kg</t>
        </is>
      </c>
      <c r="D286" s="17" t="n">
        <v>24868</v>
      </c>
      <c r="E286" s="18" t="n"/>
      <c r="G286" s="19">
        <f>IF(Data!AC260&gt;0,RANK(Data!AC260,Data!$AC$5:$AC$804),"")</f>
        <v/>
      </c>
      <c r="H286" s="19">
        <f>IF(N(D286)&gt;0,RANK(D286,$D$31:$D$830),"")</f>
        <v/>
      </c>
    </row>
    <row r="287">
      <c r="A287" s="15" t="n">
        <v>257</v>
      </c>
      <c r="B287" s="16" t="inlineStr">
        <is>
          <t>2314959908990</t>
        </is>
      </c>
      <c r="C287" s="7" t="inlineStr">
        <is>
          <t>Oranges</t>
        </is>
      </c>
      <c r="D287" s="17" t="n"/>
      <c r="E287" s="18" t="n">
        <v>24765</v>
      </c>
      <c r="G287" s="19">
        <f>IF(Data!AC261&gt;0,RANK(Data!AC261,Data!$AC$5:$AC$804),"")</f>
        <v/>
      </c>
      <c r="H287" s="19">
        <f>IF(N(D287)&gt;0,RANK(D287,$D$31:$D$830),"")</f>
        <v/>
      </c>
    </row>
    <row r="288">
      <c r="A288" s="15" t="n">
        <v>258</v>
      </c>
      <c r="B288" s="16" t="inlineStr">
        <is>
          <t>5012345669465</t>
        </is>
      </c>
      <c r="C288" s="7" t="inlineStr">
        <is>
          <t>Seedless red grapes, 500g</t>
        </is>
      </c>
      <c r="D288" s="17" t="n">
        <v>49247</v>
      </c>
      <c r="E288" s="18" t="n"/>
      <c r="G288" s="19">
        <f>IF(Data!AC262&gt;0,RANK(Data!AC262,Data!$AC$5:$AC$804),"")</f>
        <v/>
      </c>
      <c r="H288" s="19">
        <f>IF(N(D288)&gt;0,RANK(D288,$D$31:$D$830),"")</f>
        <v/>
      </c>
    </row>
    <row r="289">
      <c r="A289" s="15" t="n">
        <v>259</v>
      </c>
      <c r="B289" s="16" t="inlineStr">
        <is>
          <t>4012345037371</t>
        </is>
      </c>
      <c r="C289" s="7" t="inlineStr">
        <is>
          <t>Sea bass fillets, 4x125g</t>
        </is>
      </c>
      <c r="D289" s="17" t="n">
        <v>49189</v>
      </c>
      <c r="E289" s="18" t="n"/>
      <c r="G289" s="19">
        <f>IF(Data!AC263&gt;0,RANK(Data!AC263,Data!$AC$5:$AC$804),"")</f>
        <v/>
      </c>
      <c r="H289" s="19">
        <f>IF(N(D289)&gt;0,RANK(D289,$D$31:$D$830),"")</f>
        <v/>
      </c>
    </row>
    <row r="290">
      <c r="A290" s="15" t="n">
        <v>260</v>
      </c>
      <c r="B290" s="16" t="inlineStr">
        <is>
          <t>4012345645439</t>
        </is>
      </c>
      <c r="C290" s="7" t="inlineStr">
        <is>
          <t>Conference pears, 1kg</t>
        </is>
      </c>
      <c r="D290" s="17" t="n">
        <v>24524</v>
      </c>
      <c r="E290" s="18" t="n"/>
      <c r="G290" s="19">
        <f>IF(Data!AC264&gt;0,RANK(Data!AC264,Data!$AC$5:$AC$804),"")</f>
        <v/>
      </c>
      <c r="H290" s="19">
        <f>IF(N(D290)&gt;0,RANK(D290,$D$31:$D$830),"")</f>
        <v/>
      </c>
    </row>
    <row r="291">
      <c r="A291" s="15" t="n">
        <v>261</v>
      </c>
      <c r="B291" s="16" t="inlineStr">
        <is>
          <t>8712345249564</t>
        </is>
      </c>
      <c r="C291" s="7" t="inlineStr">
        <is>
          <t>Leaf spinach, 500g</t>
        </is>
      </c>
      <c r="D291" s="17" t="n">
        <v>48971</v>
      </c>
      <c r="E291" s="18" t="n"/>
      <c r="G291" s="19">
        <f>IF(Data!AC265&gt;0,RANK(Data!AC265,Data!$AC$5:$AC$804),"")</f>
        <v/>
      </c>
      <c r="H291" s="19">
        <f>IF(N(D291)&gt;0,RANK(D291,$D$31:$D$830),"")</f>
        <v/>
      </c>
    </row>
    <row r="292">
      <c r="A292" s="15" t="n">
        <v>262</v>
      </c>
      <c r="B292" s="16" t="inlineStr">
        <is>
          <t>5012345994147</t>
        </is>
      </c>
      <c r="C292" s="7" t="inlineStr">
        <is>
          <t>Blueberries, 1kg</t>
        </is>
      </c>
      <c r="D292" s="17" t="n">
        <v>24460</v>
      </c>
      <c r="E292" s="18" t="n"/>
      <c r="G292" s="19">
        <f>IF(Data!AC266&gt;0,RANK(Data!AC266,Data!$AC$5:$AC$804),"")</f>
        <v/>
      </c>
      <c r="H292" s="19">
        <f>IF(N(D292)&gt;0,RANK(D292,$D$31:$D$830),"")</f>
        <v/>
      </c>
    </row>
    <row r="293">
      <c r="A293" s="15" t="n">
        <v>263</v>
      </c>
      <c r="B293" s="16" t="inlineStr">
        <is>
          <t>8712345455699</t>
        </is>
      </c>
      <c r="C293" s="7" t="inlineStr">
        <is>
          <t>Strawberry ice cream, 900ml</t>
        </is>
      </c>
      <c r="D293" s="17" t="n">
        <v>48876</v>
      </c>
      <c r="E293" s="18" t="n"/>
      <c r="G293" s="19">
        <f>IF(Data!AC267&gt;0,RANK(Data!AC267,Data!$AC$5:$AC$804),"")</f>
        <v/>
      </c>
      <c r="H293" s="19">
        <f>IF(N(D293)&gt;0,RANK(D293,$D$31:$D$830),"")</f>
        <v/>
      </c>
    </row>
    <row r="294">
      <c r="A294" s="15" t="n">
        <v>264</v>
      </c>
      <c r="B294" s="16" t="inlineStr">
        <is>
          <t>4012345849585</t>
        </is>
      </c>
      <c r="C294" s="7" t="inlineStr">
        <is>
          <t>Baby spinach, 1kg</t>
        </is>
      </c>
      <c r="D294" s="17" t="n">
        <v>24271</v>
      </c>
      <c r="E294" s="18" t="n"/>
      <c r="G294" s="19">
        <f>IF(Data!AC268&gt;0,RANK(Data!AC268,Data!$AC$5:$AC$804),"")</f>
        <v/>
      </c>
      <c r="H294" s="19">
        <f>IF(N(D294)&gt;0,RANK(D294,$D$31:$D$830),"")</f>
        <v/>
      </c>
    </row>
    <row r="295">
      <c r="A295" s="15" t="n">
        <v>265</v>
      </c>
      <c r="B295" s="16" t="inlineStr">
        <is>
          <t>4012345547153</t>
        </is>
      </c>
      <c r="C295" s="7" t="inlineStr">
        <is>
          <t>Apple cider, 4x440ml</t>
        </is>
      </c>
      <c r="D295" s="17" t="n">
        <v>13789</v>
      </c>
      <c r="E295" s="18" t="n"/>
      <c r="G295" s="19">
        <f>IF(Data!AC269&gt;0,RANK(Data!AC269,Data!$AC$5:$AC$804),"")</f>
        <v/>
      </c>
      <c r="H295" s="19">
        <f>IF(N(D295)&gt;0,RANK(D295,$D$31:$D$830),"")</f>
        <v/>
      </c>
    </row>
    <row r="296">
      <c r="A296" s="15" t="n">
        <v>266</v>
      </c>
      <c r="B296" s="16" t="inlineStr">
        <is>
          <t>2615338650640</t>
        </is>
      </c>
      <c r="C296" s="7" t="inlineStr">
        <is>
          <t>Carrots</t>
        </is>
      </c>
      <c r="D296" s="17" t="n"/>
      <c r="E296" s="18" t="n">
        <v>24265</v>
      </c>
      <c r="G296" s="19">
        <f>IF(Data!AC270&gt;0,RANK(Data!AC270,Data!$AC$5:$AC$804),"")</f>
        <v/>
      </c>
      <c r="H296" s="19">
        <f>IF(N(D296)&gt;0,RANK(D296,$D$31:$D$830),"")</f>
        <v/>
      </c>
    </row>
    <row r="297">
      <c r="A297" s="15" t="n">
        <v>267</v>
      </c>
      <c r="B297" s="16" t="inlineStr">
        <is>
          <t>5012345248189</t>
        </is>
      </c>
      <c r="C297" s="7" t="inlineStr">
        <is>
          <t>Smoked ham, 400g</t>
        </is>
      </c>
      <c r="D297" s="17" t="n">
        <v>60347</v>
      </c>
      <c r="E297" s="18" t="n"/>
      <c r="G297" s="19">
        <f>IF(Data!AC271&gt;0,RANK(Data!AC271,Data!$AC$5:$AC$804),"")</f>
        <v/>
      </c>
      <c r="H297" s="19">
        <f>IF(N(D297)&gt;0,RANK(D297,$D$31:$D$830),"")</f>
        <v/>
      </c>
    </row>
    <row r="298">
      <c r="A298" s="15" t="n">
        <v>268</v>
      </c>
      <c r="B298" s="16" t="inlineStr">
        <is>
          <t>3012345963664</t>
        </is>
      </c>
      <c r="C298" s="7" t="inlineStr">
        <is>
          <t>Cloudy lemonade, 24x330ml</t>
        </is>
      </c>
      <c r="D298" s="17" t="n">
        <v>3047</v>
      </c>
      <c r="E298" s="18" t="n"/>
      <c r="G298" s="19">
        <f>IF(Data!AC272&gt;0,RANK(Data!AC272,Data!$AC$5:$AC$804),"")</f>
        <v/>
      </c>
      <c r="H298" s="19">
        <f>IF(N(D298)&gt;0,RANK(D298,$D$31:$D$830),"")</f>
        <v/>
      </c>
    </row>
    <row r="299">
      <c r="A299" s="15" t="n">
        <v>269</v>
      </c>
      <c r="B299" s="16" t="inlineStr">
        <is>
          <t>4012345484847</t>
        </is>
      </c>
      <c r="C299" s="7" t="inlineStr">
        <is>
          <t>Chocolate rice pops, 750g</t>
        </is>
      </c>
      <c r="D299" s="17" t="n">
        <v>31915</v>
      </c>
      <c r="E299" s="18" t="n"/>
      <c r="G299" s="19">
        <f>IF(Data!AC273&gt;0,RANK(Data!AC273,Data!$AC$5:$AC$804),"")</f>
        <v/>
      </c>
      <c r="H299" s="19">
        <f>IF(N(D299)&gt;0,RANK(D299,$D$31:$D$830),"")</f>
        <v/>
      </c>
    </row>
    <row r="300">
      <c r="A300" s="15" t="n">
        <v>270</v>
      </c>
      <c r="B300" s="16" t="inlineStr">
        <is>
          <t>8712345349790</t>
        </is>
      </c>
      <c r="C300" s="7" t="inlineStr">
        <is>
          <t>Sieved tomatoes (passata), 400g</t>
        </is>
      </c>
      <c r="D300" s="17" t="n">
        <v>59703</v>
      </c>
      <c r="E300" s="18" t="n"/>
      <c r="G300" s="19">
        <f>IF(Data!AC274&gt;0,RANK(Data!AC274,Data!$AC$5:$AC$804),"")</f>
        <v/>
      </c>
      <c r="H300" s="19">
        <f>IF(N(D300)&gt;0,RANK(D300,$D$31:$D$830),"")</f>
        <v/>
      </c>
    </row>
    <row r="301">
      <c r="A301" s="15" t="n">
        <v>271</v>
      </c>
      <c r="B301" s="16" t="inlineStr">
        <is>
          <t>4012345975185</t>
        </is>
      </c>
      <c r="C301" s="7" t="inlineStr">
        <is>
          <t>Corn flakes, 1kg</t>
        </is>
      </c>
      <c r="D301" s="17" t="n">
        <v>23855</v>
      </c>
      <c r="E301" s="18" t="n"/>
      <c r="G301" s="19">
        <f>IF(Data!AC275&gt;0,RANK(Data!AC275,Data!$AC$5:$AC$804),"")</f>
        <v/>
      </c>
      <c r="H301" s="19">
        <f>IF(N(D301)&gt;0,RANK(D301,$D$31:$D$830),"")</f>
        <v/>
      </c>
    </row>
    <row r="302">
      <c r="A302" s="15" t="n">
        <v>272</v>
      </c>
      <c r="B302" s="16" t="inlineStr">
        <is>
          <t>4012345869095</t>
        </is>
      </c>
      <c r="C302" s="7" t="inlineStr">
        <is>
          <t>Chicken mini fillets, 650g</t>
        </is>
      </c>
      <c r="D302" s="17" t="n">
        <v>36630</v>
      </c>
      <c r="E302" s="18" t="n"/>
      <c r="G302" s="19">
        <f>IF(Data!AC276&gt;0,RANK(Data!AC276,Data!$AC$5:$AC$804),"")</f>
        <v/>
      </c>
      <c r="H302" s="19">
        <f>IF(N(D302)&gt;0,RANK(D302,$D$31:$D$830),"")</f>
        <v/>
      </c>
    </row>
    <row r="303">
      <c r="A303" s="15" t="n">
        <v>273</v>
      </c>
      <c r="B303" s="16" t="inlineStr">
        <is>
          <t>5012345266114</t>
        </is>
      </c>
      <c r="C303" s="7" t="inlineStr">
        <is>
          <t>Rosé wine, 75cl</t>
        </is>
      </c>
      <c r="D303" s="17" t="n">
        <v>31627</v>
      </c>
      <c r="E303" s="18" t="n"/>
      <c r="G303" s="19">
        <f>IF(Data!AC277&gt;0,RANK(Data!AC277,Data!$AC$5:$AC$804),"")</f>
        <v/>
      </c>
      <c r="H303" s="19">
        <f>IF(N(D303)&gt;0,RANK(D303,$D$31:$D$830),"")</f>
        <v/>
      </c>
    </row>
    <row r="304">
      <c r="A304" s="15" t="n">
        <v>274</v>
      </c>
      <c r="B304" s="16" t="inlineStr">
        <is>
          <t>5012345121406</t>
        </is>
      </c>
      <c r="C304" s="7" t="inlineStr">
        <is>
          <t>Four cheese pizza, 400g</t>
        </is>
      </c>
      <c r="D304" s="17" t="n">
        <v>59221</v>
      </c>
      <c r="E304" s="18" t="n"/>
      <c r="G304" s="19">
        <f>IF(Data!AC278&gt;0,RANK(Data!AC278,Data!$AC$5:$AC$804),"")</f>
        <v/>
      </c>
      <c r="H304" s="19">
        <f>IF(N(D304)&gt;0,RANK(D304,$D$31:$D$830),"")</f>
        <v/>
      </c>
    </row>
    <row r="305">
      <c r="A305" s="15" t="n">
        <v>275</v>
      </c>
      <c r="B305" s="16" t="inlineStr">
        <is>
          <t>8712345411404</t>
        </is>
      </c>
      <c r="C305" s="7" t="inlineStr">
        <is>
          <t>Cooked mussels, 225g</t>
        </is>
      </c>
      <c r="D305" s="17" t="n">
        <v>105233</v>
      </c>
      <c r="E305" s="18" t="n"/>
      <c r="G305" s="19">
        <f>IF(Data!AC279&gt;0,RANK(Data!AC279,Data!$AC$5:$AC$804),"")</f>
        <v/>
      </c>
      <c r="H305" s="19">
        <f>IF(N(D305)&gt;0,RANK(D305,$D$31:$D$830),"")</f>
        <v/>
      </c>
    </row>
    <row r="306">
      <c r="A306" s="15" t="n">
        <v>276</v>
      </c>
      <c r="B306" s="16" t="inlineStr">
        <is>
          <t>2088868832090</t>
        </is>
      </c>
      <c r="C306" s="7" t="inlineStr">
        <is>
          <t>Clementines</t>
        </is>
      </c>
      <c r="D306" s="17" t="n"/>
      <c r="E306" s="18" t="n">
        <v>23537</v>
      </c>
      <c r="G306" s="19">
        <f>IF(Data!AC280&gt;0,RANK(Data!AC280,Data!$AC$5:$AC$804),"")</f>
        <v/>
      </c>
      <c r="H306" s="19">
        <f>IF(N(D306)&gt;0,RANK(D306,$D$31:$D$830),"")</f>
        <v/>
      </c>
    </row>
    <row r="307">
      <c r="A307" s="15" t="n">
        <v>277</v>
      </c>
      <c r="B307" s="16" t="inlineStr">
        <is>
          <t>8712345151058</t>
        </is>
      </c>
      <c r="C307" s="7" t="inlineStr">
        <is>
          <t>Large eggs, 6pk</t>
        </is>
      </c>
      <c r="D307" s="17" t="n">
        <v>65175</v>
      </c>
      <c r="E307" s="18" t="n"/>
      <c r="G307" s="19">
        <f>IF(Data!AC281&gt;0,RANK(Data!AC281,Data!$AC$5:$AC$804),"")</f>
        <v/>
      </c>
      <c r="H307" s="19">
        <f>IF(N(D307)&gt;0,RANK(D307,$D$31:$D$830),"")</f>
        <v/>
      </c>
    </row>
    <row r="308">
      <c r="A308" s="15" t="n">
        <v>278</v>
      </c>
      <c r="B308" s="16" t="inlineStr">
        <is>
          <t>4012345346947</t>
        </is>
      </c>
      <c r="C308" s="7" t="inlineStr">
        <is>
          <t>Sweetcorn, 750g</t>
        </is>
      </c>
      <c r="D308" s="17" t="n">
        <v>30662</v>
      </c>
      <c r="E308" s="18" t="n"/>
      <c r="G308" s="19">
        <f>IF(Data!AC282&gt;0,RANK(Data!AC282,Data!$AC$5:$AC$804),"")</f>
        <v/>
      </c>
      <c r="H308" s="19">
        <f>IF(N(D308)&gt;0,RANK(D308,$D$31:$D$830),"")</f>
        <v/>
      </c>
    </row>
    <row r="309">
      <c r="A309" s="15" t="n">
        <v>279</v>
      </c>
      <c r="B309" s="16" t="inlineStr">
        <is>
          <t>4012345375947</t>
        </is>
      </c>
      <c r="C309" s="7" t="inlineStr">
        <is>
          <t>Tortilla chips, 200g</t>
        </is>
      </c>
      <c r="D309" s="17" t="n">
        <v>114904</v>
      </c>
      <c r="E309" s="18" t="n"/>
      <c r="G309" s="19">
        <f>IF(Data!AC283&gt;0,RANK(Data!AC283,Data!$AC$5:$AC$804),"")</f>
        <v/>
      </c>
      <c r="H309" s="19">
        <f>IF(N(D309)&gt;0,RANK(D309,$D$31:$D$830),"")</f>
        <v/>
      </c>
    </row>
    <row r="310">
      <c r="A310" s="15" t="n">
        <v>280</v>
      </c>
      <c r="B310" s="16" t="inlineStr">
        <is>
          <t>5012345408040</t>
        </is>
      </c>
      <c r="C310" s="7" t="inlineStr">
        <is>
          <t>Raw king prawns, 225g</t>
        </is>
      </c>
      <c r="D310" s="17" t="n">
        <v>101918</v>
      </c>
      <c r="E310" s="18" t="n"/>
      <c r="G310" s="19">
        <f>IF(Data!AC284&gt;0,RANK(Data!AC284,Data!$AC$5:$AC$804),"")</f>
        <v/>
      </c>
      <c r="H310" s="19">
        <f>IF(N(D310)&gt;0,RANK(D310,$D$31:$D$830),"")</f>
        <v/>
      </c>
    </row>
    <row r="311">
      <c r="A311" s="15" t="n">
        <v>281</v>
      </c>
      <c r="B311" s="16" t="inlineStr">
        <is>
          <t>4012345217834</t>
        </is>
      </c>
      <c r="C311" s="7" t="inlineStr">
        <is>
          <t>Carrots, 500g</t>
        </is>
      </c>
      <c r="D311" s="17" t="n">
        <v>45206</v>
      </c>
      <c r="E311" s="18" t="n"/>
      <c r="G311" s="19">
        <f>IF(Data!AC285&gt;0,RANK(Data!AC285,Data!$AC$5:$AC$804),"")</f>
        <v/>
      </c>
      <c r="H311" s="19">
        <f>IF(N(D311)&gt;0,RANK(D311,$D$31:$D$830),"")</f>
        <v/>
      </c>
    </row>
    <row r="312">
      <c r="A312" s="15" t="n">
        <v>282</v>
      </c>
      <c r="B312" s="16" t="inlineStr">
        <is>
          <t>8712345939659</t>
        </is>
      </c>
      <c r="C312" s="7" t="inlineStr">
        <is>
          <t>Free-range eggs, 15pk</t>
        </is>
      </c>
      <c r="D312" s="17" t="n">
        <v>24206</v>
      </c>
      <c r="E312" s="18" t="n"/>
      <c r="G312" s="19">
        <f>IF(Data!AC286&gt;0,RANK(Data!AC286,Data!$AC$5:$AC$804),"")</f>
        <v/>
      </c>
      <c r="H312" s="19">
        <f>IF(N(D312)&gt;0,RANK(D312,$D$31:$D$830),"")</f>
        <v/>
      </c>
    </row>
    <row r="313">
      <c r="A313" s="15" t="n">
        <v>283</v>
      </c>
      <c r="B313" s="16" t="inlineStr">
        <is>
          <t>4012345068481</t>
        </is>
      </c>
      <c r="C313" s="7" t="inlineStr">
        <is>
          <t>Strawberries, 6pk</t>
        </is>
      </c>
      <c r="D313" s="17" t="n">
        <v>24177</v>
      </c>
      <c r="E313" s="18" t="n"/>
      <c r="G313" s="19">
        <f>IF(Data!AC287&gt;0,RANK(Data!AC287,Data!$AC$5:$AC$804),"")</f>
        <v/>
      </c>
      <c r="H313" s="19">
        <f>IF(N(D313)&gt;0,RANK(D313,$D$31:$D$830),"")</f>
        <v/>
      </c>
    </row>
    <row r="314">
      <c r="A314" s="15" t="n">
        <v>284</v>
      </c>
      <c r="B314" s="16" t="inlineStr">
        <is>
          <t>5012345804736</t>
        </is>
      </c>
      <c r="C314" s="7" t="inlineStr">
        <is>
          <t>Smoked ham, 8sl 200g</t>
        </is>
      </c>
      <c r="D314" s="17" t="n">
        <v>107886</v>
      </c>
      <c r="E314" s="18" t="n"/>
      <c r="G314" s="19">
        <f>IF(Data!AC288&gt;0,RANK(Data!AC288,Data!$AC$5:$AC$804),"")</f>
        <v/>
      </c>
      <c r="H314" s="19">
        <f>IF(N(D314)&gt;0,RANK(D314,$D$31:$D$830),"")</f>
        <v/>
      </c>
    </row>
    <row r="315">
      <c r="A315" s="15" t="n">
        <v>285</v>
      </c>
      <c r="B315" s="16" t="inlineStr">
        <is>
          <t>8712345157722</t>
        </is>
      </c>
      <c r="C315" s="7" t="inlineStr">
        <is>
          <t>Chicken drumsticks, 1kg</t>
        </is>
      </c>
      <c r="D315" s="17" t="n">
        <v>21565</v>
      </c>
      <c r="E315" s="18" t="n"/>
      <c r="G315" s="19">
        <f>IF(Data!AC289&gt;0,RANK(Data!AC289,Data!$AC$5:$AC$804),"")</f>
        <v/>
      </c>
      <c r="H315" s="19">
        <f>IF(N(D315)&gt;0,RANK(D315,$D$31:$D$830),"")</f>
        <v/>
      </c>
    </row>
    <row r="316">
      <c r="A316" s="15" t="n">
        <v>286</v>
      </c>
      <c r="B316" s="16" t="inlineStr">
        <is>
          <t>4012345051568</t>
        </is>
      </c>
      <c r="C316" s="7" t="inlineStr">
        <is>
          <t>Fusilli, 1kg</t>
        </is>
      </c>
      <c r="D316" s="17" t="n">
        <v>21504</v>
      </c>
      <c r="E316" s="18" t="n"/>
      <c r="G316" s="19">
        <f>IF(Data!AC290&gt;0,RANK(Data!AC290,Data!$AC$5:$AC$804),"")</f>
        <v/>
      </c>
      <c r="H316" s="19">
        <f>IF(N(D316)&gt;0,RANK(D316,$D$31:$D$830),"")</f>
        <v/>
      </c>
    </row>
    <row r="317">
      <c r="A317" s="15" t="n">
        <v>287</v>
      </c>
      <c r="B317" s="16" t="inlineStr">
        <is>
          <t>8712345720889</t>
        </is>
      </c>
      <c r="C317" s="7" t="inlineStr">
        <is>
          <t>Diced beef for stewing, 300g</t>
        </is>
      </c>
      <c r="D317" s="17" t="n">
        <v>71411</v>
      </c>
      <c r="E317" s="18" t="n"/>
      <c r="G317" s="19">
        <f>IF(Data!AC291&gt;0,RANK(Data!AC291,Data!$AC$5:$AC$804),"")</f>
        <v/>
      </c>
      <c r="H317" s="19">
        <f>IF(N(D317)&gt;0,RANK(D317,$D$31:$D$830),"")</f>
        <v/>
      </c>
    </row>
    <row r="318">
      <c r="A318" s="15" t="n">
        <v>288</v>
      </c>
      <c r="B318" s="16" t="inlineStr">
        <is>
          <t>3012345495011</t>
        </is>
      </c>
      <c r="C318" s="7" t="inlineStr">
        <is>
          <t>Pork sausages, 12pk</t>
        </is>
      </c>
      <c r="D318" s="17" t="n">
        <v>26631</v>
      </c>
      <c r="E318" s="18" t="n"/>
      <c r="G318" s="19">
        <f>IF(Data!AC292&gt;0,RANK(Data!AC292,Data!$AC$5:$AC$804),"")</f>
        <v/>
      </c>
      <c r="H318" s="19">
        <f>IF(N(D318)&gt;0,RANK(D318,$D$31:$D$830),"")</f>
        <v/>
      </c>
    </row>
    <row r="319">
      <c r="A319" s="15" t="n">
        <v>289</v>
      </c>
      <c r="B319" s="16" t="inlineStr">
        <is>
          <t>3012345190367</t>
        </is>
      </c>
      <c r="C319" s="7" t="inlineStr">
        <is>
          <t>Beef burgers, 4 pack, 12pk</t>
        </is>
      </c>
      <c r="D319" s="17" t="n">
        <v>26628</v>
      </c>
      <c r="E319" s="18" t="n"/>
      <c r="G319" s="19">
        <f>IF(Data!AC293&gt;0,RANK(Data!AC293,Data!$AC$5:$AC$804),"")</f>
        <v/>
      </c>
      <c r="H319" s="19">
        <f>IF(N(D319)&gt;0,RANK(D319,$D$31:$D$830),"")</f>
        <v/>
      </c>
    </row>
    <row r="320">
      <c r="A320" s="15" t="n">
        <v>290</v>
      </c>
      <c r="B320" s="16" t="inlineStr">
        <is>
          <t>4012345831306</t>
        </is>
      </c>
      <c r="C320" s="7" t="inlineStr">
        <is>
          <t>Arborio rice, 500g</t>
        </is>
      </c>
      <c r="D320" s="17" t="n">
        <v>42406</v>
      </c>
      <c r="E320" s="18" t="n"/>
      <c r="G320" s="19">
        <f>IF(Data!AC294&gt;0,RANK(Data!AC294,Data!$AC$5:$AC$804),"")</f>
        <v/>
      </c>
      <c r="H320" s="19">
        <f>IF(N(D320)&gt;0,RANK(D320,$D$31:$D$830),"")</f>
        <v/>
      </c>
    </row>
    <row r="321">
      <c r="A321" s="15" t="n">
        <v>291</v>
      </c>
      <c r="B321" s="16" t="inlineStr">
        <is>
          <t>5012345414423</t>
        </is>
      </c>
      <c r="C321" s="7" t="inlineStr">
        <is>
          <t>Chicken tikka masala with rice, 2x400g</t>
        </is>
      </c>
      <c r="D321" s="17" t="n">
        <v>26325</v>
      </c>
      <c r="E321" s="18" t="n"/>
      <c r="G321" s="19">
        <f>IF(Data!AC295&gt;0,RANK(Data!AC295,Data!$AC$5:$AC$804),"")</f>
        <v/>
      </c>
      <c r="H321" s="19">
        <f>IF(N(D321)&gt;0,RANK(D321,$D$31:$D$830),"")</f>
        <v/>
      </c>
    </row>
    <row r="322">
      <c r="A322" s="15" t="n">
        <v>292</v>
      </c>
      <c r="B322" s="16" t="inlineStr">
        <is>
          <t>2614945632240</t>
        </is>
      </c>
      <c r="C322" s="7" t="inlineStr">
        <is>
          <t>Blueberries</t>
        </is>
      </c>
      <c r="D322" s="17" t="n"/>
      <c r="E322" s="18" t="n">
        <v>20954</v>
      </c>
      <c r="G322" s="19">
        <f>IF(Data!AC296&gt;0,RANK(Data!AC296,Data!$AC$5:$AC$804),"")</f>
        <v/>
      </c>
      <c r="H322" s="19">
        <f>IF(N(D322)&gt;0,RANK(D322,$D$31:$D$830),"")</f>
        <v/>
      </c>
    </row>
    <row r="323">
      <c r="A323" s="15" t="n">
        <v>293</v>
      </c>
      <c r="B323" s="16" t="inlineStr">
        <is>
          <t>4012345136876</t>
        </is>
      </c>
      <c r="C323" s="7" t="inlineStr">
        <is>
          <t>Cucumber</t>
        </is>
      </c>
      <c r="D323" s="17" t="n">
        <v>59748</v>
      </c>
      <c r="E323" s="18" t="n"/>
      <c r="G323" s="19">
        <f>IF(Data!AC297&gt;0,RANK(Data!AC297,Data!$AC$5:$AC$804),"")</f>
        <v/>
      </c>
      <c r="H323" s="19">
        <f>IF(N(D323)&gt;0,RANK(D323,$D$31:$D$830),"")</f>
        <v/>
      </c>
    </row>
    <row r="324">
      <c r="A324" s="15" t="n">
        <v>294</v>
      </c>
      <c r="B324" s="16" t="inlineStr">
        <is>
          <t>8712345605230</t>
        </is>
      </c>
      <c r="C324" s="7" t="inlineStr">
        <is>
          <t>Chicken wings, 650g</t>
        </is>
      </c>
      <c r="D324" s="17" t="n">
        <v>32054</v>
      </c>
      <c r="E324" s="18" t="n"/>
      <c r="G324" s="19">
        <f>IF(Data!AC298&gt;0,RANK(Data!AC298,Data!$AC$5:$AC$804),"")</f>
        <v/>
      </c>
      <c r="H324" s="19">
        <f>IF(N(D324)&gt;0,RANK(D324,$D$31:$D$830),"")</f>
        <v/>
      </c>
    </row>
    <row r="325">
      <c r="A325" s="15" t="n">
        <v>295</v>
      </c>
      <c r="B325" s="16" t="inlineStr">
        <is>
          <t>4012345503616</t>
        </is>
      </c>
      <c r="C325" s="7" t="inlineStr">
        <is>
          <t>Milk chocolate digestives, 300g</t>
        </is>
      </c>
      <c r="D325" s="17" t="n">
        <v>69043</v>
      </c>
      <c r="E325" s="18" t="n"/>
      <c r="G325" s="19">
        <f>IF(Data!AC299&gt;0,RANK(Data!AC299,Data!$AC$5:$AC$804),"")</f>
        <v/>
      </c>
      <c r="H325" s="19">
        <f>IF(N(D325)&gt;0,RANK(D325,$D$31:$D$830),"")</f>
        <v/>
      </c>
    </row>
    <row r="326">
      <c r="A326" s="15" t="n">
        <v>296</v>
      </c>
      <c r="B326" s="16" t="inlineStr">
        <is>
          <t>8712345257156</t>
        </is>
      </c>
      <c r="C326" s="7" t="inlineStr">
        <is>
          <t>Tomato &amp; basil pasta sauce, 690g</t>
        </is>
      </c>
      <c r="D326" s="17" t="n">
        <v>30014</v>
      </c>
      <c r="E326" s="18" t="n"/>
      <c r="G326" s="19">
        <f>IF(Data!AC300&gt;0,RANK(Data!AC300,Data!$AC$5:$AC$804),"")</f>
        <v/>
      </c>
      <c r="H326" s="19">
        <f>IF(N(D326)&gt;0,RANK(D326,$D$31:$D$830),"")</f>
        <v/>
      </c>
    </row>
    <row r="327">
      <c r="A327" s="15" t="n">
        <v>297</v>
      </c>
      <c r="B327" s="16" t="inlineStr">
        <is>
          <t>4012345133400</t>
        </is>
      </c>
      <c r="C327" s="7" t="inlineStr">
        <is>
          <t>Turkey breast steaks, 500g</t>
        </is>
      </c>
      <c r="D327" s="17" t="n">
        <v>41324</v>
      </c>
      <c r="E327" s="18" t="n"/>
      <c r="G327" s="19">
        <f>IF(Data!AC301&gt;0,RANK(Data!AC301,Data!$AC$5:$AC$804),"")</f>
        <v/>
      </c>
      <c r="H327" s="19">
        <f>IF(N(D327)&gt;0,RANK(D327,$D$31:$D$830),"")</f>
        <v/>
      </c>
    </row>
    <row r="328">
      <c r="A328" s="15" t="n">
        <v>298</v>
      </c>
      <c r="B328" s="16" t="inlineStr">
        <is>
          <t>4012345180213</t>
        </is>
      </c>
      <c r="C328" s="7" t="inlineStr">
        <is>
          <t>White pitta bread, 800g</t>
        </is>
      </c>
      <c r="D328" s="17" t="n">
        <v>25726</v>
      </c>
      <c r="E328" s="18" t="n"/>
      <c r="G328" s="19">
        <f>IF(Data!AC302&gt;0,RANK(Data!AC302,Data!$AC$5:$AC$804),"")</f>
        <v/>
      </c>
      <c r="H328" s="19">
        <f>IF(N(D328)&gt;0,RANK(D328,$D$31:$D$830),"")</f>
        <v/>
      </c>
    </row>
    <row r="329">
      <c r="A329" s="15" t="n">
        <v>299</v>
      </c>
      <c r="B329" s="16" t="inlineStr">
        <is>
          <t>4012345145069</t>
        </is>
      </c>
      <c r="C329" s="7" t="inlineStr">
        <is>
          <t>Chocolate ice cream, 1.8l</t>
        </is>
      </c>
      <c r="D329" s="17" t="n">
        <v>20555</v>
      </c>
      <c r="E329" s="18" t="n"/>
      <c r="G329" s="19">
        <f>IF(Data!AC303&gt;0,RANK(Data!AC303,Data!$AC$5:$AC$804),"")</f>
        <v/>
      </c>
      <c r="H329" s="19">
        <f>IF(N(D329)&gt;0,RANK(D329,$D$31:$D$830),"")</f>
        <v/>
      </c>
    </row>
    <row r="330">
      <c r="A330" s="15" t="n">
        <v>300</v>
      </c>
      <c r="B330" s="16" t="inlineStr">
        <is>
          <t>3012345084055</t>
        </is>
      </c>
      <c r="C330" s="7" t="inlineStr">
        <is>
          <t>Greek-style yoghurt, 450g</t>
        </is>
      </c>
      <c r="D330" s="17" t="n">
        <v>45480</v>
      </c>
      <c r="E330" s="18" t="n"/>
      <c r="G330" s="19">
        <f>IF(Data!AC304&gt;0,RANK(Data!AC304,Data!$AC$5:$AC$804),"")</f>
        <v/>
      </c>
      <c r="H330" s="19">
        <f>IF(N(D330)&gt;0,RANK(D330,$D$31:$D$830),"")</f>
        <v/>
      </c>
    </row>
    <row r="331">
      <c r="A331" s="15" t="n">
        <v>301</v>
      </c>
      <c r="B331" s="16" t="inlineStr">
        <is>
          <t>3012345640213</t>
        </is>
      </c>
      <c r="C331" s="7" t="inlineStr">
        <is>
          <t>Red kidney beans in water, 410g</t>
        </is>
      </c>
      <c r="D331" s="17" t="n">
        <v>49569</v>
      </c>
      <c r="E331" s="18" t="n"/>
      <c r="G331" s="19">
        <f>IF(Data!AC305&gt;0,RANK(Data!AC305,Data!$AC$5:$AC$804),"")</f>
        <v/>
      </c>
      <c r="H331" s="19">
        <f>IF(N(D331)&gt;0,RANK(D331,$D$31:$D$830),"")</f>
        <v/>
      </c>
    </row>
    <row r="332">
      <c r="A332" s="15" t="n">
        <v>302</v>
      </c>
      <c r="B332" s="16" t="inlineStr">
        <is>
          <t>3012345880879</t>
        </is>
      </c>
      <c r="C332" s="7" t="inlineStr">
        <is>
          <t>Mixed peppers, 500g</t>
        </is>
      </c>
      <c r="D332" s="17" t="n">
        <v>40441</v>
      </c>
      <c r="E332" s="18" t="n"/>
      <c r="G332" s="19">
        <f>IF(Data!AC306&gt;0,RANK(Data!AC306,Data!$AC$5:$AC$804),"")</f>
        <v/>
      </c>
      <c r="H332" s="19">
        <f>IF(N(D332)&gt;0,RANK(D332,$D$31:$D$830),"")</f>
        <v/>
      </c>
    </row>
    <row r="333">
      <c r="A333" s="15" t="n">
        <v>303</v>
      </c>
      <c r="B333" s="16" t="inlineStr">
        <is>
          <t>5012345606514</t>
        </is>
      </c>
      <c r="C333" s="7" t="inlineStr">
        <is>
          <t>Beef sirloin steak, 2x200g</t>
        </is>
      </c>
      <c r="D333" s="17" t="n">
        <v>50328</v>
      </c>
      <c r="E333" s="18" t="n"/>
      <c r="G333" s="19">
        <f>IF(Data!AC307&gt;0,RANK(Data!AC307,Data!$AC$5:$AC$804),"")</f>
        <v/>
      </c>
      <c r="H333" s="19">
        <f>IF(N(D333)&gt;0,RANK(D333,$D$31:$D$830),"")</f>
        <v/>
      </c>
    </row>
    <row r="334">
      <c r="A334" s="15" t="n">
        <v>304</v>
      </c>
      <c r="B334" s="16" t="inlineStr">
        <is>
          <t>3012345465038</t>
        </is>
      </c>
      <c r="C334" s="7" t="inlineStr">
        <is>
          <t>Unsweetened soya drink, 1l</t>
        </is>
      </c>
      <c r="D334" s="17" t="n">
        <v>19437</v>
      </c>
      <c r="E334" s="18" t="n"/>
      <c r="G334" s="19">
        <f>IF(Data!AC308&gt;0,RANK(Data!AC308,Data!$AC$5:$AC$804),"")</f>
        <v/>
      </c>
      <c r="H334" s="19">
        <f>IF(N(D334)&gt;0,RANK(D334,$D$31:$D$830),"")</f>
        <v/>
      </c>
    </row>
    <row r="335">
      <c r="A335" s="15" t="n">
        <v>305</v>
      </c>
      <c r="B335" s="16" t="inlineStr">
        <is>
          <t>8712345716653</t>
        </is>
      </c>
      <c r="C335" s="7" t="inlineStr">
        <is>
          <t>Beef mince, 20% fat, 1kg</t>
        </is>
      </c>
      <c r="D335" s="17" t="n">
        <v>20008</v>
      </c>
      <c r="E335" s="18" t="n"/>
      <c r="G335" s="19">
        <f>IF(Data!AC309&gt;0,RANK(Data!AC309,Data!$AC$5:$AC$804),"")</f>
        <v/>
      </c>
      <c r="H335" s="19">
        <f>IF(N(D335)&gt;0,RANK(D335,$D$31:$D$830),"")</f>
        <v/>
      </c>
    </row>
    <row r="336">
      <c r="A336" s="15" t="n">
        <v>306</v>
      </c>
      <c r="B336" s="16" t="inlineStr">
        <is>
          <t>4012345318296</t>
        </is>
      </c>
      <c r="C336" s="7" t="inlineStr">
        <is>
          <t>Pork loin chops, 500g</t>
        </is>
      </c>
      <c r="D336" s="17" t="n">
        <v>39917</v>
      </c>
      <c r="E336" s="18" t="n"/>
      <c r="G336" s="19">
        <f>IF(Data!AC310&gt;0,RANK(Data!AC310,Data!$AC$5:$AC$804),"")</f>
        <v/>
      </c>
      <c r="H336" s="19">
        <f>IF(N(D336)&gt;0,RANK(D336,$D$31:$D$830),"")</f>
        <v/>
      </c>
    </row>
    <row r="337">
      <c r="A337" s="15" t="n">
        <v>307</v>
      </c>
      <c r="B337" s="16" t="inlineStr">
        <is>
          <t>8712345922443</t>
        </is>
      </c>
      <c r="C337" s="7" t="inlineStr">
        <is>
          <t>Chicken breast fillets, 1.4kg</t>
        </is>
      </c>
      <c r="D337" s="17" t="n">
        <v>14247</v>
      </c>
      <c r="E337" s="18" t="n"/>
      <c r="G337" s="19">
        <f>IF(Data!AC311&gt;0,RANK(Data!AC311,Data!$AC$5:$AC$804),"")</f>
        <v/>
      </c>
      <c r="H337" s="19">
        <f>IF(N(D337)&gt;0,RANK(D337,$D$31:$D$830),"")</f>
        <v/>
      </c>
    </row>
    <row r="338">
      <c r="A338" s="15" t="n">
        <v>308</v>
      </c>
      <c r="B338" s="16" t="inlineStr">
        <is>
          <t>3012345040433</t>
        </is>
      </c>
      <c r="C338" s="7" t="inlineStr">
        <is>
          <t>Blended whisky, 70cl</t>
        </is>
      </c>
      <c r="D338" s="17" t="n">
        <v>28385</v>
      </c>
      <c r="E338" s="18" t="n"/>
      <c r="G338" s="19">
        <f>IF(Data!AC312&gt;0,RANK(Data!AC312,Data!$AC$5:$AC$804),"")</f>
        <v/>
      </c>
      <c r="H338" s="19">
        <f>IF(N(D338)&gt;0,RANK(D338,$D$31:$D$830),"")</f>
        <v/>
      </c>
    </row>
    <row r="339">
      <c r="A339" s="15" t="n">
        <v>309</v>
      </c>
      <c r="B339" s="16" t="inlineStr">
        <is>
          <t>4012345999983</t>
        </is>
      </c>
      <c r="C339" s="7" t="inlineStr">
        <is>
          <t>Strawberry ice cream, 1.8l</t>
        </is>
      </c>
      <c r="D339" s="17" t="n">
        <v>19696</v>
      </c>
      <c r="E339" s="18" t="n"/>
      <c r="G339" s="19">
        <f>IF(Data!AC313&gt;0,RANK(Data!AC313,Data!$AC$5:$AC$804),"")</f>
        <v/>
      </c>
      <c r="H339" s="19">
        <f>IF(N(D339)&gt;0,RANK(D339,$D$31:$D$830),"")</f>
        <v/>
      </c>
    </row>
    <row r="340">
      <c r="A340" s="15" t="n">
        <v>310</v>
      </c>
      <c r="B340" s="16" t="inlineStr">
        <is>
          <t>4012345652994</t>
        </is>
      </c>
      <c r="C340" s="7" t="inlineStr">
        <is>
          <t>Beef lasagne, 400g</t>
        </is>
      </c>
      <c r="D340" s="17" t="n">
        <v>48501</v>
      </c>
      <c r="E340" s="18" t="n"/>
      <c r="G340" s="19">
        <f>IF(Data!AC314&gt;0,RANK(Data!AC314,Data!$AC$5:$AC$804),"")</f>
        <v/>
      </c>
      <c r="H340" s="19">
        <f>IF(N(D340)&gt;0,RANK(D340,$D$31:$D$830),"")</f>
        <v/>
      </c>
    </row>
    <row r="341">
      <c r="A341" s="15" t="n">
        <v>311</v>
      </c>
      <c r="B341" s="16" t="inlineStr">
        <is>
          <t>3012345724210</t>
        </is>
      </c>
      <c r="C341" s="7" t="inlineStr">
        <is>
          <t>Walnut halves, 500g</t>
        </is>
      </c>
      <c r="D341" s="17" t="n">
        <v>38461</v>
      </c>
      <c r="E341" s="18" t="n"/>
      <c r="G341" s="19">
        <f>IF(Data!AC315&gt;0,RANK(Data!AC315,Data!$AC$5:$AC$804),"")</f>
        <v/>
      </c>
      <c r="H341" s="19">
        <f>IF(N(D341)&gt;0,RANK(D341,$D$31:$D$830),"")</f>
        <v/>
      </c>
    </row>
    <row r="342">
      <c r="A342" s="15" t="n">
        <v>312</v>
      </c>
      <c r="B342" s="16" t="inlineStr">
        <is>
          <t>5012345792668</t>
        </is>
      </c>
      <c r="C342" s="7" t="inlineStr">
        <is>
          <t>Ham &amp; mushroom pizza, 400g</t>
        </is>
      </c>
      <c r="D342" s="17" t="n">
        <v>47612</v>
      </c>
      <c r="E342" s="18" t="n"/>
      <c r="G342" s="19">
        <f>IF(Data!AC316&gt;0,RANK(Data!AC316,Data!$AC$5:$AC$804),"")</f>
        <v/>
      </c>
      <c r="H342" s="19">
        <f>IF(N(D342)&gt;0,RANK(D342,$D$31:$D$830),"")</f>
        <v/>
      </c>
    </row>
    <row r="343">
      <c r="A343" s="15" t="n">
        <v>313</v>
      </c>
      <c r="B343" s="16" t="inlineStr">
        <is>
          <t>5012345378435</t>
        </is>
      </c>
      <c r="C343" s="7" t="inlineStr">
        <is>
          <t>Margherita pizza, 335g</t>
        </is>
      </c>
      <c r="D343" s="17" t="n">
        <v>56849</v>
      </c>
      <c r="E343" s="18" t="n"/>
      <c r="G343" s="19">
        <f>IF(Data!AC317&gt;0,RANK(Data!AC317,Data!$AC$5:$AC$804),"")</f>
        <v/>
      </c>
      <c r="H343" s="19">
        <f>IF(N(D343)&gt;0,RANK(D343,$D$31:$D$830),"")</f>
        <v/>
      </c>
    </row>
    <row r="344">
      <c r="A344" s="15" t="n">
        <v>314</v>
      </c>
      <c r="B344" s="16" t="inlineStr">
        <is>
          <t>2482795774650</t>
        </is>
      </c>
      <c r="C344" s="7" t="inlineStr">
        <is>
          <t>Blueberries</t>
        </is>
      </c>
      <c r="D344" s="17" t="n"/>
      <c r="E344" s="18" t="n">
        <v>19027</v>
      </c>
      <c r="G344" s="19">
        <f>IF(Data!AC318&gt;0,RANK(Data!AC318,Data!$AC$5:$AC$804),"")</f>
        <v/>
      </c>
      <c r="H344" s="19">
        <f>IF(N(D344)&gt;0,RANK(D344,$D$31:$D$830),"")</f>
        <v/>
      </c>
    </row>
    <row r="345">
      <c r="A345" s="15" t="n">
        <v>315</v>
      </c>
      <c r="B345" s="16" t="inlineStr">
        <is>
          <t>2293511714860</t>
        </is>
      </c>
      <c r="C345" s="7" t="inlineStr">
        <is>
          <t>Vine tomatoes</t>
        </is>
      </c>
      <c r="D345" s="17" t="n"/>
      <c r="E345" s="18" t="n">
        <v>19011</v>
      </c>
      <c r="G345" s="19">
        <f>IF(Data!AC319&gt;0,RANK(Data!AC319,Data!$AC$5:$AC$804),"")</f>
        <v/>
      </c>
      <c r="H345" s="19">
        <f>IF(N(D345)&gt;0,RANK(D345,$D$31:$D$830),"")</f>
        <v/>
      </c>
    </row>
    <row r="346">
      <c r="A346" s="15" t="n">
        <v>316</v>
      </c>
      <c r="B346" s="16" t="inlineStr">
        <is>
          <t>8712345525439</t>
        </is>
      </c>
      <c r="C346" s="7" t="inlineStr">
        <is>
          <t>Plain wheat flour, 1.5kg</t>
        </is>
      </c>
      <c r="D346" s="17" t="n">
        <v>12648</v>
      </c>
      <c r="E346" s="18" t="n"/>
      <c r="G346" s="19">
        <f>IF(Data!AC320&gt;0,RANK(Data!AC320,Data!$AC$5:$AC$804),"")</f>
        <v/>
      </c>
      <c r="H346" s="19">
        <f>IF(N(D346)&gt;0,RANK(D346,$D$31:$D$830),"")</f>
        <v/>
      </c>
    </row>
    <row r="347">
      <c r="A347" s="15" t="n">
        <v>317</v>
      </c>
      <c r="B347" s="16" t="inlineStr">
        <is>
          <t>4012345342277</t>
        </is>
      </c>
      <c r="C347" s="7" t="inlineStr">
        <is>
          <t>White potatoes, 1kg</t>
        </is>
      </c>
      <c r="D347" s="17" t="n">
        <v>18943</v>
      </c>
      <c r="E347" s="18" t="n"/>
      <c r="G347" s="19">
        <f>IF(Data!AC321&gt;0,RANK(Data!AC321,Data!$AC$5:$AC$804),"")</f>
        <v/>
      </c>
      <c r="H347" s="19">
        <f>IF(N(D347)&gt;0,RANK(D347,$D$31:$D$830),"")</f>
        <v/>
      </c>
    </row>
    <row r="348">
      <c r="A348" s="15" t="n">
        <v>318</v>
      </c>
      <c r="B348" s="16" t="inlineStr">
        <is>
          <t>3012345461252</t>
        </is>
      </c>
      <c r="C348" s="7" t="inlineStr">
        <is>
          <t>Courgettes, 1kg</t>
        </is>
      </c>
      <c r="D348" s="17" t="n">
        <v>18906</v>
      </c>
      <c r="E348" s="18" t="n"/>
      <c r="G348" s="19">
        <f>IF(Data!AC322&gt;0,RANK(Data!AC322,Data!$AC$5:$AC$804),"")</f>
        <v/>
      </c>
      <c r="H348" s="19">
        <f>IF(N(D348)&gt;0,RANK(D348,$D$31:$D$830),"")</f>
        <v/>
      </c>
    </row>
    <row r="349">
      <c r="A349" s="15" t="n">
        <v>319</v>
      </c>
      <c r="B349" s="16" t="inlineStr">
        <is>
          <t>8712345920357</t>
        </is>
      </c>
      <c r="C349" s="7" t="inlineStr">
        <is>
          <t>Pains au chocolat, 8pk 280g</t>
        </is>
      </c>
      <c r="D349" s="17" t="n">
        <v>66435</v>
      </c>
      <c r="E349" s="18" t="n"/>
      <c r="G349" s="19">
        <f>IF(Data!AC323&gt;0,RANK(Data!AC323,Data!$AC$5:$AC$804),"")</f>
        <v/>
      </c>
      <c r="H349" s="19">
        <f>IF(N(D349)&gt;0,RANK(D349,$D$31:$D$830),"")</f>
        <v/>
      </c>
    </row>
    <row r="350">
      <c r="A350" s="15" t="n">
        <v>320</v>
      </c>
      <c r="B350" s="16" t="inlineStr">
        <is>
          <t>8712345676889</t>
        </is>
      </c>
      <c r="C350" s="7" t="inlineStr">
        <is>
          <t>Smooth orange juice, 6x200ml</t>
        </is>
      </c>
      <c r="D350" s="17" t="n">
        <v>14842</v>
      </c>
      <c r="E350" s="18" t="n"/>
      <c r="G350" s="19">
        <f>IF(Data!AC324&gt;0,RANK(Data!AC324,Data!$AC$5:$AC$804),"")</f>
        <v/>
      </c>
      <c r="H350" s="19">
        <f>IF(N(D350)&gt;0,RANK(D350,$D$31:$D$830),"")</f>
        <v/>
      </c>
    </row>
    <row r="351">
      <c r="A351" s="15" t="n">
        <v>321</v>
      </c>
      <c r="B351" s="16" t="inlineStr">
        <is>
          <t>4012345924787</t>
        </is>
      </c>
      <c r="C351" s="7" t="inlineStr">
        <is>
          <t>Sweet potatoes, 750g</t>
        </is>
      </c>
      <c r="D351" s="17" t="n">
        <v>24695</v>
      </c>
      <c r="E351" s="18" t="n"/>
      <c r="G351" s="19">
        <f>IF(Data!AC325&gt;0,RANK(Data!AC325,Data!$AC$5:$AC$804),"")</f>
        <v/>
      </c>
      <c r="H351" s="19">
        <f>IF(N(D351)&gt;0,RANK(D351,$D$31:$D$830),"")</f>
        <v/>
      </c>
    </row>
    <row r="352">
      <c r="A352" s="15" t="n">
        <v>322</v>
      </c>
      <c r="B352" s="16" t="inlineStr">
        <is>
          <t>8712345619947</t>
        </is>
      </c>
      <c r="C352" s="7" t="inlineStr">
        <is>
          <t>Beef fillet steak, 300g</t>
        </is>
      </c>
      <c r="D352" s="17" t="n">
        <v>61238</v>
      </c>
      <c r="E352" s="18" t="n"/>
      <c r="G352" s="19">
        <f>IF(Data!AC326&gt;0,RANK(Data!AC326,Data!$AC$5:$AC$804),"")</f>
        <v/>
      </c>
      <c r="H352" s="19">
        <f>IF(N(D352)&gt;0,RANK(D352,$D$31:$D$830),"")</f>
        <v/>
      </c>
    </row>
    <row r="353">
      <c r="A353" s="15" t="n">
        <v>323</v>
      </c>
      <c r="B353" s="16" t="inlineStr">
        <is>
          <t>4012345149890</t>
        </is>
      </c>
      <c r="C353" s="7" t="inlineStr">
        <is>
          <t>Broccoli, 300g</t>
        </is>
      </c>
      <c r="D353" s="17" t="n">
        <v>60898</v>
      </c>
      <c r="E353" s="18" t="n"/>
      <c r="G353" s="19">
        <f>IF(Data!AC327&gt;0,RANK(Data!AC327,Data!$AC$5:$AC$804),"")</f>
        <v/>
      </c>
      <c r="H353" s="19">
        <f>IF(N(D353)&gt;0,RANK(D353,$D$31:$D$830),"")</f>
        <v/>
      </c>
    </row>
    <row r="354">
      <c r="A354" s="15" t="n">
        <v>324</v>
      </c>
      <c r="B354" s="16" t="inlineStr">
        <is>
          <t>4012345970821</t>
        </is>
      </c>
      <c r="C354" s="7" t="inlineStr">
        <is>
          <t>Cottage cheese, 250g</t>
        </is>
      </c>
      <c r="D354" s="17" t="n">
        <v>73070</v>
      </c>
      <c r="E354" s="18" t="n"/>
      <c r="G354" s="19">
        <f>IF(Data!AC328&gt;0,RANK(Data!AC328,Data!$AC$5:$AC$804),"")</f>
        <v/>
      </c>
      <c r="H354" s="19">
        <f>IF(N(D354)&gt;0,RANK(D354,$D$31:$D$830),"")</f>
        <v/>
      </c>
    </row>
    <row r="355">
      <c r="A355" s="15" t="n">
        <v>325</v>
      </c>
      <c r="B355" s="16" t="inlineStr">
        <is>
          <t>2229041278230</t>
        </is>
      </c>
      <c r="C355" s="7" t="inlineStr">
        <is>
          <t>Conference pears</t>
        </is>
      </c>
      <c r="D355" s="17" t="n"/>
      <c r="E355" s="18" t="n">
        <v>18086</v>
      </c>
      <c r="G355" s="19">
        <f>IF(Data!AC329&gt;0,RANK(Data!AC329,Data!$AC$5:$AC$804),"")</f>
        <v/>
      </c>
      <c r="H355" s="19">
        <f>IF(N(D355)&gt;0,RANK(D355,$D$31:$D$830),"")</f>
        <v/>
      </c>
    </row>
    <row r="356">
      <c r="A356" s="15" t="n">
        <v>326</v>
      </c>
      <c r="B356" s="16" t="inlineStr">
        <is>
          <t>4012345206678</t>
        </is>
      </c>
      <c r="C356" s="7" t="inlineStr">
        <is>
          <t>Pink Lady apples, 250g</t>
        </is>
      </c>
      <c r="D356" s="17" t="n">
        <v>71463</v>
      </c>
      <c r="E356" s="18" t="n"/>
      <c r="G356" s="19">
        <f>IF(Data!AC330&gt;0,RANK(Data!AC330,Data!$AC$5:$AC$804),"")</f>
        <v/>
      </c>
      <c r="H356" s="19">
        <f>IF(N(D356)&gt;0,RANK(D356,$D$31:$D$830),"")</f>
        <v/>
      </c>
    </row>
    <row r="357">
      <c r="A357" s="15" t="n">
        <v>327</v>
      </c>
      <c r="B357" s="16" t="inlineStr">
        <is>
          <t>3012345239493</t>
        </is>
      </c>
      <c r="C357" s="7" t="inlineStr">
        <is>
          <t>Smoked ham, 400g</t>
        </is>
      </c>
      <c r="D357" s="17" t="n">
        <v>44591</v>
      </c>
      <c r="E357" s="18" t="n"/>
      <c r="G357" s="19">
        <f>IF(Data!AC331&gt;0,RANK(Data!AC331,Data!$AC$5:$AC$804),"")</f>
        <v/>
      </c>
      <c r="H357" s="19">
        <f>IF(N(D357)&gt;0,RANK(D357,$D$31:$D$830),"")</f>
        <v/>
      </c>
    </row>
    <row r="358">
      <c r="A358" s="15" t="n">
        <v>328</v>
      </c>
      <c r="B358" s="16" t="inlineStr">
        <is>
          <t>8712345841829</t>
        </is>
      </c>
      <c r="C358" s="7" t="inlineStr">
        <is>
          <t>Mozzarella, 250g</t>
        </is>
      </c>
      <c r="D358" s="17" t="n">
        <v>71045</v>
      </c>
      <c r="E358" s="18" t="n"/>
      <c r="G358" s="19">
        <f>IF(Data!AC332&gt;0,RANK(Data!AC332,Data!$AC$5:$AC$804),"")</f>
        <v/>
      </c>
      <c r="H358" s="19">
        <f>IF(N(D358)&gt;0,RANK(D358,$D$31:$D$830),"")</f>
        <v/>
      </c>
    </row>
    <row r="359">
      <c r="A359" s="15" t="n">
        <v>329</v>
      </c>
      <c r="B359" s="16" t="inlineStr">
        <is>
          <t>5012345615714</t>
        </is>
      </c>
      <c r="C359" s="7" t="inlineStr">
        <is>
          <t>Emmental slices, 10sl 250g</t>
        </is>
      </c>
      <c r="D359" s="17" t="n">
        <v>70533</v>
      </c>
      <c r="E359" s="18" t="n"/>
      <c r="G359" s="19">
        <f>IF(Data!AC333&gt;0,RANK(Data!AC333,Data!$AC$5:$AC$804),"")</f>
        <v/>
      </c>
      <c r="H359" s="19">
        <f>IF(N(D359)&gt;0,RANK(D359,$D$31:$D$830),"")</f>
        <v/>
      </c>
    </row>
    <row r="360">
      <c r="A360" s="15" t="n">
        <v>330</v>
      </c>
      <c r="B360" s="16" t="inlineStr">
        <is>
          <t>5012345426143</t>
        </is>
      </c>
      <c r="C360" s="7" t="inlineStr">
        <is>
          <t>Gala apples, 250g</t>
        </is>
      </c>
      <c r="D360" s="17" t="n">
        <v>69931</v>
      </c>
      <c r="E360" s="18" t="n"/>
      <c r="G360" s="19">
        <f>IF(Data!AC334&gt;0,RANK(Data!AC334,Data!$AC$5:$AC$804),"")</f>
        <v/>
      </c>
      <c r="H360" s="19">
        <f>IF(N(D360)&gt;0,RANK(D360,$D$31:$D$830),"")</f>
        <v/>
      </c>
    </row>
    <row r="361">
      <c r="A361" s="15" t="n">
        <v>331</v>
      </c>
      <c r="B361" s="16" t="inlineStr">
        <is>
          <t>3012345311960</t>
        </is>
      </c>
      <c r="C361" s="7" t="inlineStr">
        <is>
          <t>Lemons, 250g</t>
        </is>
      </c>
      <c r="D361" s="17" t="n">
        <v>69869</v>
      </c>
      <c r="E361" s="18" t="n"/>
      <c r="G361" s="19">
        <f>IF(Data!AC335&gt;0,RANK(Data!AC335,Data!$AC$5:$AC$804),"")</f>
        <v/>
      </c>
      <c r="H361" s="19">
        <f>IF(N(D361)&gt;0,RANK(D361,$D$31:$D$830),"")</f>
        <v/>
      </c>
    </row>
    <row r="362">
      <c r="A362" s="15" t="n">
        <v>332</v>
      </c>
      <c r="B362" s="16" t="inlineStr">
        <is>
          <t>8712345176686</t>
        </is>
      </c>
      <c r="C362" s="7" t="inlineStr">
        <is>
          <t>Beef mince, 20% fat, 400g</t>
        </is>
      </c>
      <c r="D362" s="17" t="n">
        <v>43370</v>
      </c>
      <c r="E362" s="18" t="n"/>
      <c r="G362" s="19">
        <f>IF(Data!AC336&gt;0,RANK(Data!AC336,Data!$AC$5:$AC$804),"")</f>
        <v/>
      </c>
      <c r="H362" s="19">
        <f>IF(N(D362)&gt;0,RANK(D362,$D$31:$D$830),"")</f>
        <v/>
      </c>
    </row>
    <row r="363">
      <c r="A363" s="15" t="n">
        <v>333</v>
      </c>
      <c r="B363" s="16" t="inlineStr">
        <is>
          <t>8712345755867</t>
        </is>
      </c>
      <c r="C363" s="7" t="inlineStr">
        <is>
          <t>Wholemeal sliced bread, 500g</t>
        </is>
      </c>
      <c r="D363" s="17" t="n">
        <v>34471</v>
      </c>
      <c r="E363" s="18" t="n"/>
      <c r="G363" s="19">
        <f>IF(Data!AC337&gt;0,RANK(Data!AC337,Data!$AC$5:$AC$804),"")</f>
        <v/>
      </c>
      <c r="H363" s="19">
        <f>IF(N(D363)&gt;0,RANK(D363,$D$31:$D$830),"")</f>
        <v/>
      </c>
    </row>
    <row r="364">
      <c r="A364" s="15" t="n">
        <v>334</v>
      </c>
      <c r="B364" s="16" t="inlineStr">
        <is>
          <t>4012345431360</t>
        </is>
      </c>
      <c r="C364" s="7" t="inlineStr">
        <is>
          <t>Pains au chocolat, 8pk 280g</t>
        </is>
      </c>
      <c r="D364" s="17" t="n">
        <v>61454</v>
      </c>
      <c r="E364" s="18" t="n"/>
      <c r="G364" s="19">
        <f>IF(Data!AC338&gt;0,RANK(Data!AC338,Data!$AC$5:$AC$804),"")</f>
        <v/>
      </c>
      <c r="H364" s="19">
        <f>IF(N(D364)&gt;0,RANK(D364,$D$31:$D$830),"")</f>
        <v/>
      </c>
    </row>
    <row r="365">
      <c r="A365" s="15" t="n">
        <v>335</v>
      </c>
      <c r="B365" s="16" t="inlineStr">
        <is>
          <t>4012345472424</t>
        </is>
      </c>
      <c r="C365" s="7" t="inlineStr">
        <is>
          <t>Diced beef for stewing, 250g</t>
        </is>
      </c>
      <c r="D365" s="17" t="n">
        <v>68710</v>
      </c>
      <c r="E365" s="18" t="n"/>
      <c r="G365" s="19">
        <f>IF(Data!AC339&gt;0,RANK(Data!AC339,Data!$AC$5:$AC$804),"")</f>
        <v/>
      </c>
      <c r="H365" s="19">
        <f>IF(N(D365)&gt;0,RANK(D365,$D$31:$D$830),"")</f>
        <v/>
      </c>
    </row>
    <row r="366">
      <c r="A366" s="15" t="n">
        <v>336</v>
      </c>
      <c r="B366" s="16" t="inlineStr">
        <is>
          <t>3012345349468</t>
        </is>
      </c>
      <c r="C366" s="7" t="inlineStr">
        <is>
          <t>Clementines, 250g</t>
        </is>
      </c>
      <c r="D366" s="17" t="n">
        <v>68642</v>
      </c>
      <c r="E366" s="18" t="n"/>
      <c r="G366" s="19">
        <f>IF(Data!AC340&gt;0,RANK(Data!AC340,Data!$AC$5:$AC$804),"")</f>
        <v/>
      </c>
      <c r="H366" s="19">
        <f>IF(N(D366)&gt;0,RANK(D366,$D$31:$D$830),"")</f>
        <v/>
      </c>
    </row>
    <row r="367">
      <c r="A367" s="15" t="n">
        <v>337</v>
      </c>
      <c r="B367" s="16" t="inlineStr">
        <is>
          <t>8712345582104</t>
        </is>
      </c>
      <c r="C367" s="7" t="inlineStr">
        <is>
          <t>Feta, 250g</t>
        </is>
      </c>
      <c r="D367" s="17" t="n">
        <v>67356</v>
      </c>
      <c r="E367" s="18" t="n"/>
      <c r="G367" s="19">
        <f>IF(Data!AC341&gt;0,RANK(Data!AC341,Data!$AC$5:$AC$804),"")</f>
        <v/>
      </c>
      <c r="H367" s="19">
        <f>IF(N(D367)&gt;0,RANK(D367,$D$31:$D$830),"")</f>
        <v/>
      </c>
    </row>
    <row r="368">
      <c r="A368" s="15" t="n">
        <v>338</v>
      </c>
      <c r="B368" s="16" t="inlineStr">
        <is>
          <t>3012345334525</t>
        </is>
      </c>
      <c r="C368" s="7" t="inlineStr">
        <is>
          <t>Pork belly slices, 400g</t>
        </is>
      </c>
      <c r="D368" s="17" t="n">
        <v>41915</v>
      </c>
      <c r="E368" s="18" t="n"/>
      <c r="G368" s="19">
        <f>IF(Data!AC342&gt;0,RANK(Data!AC342,Data!$AC$5:$AC$804),"")</f>
        <v/>
      </c>
      <c r="H368" s="19">
        <f>IF(N(D368)&gt;0,RANK(D368,$D$31:$D$830),"")</f>
        <v/>
      </c>
    </row>
    <row r="369">
      <c r="A369" s="15" t="n">
        <v>339</v>
      </c>
      <c r="B369" s="16" t="inlineStr">
        <is>
          <t>4012345549430</t>
        </is>
      </c>
      <c r="C369" s="7" t="inlineStr">
        <is>
          <t>Cod fish fingers, 4pk 440g</t>
        </is>
      </c>
      <c r="D369" s="17" t="n">
        <v>38088</v>
      </c>
      <c r="E369" s="18" t="n"/>
      <c r="G369" s="19">
        <f>IF(Data!AC343&gt;0,RANK(Data!AC343,Data!$AC$5:$AC$804),"")</f>
        <v/>
      </c>
      <c r="H369" s="19">
        <f>IF(N(D369)&gt;0,RANK(D369,$D$31:$D$830),"")</f>
        <v/>
      </c>
    </row>
    <row r="370">
      <c r="A370" s="15" t="n">
        <v>340</v>
      </c>
      <c r="B370" s="16" t="inlineStr">
        <is>
          <t>4012345242898</t>
        </is>
      </c>
      <c r="C370" s="7" t="inlineStr">
        <is>
          <t>Pressed apple juice, 6x200ml</t>
        </is>
      </c>
      <c r="D370" s="17" t="n">
        <v>13340</v>
      </c>
      <c r="E370" s="18" t="n"/>
      <c r="G370" s="19">
        <f>IF(Data!AC344&gt;0,RANK(Data!AC344,Data!$AC$5:$AC$804),"")</f>
        <v/>
      </c>
      <c r="H370" s="19">
        <f>IF(N(D370)&gt;0,RANK(D370,$D$31:$D$830),"")</f>
        <v/>
      </c>
    </row>
    <row r="371">
      <c r="A371" s="15" t="n">
        <v>341</v>
      </c>
      <c r="B371" s="16" t="inlineStr">
        <is>
          <t>5012345268903</t>
        </is>
      </c>
      <c r="C371" s="7" t="inlineStr">
        <is>
          <t>Salt &amp; vinegar crisps, 200g</t>
        </is>
      </c>
      <c r="D371" s="17" t="n">
        <v>82698</v>
      </c>
      <c r="E371" s="18" t="n"/>
      <c r="G371" s="19">
        <f>IF(Data!AC345&gt;0,RANK(Data!AC345,Data!$AC$5:$AC$804),"")</f>
        <v/>
      </c>
      <c r="H371" s="19">
        <f>IF(N(D371)&gt;0,RANK(D371,$D$31:$D$830),"")</f>
        <v/>
      </c>
    </row>
    <row r="372">
      <c r="A372" s="15" t="n">
        <v>342</v>
      </c>
      <c r="B372" s="16" t="inlineStr">
        <is>
          <t>5012345719054</t>
        </is>
      </c>
      <c r="C372" s="7" t="inlineStr">
        <is>
          <t>Spaghetti bolognese, 2x400g</t>
        </is>
      </c>
      <c r="D372" s="17" t="n">
        <v>20631</v>
      </c>
      <c r="E372" s="18" t="n"/>
      <c r="G372" s="19">
        <f>IF(Data!AC346&gt;0,RANK(Data!AC346,Data!$AC$5:$AC$804),"")</f>
        <v/>
      </c>
      <c r="H372" s="19">
        <f>IF(N(D372)&gt;0,RANK(D372,$D$31:$D$830),"")</f>
        <v/>
      </c>
    </row>
    <row r="373">
      <c r="A373" s="15" t="n">
        <v>343</v>
      </c>
      <c r="B373" s="16" t="inlineStr">
        <is>
          <t>8712345377038</t>
        </is>
      </c>
      <c r="C373" s="7" t="inlineStr">
        <is>
          <t>Couscous, 2kg</t>
        </is>
      </c>
      <c r="D373" s="17" t="n">
        <v>8244</v>
      </c>
      <c r="E373" s="18" t="n"/>
      <c r="G373" s="19">
        <f>IF(Data!AC347&gt;0,RANK(Data!AC347,Data!$AC$5:$AC$804),"")</f>
        <v/>
      </c>
      <c r="H373" s="19">
        <f>IF(N(D373)&gt;0,RANK(D373,$D$31:$D$830),"")</f>
        <v/>
      </c>
    </row>
    <row r="374">
      <c r="A374" s="15" t="n">
        <v>344</v>
      </c>
      <c r="B374" s="16" t="inlineStr">
        <is>
          <t>4012345737370</t>
        </is>
      </c>
      <c r="C374" s="7" t="inlineStr">
        <is>
          <t>Crinkle-cut chips, 900g</t>
        </is>
      </c>
      <c r="D374" s="17" t="n">
        <v>18310</v>
      </c>
      <c r="E374" s="18" t="n"/>
      <c r="G374" s="19">
        <f>IF(Data!AC348&gt;0,RANK(Data!AC348,Data!$AC$5:$AC$804),"")</f>
        <v/>
      </c>
      <c r="H374" s="19">
        <f>IF(N(D374)&gt;0,RANK(D374,$D$31:$D$830),"")</f>
        <v/>
      </c>
    </row>
    <row r="375">
      <c r="A375" s="15" t="n">
        <v>345</v>
      </c>
      <c r="B375" s="16" t="inlineStr">
        <is>
          <t>3012345617161</t>
        </is>
      </c>
      <c r="C375" s="7" t="inlineStr">
        <is>
          <t>Black beans in water, 410g</t>
        </is>
      </c>
      <c r="D375" s="17" t="n">
        <v>40146</v>
      </c>
      <c r="E375" s="18" t="n"/>
      <c r="G375" s="19">
        <f>IF(Data!AC349&gt;0,RANK(Data!AC349,Data!$AC$5:$AC$804),"")</f>
        <v/>
      </c>
      <c r="H375" s="19">
        <f>IF(N(D375)&gt;0,RANK(D375,$D$31:$D$830),"")</f>
        <v/>
      </c>
    </row>
    <row r="376">
      <c r="A376" s="15" t="n">
        <v>346</v>
      </c>
      <c r="B376" s="16" t="inlineStr">
        <is>
          <t>3012345053969</t>
        </is>
      </c>
      <c r="C376" s="7" t="inlineStr">
        <is>
          <t>Cottage pie, 450g</t>
        </is>
      </c>
      <c r="D376" s="17" t="n">
        <v>36534</v>
      </c>
      <c r="E376" s="18" t="n"/>
      <c r="G376" s="19">
        <f>IF(Data!AC350&gt;0,RANK(Data!AC350,Data!$AC$5:$AC$804),"")</f>
        <v/>
      </c>
      <c r="H376" s="19">
        <f>IF(N(D376)&gt;0,RANK(D376,$D$31:$D$830),"")</f>
        <v/>
      </c>
    </row>
    <row r="377">
      <c r="A377" s="15" t="n">
        <v>347</v>
      </c>
      <c r="B377" s="16" t="inlineStr">
        <is>
          <t>5012345014777</t>
        </is>
      </c>
      <c r="C377" s="7" t="inlineStr">
        <is>
          <t>Chocolate milk drink, 6x200ml</t>
        </is>
      </c>
      <c r="D377" s="17" t="n">
        <v>13135</v>
      </c>
      <c r="E377" s="18" t="n"/>
      <c r="G377" s="19">
        <f>IF(Data!AC351&gt;0,RANK(Data!AC351,Data!$AC$5:$AC$804),"")</f>
        <v/>
      </c>
      <c r="H377" s="19">
        <f>IF(N(D377)&gt;0,RANK(D377,$D$31:$D$830),"")</f>
        <v/>
      </c>
    </row>
    <row r="378">
      <c r="A378" s="15" t="n">
        <v>348</v>
      </c>
      <c r="B378" s="16" t="inlineStr">
        <is>
          <t>3012345718752</t>
        </is>
      </c>
      <c r="C378" s="7" t="inlineStr">
        <is>
          <t>Baby spinach, 300g</t>
        </is>
      </c>
      <c r="D378" s="17" t="n">
        <v>54125</v>
      </c>
      <c r="E378" s="18" t="n"/>
      <c r="G378" s="19">
        <f>IF(Data!AC352&gt;0,RANK(Data!AC352,Data!$AC$5:$AC$804),"")</f>
        <v/>
      </c>
      <c r="H378" s="19">
        <f>IF(N(D378)&gt;0,RANK(D378,$D$31:$D$830),"")</f>
        <v/>
      </c>
    </row>
    <row r="379">
      <c r="A379" s="15" t="n">
        <v>349</v>
      </c>
      <c r="B379" s="16" t="inlineStr">
        <is>
          <t>4012345367317</t>
        </is>
      </c>
      <c r="C379" s="7" t="inlineStr">
        <is>
          <t>Seedless red grapes, 250g</t>
        </is>
      </c>
      <c r="D379" s="17" t="n">
        <v>64912</v>
      </c>
      <c r="E379" s="18" t="n"/>
      <c r="G379" s="19">
        <f>IF(Data!AC353&gt;0,RANK(Data!AC353,Data!$AC$5:$AC$804),"")</f>
        <v/>
      </c>
      <c r="H379" s="19">
        <f>IF(N(D379)&gt;0,RANK(D379,$D$31:$D$830),"")</f>
        <v/>
      </c>
    </row>
    <row r="380">
      <c r="A380" s="15" t="n">
        <v>350</v>
      </c>
      <c r="B380" s="16" t="inlineStr">
        <is>
          <t>5012345948751</t>
        </is>
      </c>
      <c r="C380" s="7" t="inlineStr">
        <is>
          <t>Basmati rice, 500g</t>
        </is>
      </c>
      <c r="D380" s="17" t="n">
        <v>32325</v>
      </c>
      <c r="E380" s="18" t="n"/>
      <c r="G380" s="19">
        <f>IF(Data!AC354&gt;0,RANK(Data!AC354,Data!$AC$5:$AC$804),"")</f>
        <v/>
      </c>
      <c r="H380" s="19">
        <f>IF(N(D380)&gt;0,RANK(D380,$D$31:$D$830),"")</f>
        <v/>
      </c>
    </row>
    <row r="381">
      <c r="A381" s="15" t="n">
        <v>351</v>
      </c>
      <c r="B381" s="16" t="inlineStr">
        <is>
          <t>0012345248825</t>
        </is>
      </c>
      <c r="C381" s="7" t="inlineStr">
        <is>
          <t>Beef mince, 5% fat, 500g</t>
        </is>
      </c>
      <c r="D381" s="17" t="n">
        <v>32201</v>
      </c>
      <c r="E381" s="18" t="n"/>
      <c r="G381" s="19">
        <f>IF(Data!AC355&gt;0,RANK(Data!AC355,Data!$AC$5:$AC$804),"")</f>
        <v/>
      </c>
      <c r="H381" s="19">
        <f>IF(N(D381)&gt;0,RANK(D381,$D$31:$D$830),"")</f>
        <v/>
      </c>
    </row>
    <row r="382">
      <c r="A382" s="15" t="n">
        <v>352</v>
      </c>
      <c r="B382" s="16" t="inlineStr">
        <is>
          <t>2916847373390</t>
        </is>
      </c>
      <c r="C382" s="7" t="inlineStr">
        <is>
          <t>Cauliflower</t>
        </is>
      </c>
      <c r="D382" s="17" t="n"/>
      <c r="E382" s="18" t="n">
        <v>16079</v>
      </c>
      <c r="G382" s="19">
        <f>IF(Data!AC356&gt;0,RANK(Data!AC356,Data!$AC$5:$AC$804),"")</f>
        <v/>
      </c>
      <c r="H382" s="19">
        <f>IF(N(D382)&gt;0,RANK(D382,$D$31:$D$830),"")</f>
        <v/>
      </c>
    </row>
    <row r="383">
      <c r="A383" s="15" t="n">
        <v>353</v>
      </c>
      <c r="B383" s="16" t="inlineStr">
        <is>
          <t>8712345064501</t>
        </is>
      </c>
      <c r="C383" s="7" t="inlineStr">
        <is>
          <t>Wholewheat spaghetti, 1kg</t>
        </is>
      </c>
      <c r="D383" s="17" t="n">
        <v>16052</v>
      </c>
      <c r="E383" s="18" t="n"/>
      <c r="G383" s="19">
        <f>IF(Data!AC357&gt;0,RANK(Data!AC357,Data!$AC$5:$AC$804),"")</f>
        <v/>
      </c>
      <c r="H383" s="19">
        <f>IF(N(D383)&gt;0,RANK(D383,$D$31:$D$830),"")</f>
        <v/>
      </c>
    </row>
    <row r="384">
      <c r="A384" s="15" t="n">
        <v>354</v>
      </c>
      <c r="B384" s="16" t="inlineStr">
        <is>
          <t>3012345731263</t>
        </is>
      </c>
      <c r="C384" s="7" t="inlineStr">
        <is>
          <t>Mixed peppers, 300g</t>
        </is>
      </c>
      <c r="D384" s="17" t="n">
        <v>53446</v>
      </c>
      <c r="E384" s="18" t="n"/>
      <c r="G384" s="19">
        <f>IF(Data!AC358&gt;0,RANK(Data!AC358,Data!$AC$5:$AC$804),"")</f>
        <v/>
      </c>
      <c r="H384" s="19">
        <f>IF(N(D384)&gt;0,RANK(D384,$D$31:$D$830),"")</f>
        <v/>
      </c>
    </row>
    <row r="385">
      <c r="A385" s="15" t="n">
        <v>355</v>
      </c>
      <c r="B385" s="16" t="inlineStr">
        <is>
          <t>4012345139419</t>
        </is>
      </c>
      <c r="C385" s="7" t="inlineStr">
        <is>
          <t>Broccoli, 500g</t>
        </is>
      </c>
      <c r="D385" s="17" t="n">
        <v>31965</v>
      </c>
      <c r="E385" s="18" t="n"/>
      <c r="G385" s="19">
        <f>IF(Data!AC359&gt;0,RANK(Data!AC359,Data!$AC$5:$AC$804),"")</f>
        <v/>
      </c>
      <c r="H385" s="19">
        <f>IF(N(D385)&gt;0,RANK(D385,$D$31:$D$830),"")</f>
        <v/>
      </c>
    </row>
    <row r="386">
      <c r="A386" s="15" t="n">
        <v>356</v>
      </c>
      <c r="B386" s="16" t="inlineStr">
        <is>
          <t>4012345671766</t>
        </is>
      </c>
      <c r="C386" s="7" t="inlineStr">
        <is>
          <t>Closed cup mushrooms, 300g</t>
        </is>
      </c>
      <c r="D386" s="17" t="n">
        <v>53199</v>
      </c>
      <c r="E386" s="18" t="n"/>
      <c r="G386" s="19">
        <f>IF(Data!AC360&gt;0,RANK(Data!AC360,Data!$AC$5:$AC$804),"")</f>
        <v/>
      </c>
      <c r="H386" s="19">
        <f>IF(N(D386)&gt;0,RANK(D386,$D$31:$D$830),"")</f>
        <v/>
      </c>
    </row>
    <row r="387">
      <c r="A387" s="15" t="n">
        <v>357</v>
      </c>
      <c r="B387" s="16" t="inlineStr">
        <is>
          <t>3012345751889</t>
        </is>
      </c>
      <c r="C387" s="7" t="inlineStr">
        <is>
          <t>Red Leicester, 10sl 250g</t>
        </is>
      </c>
      <c r="D387" s="17" t="n">
        <v>63459</v>
      </c>
      <c r="E387" s="18" t="n"/>
      <c r="G387" s="19">
        <f>IF(Data!AC361&gt;0,RANK(Data!AC361,Data!$AC$5:$AC$804),"")</f>
        <v/>
      </c>
      <c r="H387" s="19">
        <f>IF(N(D387)&gt;0,RANK(D387,$D$31:$D$830),"")</f>
        <v/>
      </c>
    </row>
    <row r="388">
      <c r="A388" s="15" t="n">
        <v>358</v>
      </c>
      <c r="B388" s="16" t="inlineStr">
        <is>
          <t>4012345864861</t>
        </is>
      </c>
      <c r="C388" s="7" t="inlineStr">
        <is>
          <t>Mixed vegetables, 750g</t>
        </is>
      </c>
      <c r="D388" s="17" t="n">
        <v>21120</v>
      </c>
      <c r="E388" s="18" t="n"/>
      <c r="G388" s="19">
        <f>IF(Data!AC362&gt;0,RANK(Data!AC362,Data!$AC$5:$AC$804),"")</f>
        <v/>
      </c>
      <c r="H388" s="19">
        <f>IF(N(D388)&gt;0,RANK(D388,$D$31:$D$830),"")</f>
        <v/>
      </c>
    </row>
    <row r="389">
      <c r="A389" s="15" t="n">
        <v>359</v>
      </c>
      <c r="B389" s="16" t="inlineStr">
        <is>
          <t>8712345635824</t>
        </is>
      </c>
      <c r="C389" s="7" t="inlineStr">
        <is>
          <t>Red Leicester, 800g</t>
        </is>
      </c>
      <c r="D389" s="17" t="n">
        <v>19755</v>
      </c>
      <c r="E389" s="18" t="n"/>
      <c r="G389" s="19">
        <f>IF(Data!AC363&gt;0,RANK(Data!AC363,Data!$AC$5:$AC$804),"")</f>
        <v/>
      </c>
      <c r="H389" s="19">
        <f>IF(N(D389)&gt;0,RANK(D389,$D$31:$D$830),"")</f>
        <v/>
      </c>
    </row>
    <row r="390">
      <c r="A390" s="15" t="n">
        <v>360</v>
      </c>
      <c r="B390" s="16" t="inlineStr">
        <is>
          <t>5012345718514</t>
        </is>
      </c>
      <c r="C390" s="7" t="inlineStr">
        <is>
          <t>Strawberry yoghurt, 4x125g</t>
        </is>
      </c>
      <c r="D390" s="17" t="n">
        <v>31558</v>
      </c>
      <c r="E390" s="18" t="n"/>
      <c r="G390" s="19">
        <f>IF(Data!AC364&gt;0,RANK(Data!AC364,Data!$AC$5:$AC$804),"")</f>
        <v/>
      </c>
      <c r="H390" s="19">
        <f>IF(N(D390)&gt;0,RANK(D390,$D$31:$D$830),"")</f>
        <v/>
      </c>
    </row>
    <row r="391">
      <c r="A391" s="15" t="n">
        <v>361</v>
      </c>
      <c r="B391" s="16" t="inlineStr">
        <is>
          <t>5012345329642</t>
        </is>
      </c>
      <c r="C391" s="7" t="inlineStr">
        <is>
          <t>Courgettes</t>
        </is>
      </c>
      <c r="D391" s="17" t="n">
        <v>62876</v>
      </c>
      <c r="E391" s="18" t="n"/>
      <c r="G391" s="19">
        <f>IF(Data!AC365&gt;0,RANK(Data!AC365,Data!$AC$5:$AC$804),"")</f>
        <v/>
      </c>
      <c r="H391" s="19">
        <f>IF(N(D391)&gt;0,RANK(D391,$D$31:$D$830),"")</f>
        <v/>
      </c>
    </row>
    <row r="392">
      <c r="A392" s="15" t="n">
        <v>362</v>
      </c>
      <c r="B392" s="16" t="inlineStr">
        <is>
          <t>5012345864327</t>
        </is>
      </c>
      <c r="C392" s="7" t="inlineStr">
        <is>
          <t>Chicken breast fillets, 500g</t>
        </is>
      </c>
      <c r="D392" s="17" t="n">
        <v>31433</v>
      </c>
      <c r="E392" s="18" t="n"/>
      <c r="G392" s="19">
        <f>IF(Data!AC366&gt;0,RANK(Data!AC366,Data!$AC$5:$AC$804),"")</f>
        <v/>
      </c>
      <c r="H392" s="19">
        <f>IF(N(D392)&gt;0,RANK(D392,$D$31:$D$830),"")</f>
        <v/>
      </c>
    </row>
    <row r="393">
      <c r="A393" s="15" t="n">
        <v>363</v>
      </c>
      <c r="B393" s="16" t="inlineStr">
        <is>
          <t>5012345219240</t>
        </is>
      </c>
      <c r="C393" s="7" t="inlineStr">
        <is>
          <t>Pork mince, 1kg</t>
        </is>
      </c>
      <c r="D393" s="17" t="n">
        <v>15697</v>
      </c>
      <c r="E393" s="18" t="n"/>
      <c r="G393" s="19">
        <f>IF(Data!AC367&gt;0,RANK(Data!AC367,Data!$AC$5:$AC$804),"")</f>
        <v/>
      </c>
      <c r="H393" s="19">
        <f>IF(N(D393)&gt;0,RANK(D393,$D$31:$D$830),"")</f>
        <v/>
      </c>
    </row>
    <row r="394">
      <c r="A394" s="15" t="n">
        <v>364</v>
      </c>
      <c r="B394" s="16" t="inlineStr">
        <is>
          <t>3012345079389</t>
        </is>
      </c>
      <c r="C394" s="7" t="inlineStr">
        <is>
          <t>Milk chocolate with hazelnuts, 100g</t>
        </is>
      </c>
      <c r="D394" s="17" t="n">
        <v>156713</v>
      </c>
      <c r="E394" s="18" t="n"/>
      <c r="G394" s="19">
        <f>IF(Data!AC368&gt;0,RANK(Data!AC368,Data!$AC$5:$AC$804),"")</f>
        <v/>
      </c>
      <c r="H394" s="19">
        <f>IF(N(D394)&gt;0,RANK(D394,$D$31:$D$830),"")</f>
        <v/>
      </c>
    </row>
    <row r="395">
      <c r="A395" s="15" t="n">
        <v>365</v>
      </c>
      <c r="B395" s="16" t="inlineStr">
        <is>
          <t>5012345377346</t>
        </is>
      </c>
      <c r="C395" s="7" t="inlineStr">
        <is>
          <t>Strawberry skyr, 450g</t>
        </is>
      </c>
      <c r="D395" s="17" t="n">
        <v>34782</v>
      </c>
      <c r="E395" s="18" t="n"/>
      <c r="G395" s="19">
        <f>IF(Data!AC369&gt;0,RANK(Data!AC369,Data!$AC$5:$AC$804),"")</f>
        <v/>
      </c>
      <c r="H395" s="19">
        <f>IF(N(D395)&gt;0,RANK(D395,$D$31:$D$830),"")</f>
        <v/>
      </c>
    </row>
    <row r="396">
      <c r="A396" s="15" t="n">
        <v>366</v>
      </c>
      <c r="B396" s="16" t="inlineStr">
        <is>
          <t>5012345484563</t>
        </is>
      </c>
      <c r="C396" s="7" t="inlineStr">
        <is>
          <t>Rye bread, 800g</t>
        </is>
      </c>
      <c r="D396" s="17" t="n">
        <v>19557</v>
      </c>
      <c r="E396" s="18" t="n"/>
      <c r="G396" s="19">
        <f>IF(Data!AC370&gt;0,RANK(Data!AC370,Data!$AC$5:$AC$804),"")</f>
        <v/>
      </c>
      <c r="H396" s="19">
        <f>IF(N(D396)&gt;0,RANK(D396,$D$31:$D$830),"")</f>
        <v/>
      </c>
    </row>
    <row r="397">
      <c r="A397" s="15" t="n">
        <v>367</v>
      </c>
      <c r="B397" s="16" t="inlineStr">
        <is>
          <t>8712345734886</t>
        </is>
      </c>
      <c r="C397" s="7" t="inlineStr">
        <is>
          <t>Cucumber, 300g</t>
        </is>
      </c>
      <c r="D397" s="17" t="n">
        <v>51996</v>
      </c>
      <c r="E397" s="18" t="n"/>
      <c r="G397" s="19">
        <f>IF(Data!AC371&gt;0,RANK(Data!AC371,Data!$AC$5:$AC$804),"")</f>
        <v/>
      </c>
      <c r="H397" s="19">
        <f>IF(N(D397)&gt;0,RANK(D397,$D$31:$D$830),"")</f>
        <v/>
      </c>
    </row>
    <row r="398">
      <c r="A398" s="15" t="n">
        <v>368</v>
      </c>
      <c r="B398" s="16" t="inlineStr">
        <is>
          <t>5012345767246</t>
        </is>
      </c>
      <c r="C398" s="7" t="inlineStr">
        <is>
          <t>Broccoli</t>
        </is>
      </c>
      <c r="D398" s="17" t="n">
        <v>44538</v>
      </c>
      <c r="E398" s="18" t="n"/>
      <c r="G398" s="19">
        <f>IF(Data!AC372&gt;0,RANK(Data!AC372,Data!$AC$5:$AC$804),"")</f>
        <v/>
      </c>
      <c r="H398" s="19">
        <f>IF(N(D398)&gt;0,RANK(D398,$D$31:$D$830),"")</f>
        <v/>
      </c>
    </row>
    <row r="399">
      <c r="A399" s="15" t="n">
        <v>369</v>
      </c>
      <c r="B399" s="16" t="inlineStr">
        <is>
          <t>8712345685164</t>
        </is>
      </c>
      <c r="C399" s="7" t="inlineStr">
        <is>
          <t>Cherry tomatoes, 500g</t>
        </is>
      </c>
      <c r="D399" s="17" t="n">
        <v>31051</v>
      </c>
      <c r="E399" s="18" t="n"/>
      <c r="G399" s="19">
        <f>IF(Data!AC373&gt;0,RANK(Data!AC373,Data!$AC$5:$AC$804),"")</f>
        <v/>
      </c>
      <c r="H399" s="19">
        <f>IF(N(D399)&gt;0,RANK(D399,$D$31:$D$830),"")</f>
        <v/>
      </c>
    </row>
    <row r="400">
      <c r="A400" s="15" t="n">
        <v>370</v>
      </c>
      <c r="B400" s="16" t="inlineStr">
        <is>
          <t>4012345387292</t>
        </is>
      </c>
      <c r="C400" s="7" t="inlineStr">
        <is>
          <t>Rich tea biscuits, 400g</t>
        </is>
      </c>
      <c r="D400" s="17" t="n">
        <v>38424</v>
      </c>
      <c r="E400" s="18" t="n"/>
      <c r="G400" s="19">
        <f>IF(Data!AC374&gt;0,RANK(Data!AC374,Data!$AC$5:$AC$804),"")</f>
        <v/>
      </c>
      <c r="H400" s="19">
        <f>IF(N(D400)&gt;0,RANK(D400,$D$31:$D$830),"")</f>
        <v/>
      </c>
    </row>
    <row r="401">
      <c r="A401" s="15" t="n">
        <v>371</v>
      </c>
      <c r="B401" s="16" t="inlineStr">
        <is>
          <t>3012345889223</t>
        </is>
      </c>
      <c r="C401" s="7" t="inlineStr">
        <is>
          <t>Ham &amp; mushroom pizza, 2x320g</t>
        </is>
      </c>
      <c r="D401" s="17" t="n">
        <v>23999</v>
      </c>
      <c r="E401" s="18" t="n"/>
      <c r="G401" s="19">
        <f>IF(Data!AC375&gt;0,RANK(Data!AC375,Data!$AC$5:$AC$804),"")</f>
        <v/>
      </c>
      <c r="H401" s="19">
        <f>IF(N(D401)&gt;0,RANK(D401,$D$31:$D$830),"")</f>
        <v/>
      </c>
    </row>
    <row r="402">
      <c r="A402" s="15" t="n">
        <v>372</v>
      </c>
      <c r="B402" s="16" t="inlineStr">
        <is>
          <t>8712345219741</t>
        </is>
      </c>
      <c r="C402" s="7" t="inlineStr">
        <is>
          <t>Chickpeas in water, 400g</t>
        </is>
      </c>
      <c r="D402" s="17" t="n">
        <v>38253</v>
      </c>
      <c r="E402" s="18" t="n"/>
      <c r="G402" s="19">
        <f>IF(Data!AC376&gt;0,RANK(Data!AC376,Data!$AC$5:$AC$804),"")</f>
        <v/>
      </c>
      <c r="H402" s="19">
        <f>IF(N(D402)&gt;0,RANK(D402,$D$31:$D$830),"")</f>
        <v/>
      </c>
    </row>
    <row r="403">
      <c r="A403" s="15" t="n">
        <v>373</v>
      </c>
      <c r="B403" s="16" t="inlineStr">
        <is>
          <t>8712345790448</t>
        </is>
      </c>
      <c r="C403" s="7" t="inlineStr">
        <is>
          <t>Natural skyr, 450g</t>
        </is>
      </c>
      <c r="D403" s="17" t="n">
        <v>33908</v>
      </c>
      <c r="E403" s="18" t="n"/>
      <c r="G403" s="19">
        <f>IF(Data!AC377&gt;0,RANK(Data!AC377,Data!$AC$5:$AC$804),"")</f>
        <v/>
      </c>
      <c r="H403" s="19">
        <f>IF(N(D403)&gt;0,RANK(D403,$D$31:$D$830),"")</f>
        <v/>
      </c>
    </row>
    <row r="404">
      <c r="A404" s="15" t="n">
        <v>374</v>
      </c>
      <c r="B404" s="16" t="inlineStr">
        <is>
          <t>5012345447858</t>
        </is>
      </c>
      <c r="C404" s="7" t="inlineStr">
        <is>
          <t>Honey-roast ham, 8sl 200g</t>
        </is>
      </c>
      <c r="D404" s="17" t="n">
        <v>75958</v>
      </c>
      <c r="E404" s="18" t="n"/>
      <c r="G404" s="19">
        <f>IF(Data!AC378&gt;0,RANK(Data!AC378,Data!$AC$5:$AC$804),"")</f>
        <v/>
      </c>
      <c r="H404" s="19">
        <f>IF(N(D404)&gt;0,RANK(D404,$D$31:$D$830),"")</f>
        <v/>
      </c>
    </row>
    <row r="405">
      <c r="A405" s="15" t="n">
        <v>375</v>
      </c>
      <c r="B405" s="16" t="inlineStr">
        <is>
          <t>4012345519990</t>
        </is>
      </c>
      <c r="C405" s="7" t="inlineStr">
        <is>
          <t>Strawberry milkshake, 1l</t>
        </is>
      </c>
      <c r="D405" s="17" t="n">
        <v>14725</v>
      </c>
      <c r="E405" s="18" t="n"/>
      <c r="G405" s="19">
        <f>IF(Data!AC379&gt;0,RANK(Data!AC379,Data!$AC$5:$AC$804),"")</f>
        <v/>
      </c>
      <c r="H405" s="19">
        <f>IF(N(D405)&gt;0,RANK(D405,$D$31:$D$830),"")</f>
        <v/>
      </c>
    </row>
    <row r="406">
      <c r="A406" s="15" t="n">
        <v>376</v>
      </c>
      <c r="B406" s="16" t="inlineStr">
        <is>
          <t>8712345293475</t>
        </is>
      </c>
      <c r="C406" s="7" t="inlineStr">
        <is>
          <t>Unsalted butter, 250g</t>
        </is>
      </c>
      <c r="D406" s="17" t="n">
        <v>59825</v>
      </c>
      <c r="E406" s="18" t="n"/>
      <c r="G406" s="19">
        <f>IF(Data!AC380&gt;0,RANK(Data!AC380,Data!$AC$5:$AC$804),"")</f>
        <v/>
      </c>
      <c r="H406" s="19">
        <f>IF(N(D406)&gt;0,RANK(D406,$D$31:$D$830),"")</f>
        <v/>
      </c>
    </row>
    <row r="407">
      <c r="A407" s="15" t="n">
        <v>377</v>
      </c>
      <c r="B407" s="16" t="inlineStr">
        <is>
          <t>3012345853750</t>
        </is>
      </c>
      <c r="C407" s="7" t="inlineStr">
        <is>
          <t>Arborio rice, 500g</t>
        </is>
      </c>
      <c r="D407" s="17" t="n">
        <v>29661</v>
      </c>
      <c r="E407" s="18" t="n"/>
      <c r="G407" s="19">
        <f>IF(Data!AC381&gt;0,RANK(Data!AC381,Data!$AC$5:$AC$804),"")</f>
        <v/>
      </c>
      <c r="H407" s="19">
        <f>IF(N(D407)&gt;0,RANK(D407,$D$31:$D$830),"")</f>
        <v/>
      </c>
    </row>
    <row r="408">
      <c r="A408" s="15" t="n">
        <v>378</v>
      </c>
      <c r="B408" s="16" t="inlineStr">
        <is>
          <t>3012345796521</t>
        </is>
      </c>
      <c r="C408" s="7" t="inlineStr">
        <is>
          <t>Sunflower oil, 1l</t>
        </is>
      </c>
      <c r="D408" s="17" t="n">
        <v>16109</v>
      </c>
      <c r="E408" s="18" t="n"/>
      <c r="G408" s="19">
        <f>IF(Data!AC382&gt;0,RANK(Data!AC382,Data!$AC$5:$AC$804),"")</f>
        <v/>
      </c>
      <c r="H408" s="19">
        <f>IF(N(D408)&gt;0,RANK(D408,$D$31:$D$830),"")</f>
        <v/>
      </c>
    </row>
    <row r="409">
      <c r="A409" s="15" t="n">
        <v>379</v>
      </c>
      <c r="B409" s="16" t="inlineStr">
        <is>
          <t>4012345697094</t>
        </is>
      </c>
      <c r="C409" s="7" t="inlineStr">
        <is>
          <t>Mixed vegetables, 1kg</t>
        </is>
      </c>
      <c r="D409" s="17" t="n">
        <v>14793</v>
      </c>
      <c r="E409" s="18" t="n"/>
      <c r="G409" s="19">
        <f>IF(Data!AC383&gt;0,RANK(Data!AC383,Data!$AC$5:$AC$804),"")</f>
        <v/>
      </c>
      <c r="H409" s="19">
        <f>IF(N(D409)&gt;0,RANK(D409,$D$31:$D$830),"")</f>
        <v/>
      </c>
    </row>
    <row r="410">
      <c r="A410" s="15" t="n">
        <v>380</v>
      </c>
      <c r="B410" s="16" t="inlineStr">
        <is>
          <t>8712345128654</t>
        </is>
      </c>
      <c r="C410" s="7" t="inlineStr">
        <is>
          <t>Mayonnaise, 400g</t>
        </is>
      </c>
      <c r="D410" s="17" t="n">
        <v>36799</v>
      </c>
      <c r="E410" s="18" t="n"/>
      <c r="G410" s="19">
        <f>IF(Data!AC384&gt;0,RANK(Data!AC384,Data!$AC$5:$AC$804),"")</f>
        <v/>
      </c>
      <c r="H410" s="19">
        <f>IF(N(D410)&gt;0,RANK(D410,$D$31:$D$830),"")</f>
        <v/>
      </c>
    </row>
    <row r="411">
      <c r="A411" s="15" t="n">
        <v>381</v>
      </c>
      <c r="B411" s="16" t="inlineStr">
        <is>
          <t>3012345212458</t>
        </is>
      </c>
      <c r="C411" s="7" t="inlineStr">
        <is>
          <t>Beef mince, 5% fat, 750g</t>
        </is>
      </c>
      <c r="D411" s="17" t="n">
        <v>19496</v>
      </c>
      <c r="E411" s="18" t="n"/>
      <c r="G411" s="19">
        <f>IF(Data!AC385&gt;0,RANK(Data!AC385,Data!$AC$5:$AC$804),"")</f>
        <v/>
      </c>
      <c r="H411" s="19">
        <f>IF(N(D411)&gt;0,RANK(D411,$D$31:$D$830),"")</f>
        <v/>
      </c>
    </row>
    <row r="412">
      <c r="A412" s="15" t="n">
        <v>382</v>
      </c>
      <c r="B412" s="16" t="inlineStr">
        <is>
          <t>3012345798198</t>
        </is>
      </c>
      <c r="C412" s="7" t="inlineStr">
        <is>
          <t>Hash browns, 900g</t>
        </is>
      </c>
      <c r="D412" s="17" t="n">
        <v>16234</v>
      </c>
      <c r="E412" s="18" t="n"/>
      <c r="G412" s="19">
        <f>IF(Data!AC386&gt;0,RANK(Data!AC386,Data!$AC$5:$AC$804),"")</f>
        <v/>
      </c>
      <c r="H412" s="19">
        <f>IF(N(D412)&gt;0,RANK(D412,$D$31:$D$830),"")</f>
        <v/>
      </c>
    </row>
    <row r="413">
      <c r="A413" s="15" t="n">
        <v>383</v>
      </c>
      <c r="B413" s="16" t="inlineStr">
        <is>
          <t>4012345101560</t>
        </is>
      </c>
      <c r="C413" s="7" t="inlineStr">
        <is>
          <t>Tomato &amp; basil pasta sauce, 690g</t>
        </is>
      </c>
      <c r="D413" s="17" t="n">
        <v>21167</v>
      </c>
      <c r="E413" s="18" t="n"/>
      <c r="G413" s="19">
        <f>IF(Data!AC387&gt;0,RANK(Data!AC387,Data!$AC$5:$AC$804),"")</f>
        <v/>
      </c>
      <c r="H413" s="19">
        <f>IF(N(D413)&gt;0,RANK(D413,$D$31:$D$830),"")</f>
        <v/>
      </c>
    </row>
    <row r="414">
      <c r="A414" s="15" t="n">
        <v>384</v>
      </c>
      <c r="B414" s="16" t="inlineStr">
        <is>
          <t>8712345182922</t>
        </is>
      </c>
      <c r="C414" s="7" t="inlineStr">
        <is>
          <t>Hash browns, 1.5kg</t>
        </is>
      </c>
      <c r="D414" s="17" t="n">
        <v>9729</v>
      </c>
      <c r="E414" s="18" t="n"/>
      <c r="G414" s="19">
        <f>IF(Data!AC388&gt;0,RANK(Data!AC388,Data!$AC$5:$AC$804),"")</f>
        <v/>
      </c>
      <c r="H414" s="19">
        <f>IF(N(D414)&gt;0,RANK(D414,$D$31:$D$830),"")</f>
        <v/>
      </c>
    </row>
    <row r="415">
      <c r="A415" s="15" t="n">
        <v>385</v>
      </c>
      <c r="B415" s="16" t="inlineStr">
        <is>
          <t>5012345439716</t>
        </is>
      </c>
      <c r="C415" s="7" t="inlineStr">
        <is>
          <t>Turkey breast slices, 180g</t>
        </is>
      </c>
      <c r="D415" s="17" t="n">
        <v>80539</v>
      </c>
      <c r="E415" s="18" t="n"/>
      <c r="G415" s="19">
        <f>IF(Data!AC389&gt;0,RANK(Data!AC389,Data!$AC$5:$AC$804),"")</f>
        <v/>
      </c>
      <c r="H415" s="19">
        <f>IF(N(D415)&gt;0,RANK(D415,$D$31:$D$830),"")</f>
        <v/>
      </c>
    </row>
    <row r="416">
      <c r="A416" s="15" t="n">
        <v>386</v>
      </c>
      <c r="B416" s="16" t="inlineStr">
        <is>
          <t>5012345470511</t>
        </is>
      </c>
      <c r="C416" s="7" t="inlineStr">
        <is>
          <t>Pork shoulder joint, 400g</t>
        </is>
      </c>
      <c r="D416" s="17" t="n">
        <v>36056</v>
      </c>
      <c r="E416" s="18" t="n"/>
      <c r="G416" s="19">
        <f>IF(Data!AC390&gt;0,RANK(Data!AC390,Data!$AC$5:$AC$804),"")</f>
        <v/>
      </c>
      <c r="H416" s="19">
        <f>IF(N(D416)&gt;0,RANK(D416,$D$31:$D$830),"")</f>
        <v/>
      </c>
    </row>
    <row r="417">
      <c r="A417" s="15" t="n">
        <v>387</v>
      </c>
      <c r="B417" s="16" t="inlineStr">
        <is>
          <t>2748142491610</t>
        </is>
      </c>
      <c r="C417" s="7" t="inlineStr">
        <is>
          <t>Leeks</t>
        </is>
      </c>
      <c r="D417" s="17" t="n"/>
      <c r="E417" s="18" t="n">
        <v>14366</v>
      </c>
      <c r="G417" s="19">
        <f>IF(Data!AC391&gt;0,RANK(Data!AC391,Data!$AC$5:$AC$804),"")</f>
        <v/>
      </c>
      <c r="H417" s="19">
        <f>IF(N(D417)&gt;0,RANK(D417,$D$31:$D$830),"")</f>
        <v/>
      </c>
    </row>
    <row r="418">
      <c r="A418" s="15" t="n">
        <v>388</v>
      </c>
      <c r="B418" s="16" t="inlineStr">
        <is>
          <t>5012345635132</t>
        </is>
      </c>
      <c r="C418" s="7" t="inlineStr">
        <is>
          <t>Bran flakes, 750g</t>
        </is>
      </c>
      <c r="D418" s="17" t="n">
        <v>19092</v>
      </c>
      <c r="E418" s="18" t="n"/>
      <c r="G418" s="19">
        <f>IF(Data!AC392&gt;0,RANK(Data!AC392,Data!$AC$5:$AC$804),"")</f>
        <v/>
      </c>
      <c r="H418" s="19">
        <f>IF(N(D418)&gt;0,RANK(D418,$D$31:$D$830),"")</f>
        <v/>
      </c>
    </row>
    <row r="419">
      <c r="A419" s="15" t="n">
        <v>389</v>
      </c>
      <c r="B419" s="16" t="inlineStr">
        <is>
          <t>5012345509075</t>
        </is>
      </c>
      <c r="C419" s="7" t="inlineStr">
        <is>
          <t>Walnut halves, 100g</t>
        </is>
      </c>
      <c r="D419" s="17" t="n">
        <v>142063</v>
      </c>
      <c r="E419" s="18" t="n"/>
      <c r="G419" s="19">
        <f>IF(Data!AC393&gt;0,RANK(Data!AC393,Data!$AC$5:$AC$804),"")</f>
        <v/>
      </c>
      <c r="H419" s="19">
        <f>IF(N(D419)&gt;0,RANK(D419,$D$31:$D$830),"")</f>
        <v/>
      </c>
    </row>
    <row r="420">
      <c r="A420" s="15" t="n">
        <v>390</v>
      </c>
      <c r="B420" s="16" t="inlineStr">
        <is>
          <t>4012345528206</t>
        </is>
      </c>
      <c r="C420" s="7" t="inlineStr">
        <is>
          <t>Milk chocolate bar, 200g</t>
        </is>
      </c>
      <c r="D420" s="17" t="n">
        <v>70416</v>
      </c>
      <c r="E420" s="18" t="n"/>
      <c r="G420" s="19">
        <f>IF(Data!AC394&gt;0,RANK(Data!AC394,Data!$AC$5:$AC$804),"")</f>
        <v/>
      </c>
      <c r="H420" s="19">
        <f>IF(N(D420)&gt;0,RANK(D420,$D$31:$D$830),"")</f>
        <v/>
      </c>
    </row>
    <row r="421">
      <c r="A421" s="15" t="n">
        <v>391</v>
      </c>
      <c r="B421" s="16" t="inlineStr">
        <is>
          <t>3012345424110</t>
        </is>
      </c>
      <c r="C421" s="7" t="inlineStr">
        <is>
          <t>Milk chocolate buttons, 4x40g</t>
        </is>
      </c>
      <c r="D421" s="17" t="n">
        <v>87727</v>
      </c>
      <c r="E421" s="18" t="n"/>
      <c r="G421" s="19">
        <f>IF(Data!AC395&gt;0,RANK(Data!AC395,Data!$AC$5:$AC$804),"")</f>
        <v/>
      </c>
      <c r="H421" s="19">
        <f>IF(N(D421)&gt;0,RANK(D421,$D$31:$D$830),"")</f>
        <v/>
      </c>
    </row>
    <row r="422">
      <c r="A422" s="15" t="n">
        <v>392</v>
      </c>
      <c r="B422" s="16" t="inlineStr">
        <is>
          <t>4012345297966</t>
        </is>
      </c>
      <c r="C422" s="7" t="inlineStr">
        <is>
          <t>Vegetable curry with rice, 400g</t>
        </is>
      </c>
      <c r="D422" s="17" t="n">
        <v>34983</v>
      </c>
      <c r="E422" s="18" t="n"/>
      <c r="G422" s="19">
        <f>IF(Data!AC396&gt;0,RANK(Data!AC396,Data!$AC$5:$AC$804),"")</f>
        <v/>
      </c>
      <c r="H422" s="19">
        <f>IF(N(D422)&gt;0,RANK(D422,$D$31:$D$830),"")</f>
        <v/>
      </c>
    </row>
    <row r="423">
      <c r="A423" s="15" t="n">
        <v>393</v>
      </c>
      <c r="B423" s="16" t="inlineStr">
        <is>
          <t>8712345368036</t>
        </is>
      </c>
      <c r="C423" s="7" t="inlineStr">
        <is>
          <t>Chopped tomatoes, 400g</t>
        </is>
      </c>
      <c r="D423" s="17" t="n">
        <v>34840</v>
      </c>
      <c r="E423" s="18" t="n"/>
      <c r="G423" s="19">
        <f>IF(Data!AC397&gt;0,RANK(Data!AC397,Data!$AC$5:$AC$804),"")</f>
        <v/>
      </c>
      <c r="H423" s="19">
        <f>IF(N(D423)&gt;0,RANK(D423,$D$31:$D$830),"")</f>
        <v/>
      </c>
    </row>
    <row r="424">
      <c r="A424" s="15" t="n">
        <v>394</v>
      </c>
      <c r="B424" s="16" t="inlineStr">
        <is>
          <t>8712345934699</t>
        </is>
      </c>
      <c r="C424" s="7" t="inlineStr">
        <is>
          <t>Chickpea dahl with rice, 400g</t>
        </is>
      </c>
      <c r="D424" s="17" t="n">
        <v>34763</v>
      </c>
      <c r="E424" s="18" t="n"/>
      <c r="G424" s="19">
        <f>IF(Data!AC398&gt;0,RANK(Data!AC398,Data!$AC$5:$AC$804),"")</f>
        <v/>
      </c>
      <c r="H424" s="19">
        <f>IF(N(D424)&gt;0,RANK(D424,$D$31:$D$830),"")</f>
        <v/>
      </c>
    </row>
    <row r="425">
      <c r="A425" s="15" t="n">
        <v>395</v>
      </c>
      <c r="B425" s="16" t="inlineStr">
        <is>
          <t>5012345926407</t>
        </is>
      </c>
      <c r="C425" s="7" t="inlineStr">
        <is>
          <t>Coconut yoghurt alternative, 4x125g</t>
        </is>
      </c>
      <c r="D425" s="17" t="n">
        <v>27809</v>
      </c>
      <c r="E425" s="18" t="n"/>
      <c r="G425" s="19">
        <f>IF(Data!AC399&gt;0,RANK(Data!AC399,Data!$AC$5:$AC$804),"")</f>
        <v/>
      </c>
      <c r="H425" s="19">
        <f>IF(N(D425)&gt;0,RANK(D425,$D$31:$D$830),"")</f>
        <v/>
      </c>
    </row>
    <row r="426">
      <c r="A426" s="15" t="n">
        <v>396</v>
      </c>
      <c r="B426" s="16" t="inlineStr">
        <is>
          <t>4012345579536</t>
        </is>
      </c>
      <c r="C426" s="7" t="inlineStr">
        <is>
          <t>Sweetcorn, 1kg</t>
        </is>
      </c>
      <c r="D426" s="17" t="n">
        <v>13862</v>
      </c>
      <c r="E426" s="18" t="n"/>
      <c r="G426" s="19">
        <f>IF(Data!AC400&gt;0,RANK(Data!AC400,Data!$AC$5:$AC$804),"")</f>
        <v/>
      </c>
      <c r="H426" s="19">
        <f>IF(N(D426)&gt;0,RANK(D426,$D$31:$D$830),"")</f>
        <v/>
      </c>
    </row>
    <row r="427">
      <c r="A427" s="15" t="n">
        <v>397</v>
      </c>
      <c r="B427" s="16" t="inlineStr">
        <is>
          <t>3012345812696</t>
        </is>
      </c>
      <c r="C427" s="7" t="inlineStr">
        <is>
          <t>Orange juice with bits, 1l</t>
        </is>
      </c>
      <c r="D427" s="17" t="n">
        <v>13317</v>
      </c>
      <c r="E427" s="18" t="n"/>
      <c r="G427" s="19">
        <f>IF(Data!AC401&gt;0,RANK(Data!AC401,Data!$AC$5:$AC$804),"")</f>
        <v/>
      </c>
      <c r="H427" s="19">
        <f>IF(N(D427)&gt;0,RANK(D427,$D$31:$D$830),"")</f>
        <v/>
      </c>
    </row>
    <row r="428">
      <c r="A428" s="15" t="n">
        <v>398</v>
      </c>
      <c r="B428" s="16" t="inlineStr">
        <is>
          <t>4012345927054</t>
        </is>
      </c>
      <c r="C428" s="7" t="inlineStr">
        <is>
          <t>Pork mince, 400g</t>
        </is>
      </c>
      <c r="D428" s="17" t="n">
        <v>34486</v>
      </c>
      <c r="E428" s="18" t="n"/>
      <c r="G428" s="19">
        <f>IF(Data!AC402&gt;0,RANK(Data!AC402,Data!$AC$5:$AC$804),"")</f>
        <v/>
      </c>
      <c r="H428" s="19">
        <f>IF(N(D428)&gt;0,RANK(D428,$D$31:$D$830),"")</f>
        <v/>
      </c>
    </row>
    <row r="429">
      <c r="A429" s="15" t="n">
        <v>399</v>
      </c>
      <c r="B429" s="16" t="inlineStr">
        <is>
          <t>3012345981675</t>
        </is>
      </c>
      <c r="C429" s="7" t="inlineStr">
        <is>
          <t>Petits pois, 900g</t>
        </is>
      </c>
      <c r="D429" s="17" t="n">
        <v>15296</v>
      </c>
      <c r="E429" s="18" t="n"/>
      <c r="G429" s="19">
        <f>IF(Data!AC403&gt;0,RANK(Data!AC403,Data!$AC$5:$AC$804),"")</f>
        <v/>
      </c>
      <c r="H429" s="19">
        <f>IF(N(D429)&gt;0,RANK(D429,$D$31:$D$830),"")</f>
        <v/>
      </c>
    </row>
    <row r="430">
      <c r="A430" s="15" t="n">
        <v>400</v>
      </c>
      <c r="B430" s="16" t="inlineStr">
        <is>
          <t>5012345111018</t>
        </is>
      </c>
      <c r="C430" s="7" t="inlineStr">
        <is>
          <t>Yellow split peas, 1kg</t>
        </is>
      </c>
      <c r="D430" s="17" t="n">
        <v>13729</v>
      </c>
      <c r="E430" s="18" t="n"/>
      <c r="G430" s="19">
        <f>IF(Data!AC404&gt;0,RANK(Data!AC404,Data!$AC$5:$AC$804),"")</f>
        <v/>
      </c>
      <c r="H430" s="19">
        <f>IF(N(D430)&gt;0,RANK(D430,$D$31:$D$830),"")</f>
        <v/>
      </c>
    </row>
    <row r="431">
      <c r="A431" s="15" t="n">
        <v>401</v>
      </c>
      <c r="B431" s="16" t="inlineStr">
        <is>
          <t>5012345101057</t>
        </is>
      </c>
      <c r="C431" s="7" t="inlineStr">
        <is>
          <t>Garden peas, 900g</t>
        </is>
      </c>
      <c r="D431" s="17" t="n">
        <v>15174</v>
      </c>
      <c r="E431" s="18" t="n"/>
      <c r="G431" s="19">
        <f>IF(Data!AC405&gt;0,RANK(Data!AC405,Data!$AC$5:$AC$804),"")</f>
        <v/>
      </c>
      <c r="H431" s="19">
        <f>IF(N(D431)&gt;0,RANK(D431,$D$31:$D$830),"")</f>
        <v/>
      </c>
    </row>
    <row r="432">
      <c r="A432" s="15" t="n">
        <v>402</v>
      </c>
      <c r="B432" s="16" t="inlineStr">
        <is>
          <t>3012345238540</t>
        </is>
      </c>
      <c r="C432" s="7" t="inlineStr">
        <is>
          <t>Milk chocolate buttons, 200g</t>
        </is>
      </c>
      <c r="D432" s="17" t="n">
        <v>68277</v>
      </c>
      <c r="E432" s="18" t="n"/>
      <c r="G432" s="19">
        <f>IF(Data!AC406&gt;0,RANK(Data!AC406,Data!$AC$5:$AC$804),"")</f>
        <v/>
      </c>
      <c r="H432" s="19">
        <f>IF(N(D432)&gt;0,RANK(D432,$D$31:$D$830),"")</f>
        <v/>
      </c>
    </row>
    <row r="433">
      <c r="A433" s="15" t="n">
        <v>403</v>
      </c>
      <c r="B433" s="16" t="inlineStr">
        <is>
          <t>5012345817538</t>
        </is>
      </c>
      <c r="C433" s="7" t="inlineStr">
        <is>
          <t>Caramelised onion houmous, 200g</t>
        </is>
      </c>
      <c r="D433" s="17" t="n">
        <v>68269</v>
      </c>
      <c r="E433" s="18" t="n"/>
      <c r="G433" s="19">
        <f>IF(Data!AC407&gt;0,RANK(Data!AC407,Data!$AC$5:$AC$804),"")</f>
        <v/>
      </c>
      <c r="H433" s="19">
        <f>IF(N(D433)&gt;0,RANK(D433,$D$31:$D$830),"")</f>
        <v/>
      </c>
    </row>
    <row r="434">
      <c r="A434" s="15" t="n">
        <v>404</v>
      </c>
      <c r="B434" s="16" t="inlineStr">
        <is>
          <t>5012345064963</t>
        </is>
      </c>
      <c r="C434" s="7" t="inlineStr">
        <is>
          <t>Sauvignon blanc white wine, 75cl</t>
        </is>
      </c>
      <c r="D434" s="17" t="n">
        <v>17938</v>
      </c>
      <c r="E434" s="18" t="n"/>
      <c r="G434" s="19">
        <f>IF(Data!AC408&gt;0,RANK(Data!AC408,Data!$AC$5:$AC$804),"")</f>
        <v/>
      </c>
      <c r="H434" s="19">
        <f>IF(N(D434)&gt;0,RANK(D434,$D$31:$D$830),"")</f>
        <v/>
      </c>
    </row>
    <row r="435">
      <c r="A435" s="15" t="n">
        <v>405</v>
      </c>
      <c r="B435" s="16" t="inlineStr">
        <is>
          <t>8712345847418</t>
        </is>
      </c>
      <c r="C435" s="7" t="inlineStr">
        <is>
          <t>Plant-based sausages, 400g</t>
        </is>
      </c>
      <c r="D435" s="17" t="n">
        <v>33447</v>
      </c>
      <c r="E435" s="18" t="n"/>
      <c r="G435" s="19">
        <f>IF(Data!AC409&gt;0,RANK(Data!AC409,Data!$AC$5:$AC$804),"")</f>
        <v/>
      </c>
      <c r="H435" s="19">
        <f>IF(N(D435)&gt;0,RANK(D435,$D$31:$D$830),"")</f>
        <v/>
      </c>
    </row>
    <row r="436">
      <c r="A436" s="15" t="n">
        <v>406</v>
      </c>
      <c r="B436" s="16" t="inlineStr">
        <is>
          <t>3012345825887</t>
        </is>
      </c>
      <c r="C436" s="7" t="inlineStr">
        <is>
          <t>Blueberries, 250g</t>
        </is>
      </c>
      <c r="D436" s="17" t="n">
        <v>53395</v>
      </c>
      <c r="E436" s="18" t="n"/>
      <c r="G436" s="19">
        <f>IF(Data!AC410&gt;0,RANK(Data!AC410,Data!$AC$5:$AC$804),"")</f>
        <v/>
      </c>
      <c r="H436" s="19">
        <f>IF(N(D436)&gt;0,RANK(D436,$D$31:$D$830),"")</f>
        <v/>
      </c>
    </row>
    <row r="437">
      <c r="A437" s="15" t="n">
        <v>407</v>
      </c>
      <c r="B437" s="16" t="inlineStr">
        <is>
          <t>3012345795050</t>
        </is>
      </c>
      <c r="C437" s="7" t="inlineStr">
        <is>
          <t>Cod fish fingers, 20pk 560g</t>
        </is>
      </c>
      <c r="D437" s="17" t="n">
        <v>23811</v>
      </c>
      <c r="E437" s="18" t="n"/>
      <c r="G437" s="19">
        <f>IF(Data!AC411&gt;0,RANK(Data!AC411,Data!$AC$5:$AC$804),"")</f>
        <v/>
      </c>
      <c r="H437" s="19">
        <f>IF(N(D437)&gt;0,RANK(D437,$D$31:$D$830),"")</f>
        <v/>
      </c>
    </row>
    <row r="438">
      <c r="A438" s="15" t="n">
        <v>408</v>
      </c>
      <c r="B438" s="16" t="inlineStr">
        <is>
          <t>4012345200270</t>
        </is>
      </c>
      <c r="C438" s="7" t="inlineStr">
        <is>
          <t>Oranges, 500g</t>
        </is>
      </c>
      <c r="D438" s="17" t="n">
        <v>26656</v>
      </c>
      <c r="E438" s="18" t="n"/>
      <c r="G438" s="19">
        <f>IF(Data!AC412&gt;0,RANK(Data!AC412,Data!$AC$5:$AC$804),"")</f>
        <v/>
      </c>
      <c r="H438" s="19">
        <f>IF(N(D438)&gt;0,RANK(D438,$D$31:$D$830),"")</f>
        <v/>
      </c>
    </row>
    <row r="439">
      <c r="A439" s="15" t="n">
        <v>409</v>
      </c>
      <c r="B439" s="16" t="inlineStr">
        <is>
          <t>8712345578220</t>
        </is>
      </c>
      <c r="C439" s="7" t="inlineStr">
        <is>
          <t>Crunchy peanut butter, 1kg</t>
        </is>
      </c>
      <c r="D439" s="17" t="n">
        <v>13299</v>
      </c>
      <c r="E439" s="18" t="n"/>
      <c r="G439" s="19">
        <f>IF(Data!AC413&gt;0,RANK(Data!AC413,Data!$AC$5:$AC$804),"")</f>
        <v/>
      </c>
      <c r="H439" s="19">
        <f>IF(N(D439)&gt;0,RANK(D439,$D$31:$D$830),"")</f>
        <v/>
      </c>
    </row>
    <row r="440">
      <c r="A440" s="15" t="n">
        <v>410</v>
      </c>
      <c r="B440" s="16" t="inlineStr">
        <is>
          <t>4012345553833</t>
        </is>
      </c>
      <c r="C440" s="7" t="inlineStr">
        <is>
          <t>Petits pois, 1.5kg</t>
        </is>
      </c>
      <c r="D440" s="17" t="n">
        <v>8786</v>
      </c>
      <c r="E440" s="18" t="n"/>
      <c r="G440" s="19">
        <f>IF(Data!AC414&gt;0,RANK(Data!AC414,Data!$AC$5:$AC$804),"")</f>
        <v/>
      </c>
      <c r="H440" s="19">
        <f>IF(N(D440)&gt;0,RANK(D440,$D$31:$D$830),"")</f>
        <v/>
      </c>
    </row>
    <row r="441">
      <c r="A441" s="15" t="n">
        <v>411</v>
      </c>
      <c r="B441" s="16" t="inlineStr">
        <is>
          <t>8712345800949</t>
        </is>
      </c>
      <c r="C441" s="7" t="inlineStr">
        <is>
          <t>Wholemeal sliced bread, 800g</t>
        </is>
      </c>
      <c r="D441" s="17" t="n">
        <v>16441</v>
      </c>
      <c r="E441" s="18" t="n"/>
      <c r="G441" s="19">
        <f>IF(Data!AC415&gt;0,RANK(Data!AC415,Data!$AC$5:$AC$804),"")</f>
        <v/>
      </c>
      <c r="H441" s="19">
        <f>IF(N(D441)&gt;0,RANK(D441,$D$31:$D$830),"")</f>
        <v/>
      </c>
    </row>
    <row r="442">
      <c r="A442" s="15" t="n">
        <v>412</v>
      </c>
      <c r="B442" s="16" t="inlineStr">
        <is>
          <t>8712345697280</t>
        </is>
      </c>
      <c r="C442" s="7" t="inlineStr">
        <is>
          <t>Free-range eggs, 6pk</t>
        </is>
      </c>
      <c r="D442" s="17" t="n">
        <v>36450</v>
      </c>
      <c r="E442" s="18" t="n"/>
      <c r="G442" s="19">
        <f>IF(Data!AC416&gt;0,RANK(Data!AC416,Data!$AC$5:$AC$804),"")</f>
        <v/>
      </c>
      <c r="H442" s="19">
        <f>IF(N(D442)&gt;0,RANK(D442,$D$31:$D$830),"")</f>
        <v/>
      </c>
    </row>
    <row r="443">
      <c r="A443" s="15" t="n">
        <v>413</v>
      </c>
      <c r="B443" s="16" t="inlineStr">
        <is>
          <t>5012345504254</t>
        </is>
      </c>
      <c r="C443" s="7" t="inlineStr">
        <is>
          <t>Customer order</t>
        </is>
      </c>
      <c r="D443" s="17" t="n">
        <v>43598</v>
      </c>
      <c r="E443" s="18" t="n"/>
      <c r="G443" s="19">
        <f>IF(Data!AC417&gt;0,RANK(Data!AC417,Data!$AC$5:$AC$804),"")</f>
        <v/>
      </c>
      <c r="H443" s="19">
        <f>IF(N(D443)&gt;0,RANK(D443,$D$31:$D$830),"")</f>
        <v/>
      </c>
    </row>
    <row r="444">
      <c r="A444" s="15" t="n">
        <v>414</v>
      </c>
      <c r="B444" s="16" t="inlineStr">
        <is>
          <t>3012345245272</t>
        </is>
      </c>
      <c r="C444" s="7" t="inlineStr">
        <is>
          <t>All-butter croissants, 8pk 280g</t>
        </is>
      </c>
      <c r="D444" s="17" t="n">
        <v>46372</v>
      </c>
      <c r="E444" s="18" t="n"/>
      <c r="G444" s="19">
        <f>IF(Data!AC418&gt;0,RANK(Data!AC418,Data!$AC$5:$AC$804),"")</f>
        <v/>
      </c>
      <c r="H444" s="19">
        <f>IF(N(D444)&gt;0,RANK(D444,$D$31:$D$830),"")</f>
        <v/>
      </c>
    </row>
    <row r="445">
      <c r="A445" s="15" t="n">
        <v>415</v>
      </c>
      <c r="B445" s="16" t="inlineStr">
        <is>
          <t>4012345710861</t>
        </is>
      </c>
      <c r="C445" s="7" t="inlineStr">
        <is>
          <t>Cooked king prawns, 150g</t>
        </is>
      </c>
      <c r="D445" s="17" t="n">
        <v>86483</v>
      </c>
      <c r="E445" s="18" t="n"/>
      <c r="G445" s="19">
        <f>IF(Data!AC419&gt;0,RANK(Data!AC419,Data!$AC$5:$AC$804),"")</f>
        <v/>
      </c>
      <c r="H445" s="19">
        <f>IF(N(D445)&gt;0,RANK(D445,$D$31:$D$830),"")</f>
        <v/>
      </c>
    </row>
    <row r="446">
      <c r="A446" s="15" t="n">
        <v>416</v>
      </c>
      <c r="B446" s="16" t="inlineStr">
        <is>
          <t>5012345300337</t>
        </is>
      </c>
      <c r="C446" s="7" t="inlineStr">
        <is>
          <t>Beef burgers, 4 pack, 454g</t>
        </is>
      </c>
      <c r="D446" s="17" t="n">
        <v>28226</v>
      </c>
      <c r="E446" s="18" t="n"/>
      <c r="G446" s="19">
        <f>IF(Data!AC420&gt;0,RANK(Data!AC420,Data!$AC$5:$AC$804),"")</f>
        <v/>
      </c>
      <c r="H446" s="19">
        <f>IF(N(D446)&gt;0,RANK(D446,$D$31:$D$830),"")</f>
        <v/>
      </c>
    </row>
    <row r="447">
      <c r="A447" s="15" t="n">
        <v>417</v>
      </c>
      <c r="B447" s="16" t="inlineStr">
        <is>
          <t>8712345191122</t>
        </is>
      </c>
      <c r="C447" s="7" t="inlineStr">
        <is>
          <t>All-butter shortbread, 300g</t>
        </is>
      </c>
      <c r="D447" s="17" t="n">
        <v>42315</v>
      </c>
      <c r="E447" s="18" t="n"/>
      <c r="G447" s="19">
        <f>IF(Data!AC421&gt;0,RANK(Data!AC421,Data!$AC$5:$AC$804),"")</f>
        <v/>
      </c>
      <c r="H447" s="19">
        <f>IF(N(D447)&gt;0,RANK(D447,$D$31:$D$830),"")</f>
        <v/>
      </c>
    </row>
    <row r="448">
      <c r="A448" s="15" t="n">
        <v>418</v>
      </c>
      <c r="B448" s="16" t="inlineStr">
        <is>
          <t>3012345779180</t>
        </is>
      </c>
      <c r="C448" s="7" t="inlineStr">
        <is>
          <t>Skinless salmon fillets, 2x140g</t>
        </is>
      </c>
      <c r="D448" s="17" t="n">
        <v>44898</v>
      </c>
      <c r="E448" s="18" t="n"/>
      <c r="G448" s="19">
        <f>IF(Data!AC422&gt;0,RANK(Data!AC422,Data!$AC$5:$AC$804),"")</f>
        <v/>
      </c>
      <c r="H448" s="19">
        <f>IF(N(D448)&gt;0,RANK(D448,$D$31:$D$830),"")</f>
        <v/>
      </c>
    </row>
    <row r="449">
      <c r="A449" s="15" t="n">
        <v>419</v>
      </c>
      <c r="B449" s="16" t="inlineStr">
        <is>
          <t>5012345170619</t>
        </is>
      </c>
      <c r="C449" s="7" t="inlineStr">
        <is>
          <t>Vine tomatoes, 300g</t>
        </is>
      </c>
      <c r="D449" s="17" t="n">
        <v>41859</v>
      </c>
      <c r="E449" s="18" t="n"/>
      <c r="G449" s="19">
        <f>IF(Data!AC423&gt;0,RANK(Data!AC423,Data!$AC$5:$AC$804),"")</f>
        <v/>
      </c>
      <c r="H449" s="19">
        <f>IF(N(D449)&gt;0,RANK(D449,$D$31:$D$830),"")</f>
        <v/>
      </c>
    </row>
    <row r="450">
      <c r="A450" s="15" t="n">
        <v>420</v>
      </c>
      <c r="B450" s="16" t="inlineStr">
        <is>
          <t>4012345754353</t>
        </is>
      </c>
      <c r="C450" s="7" t="inlineStr">
        <is>
          <t>Natural yoghurt, 4x125g</t>
        </is>
      </c>
      <c r="D450" s="17" t="n">
        <v>25068</v>
      </c>
      <c r="E450" s="18" t="n"/>
      <c r="G450" s="19">
        <f>IF(Data!AC424&gt;0,RANK(Data!AC424,Data!$AC$5:$AC$804),"")</f>
        <v/>
      </c>
      <c r="H450" s="19">
        <f>IF(N(D450)&gt;0,RANK(D450,$D$31:$D$830),"")</f>
        <v/>
      </c>
    </row>
    <row r="451">
      <c r="A451" s="15" t="n">
        <v>421</v>
      </c>
      <c r="B451" s="16" t="inlineStr">
        <is>
          <t>5012345084206</t>
        </is>
      </c>
      <c r="C451" s="7" t="inlineStr">
        <is>
          <t>Garlic bulbs, 300g</t>
        </is>
      </c>
      <c r="D451" s="17" t="n">
        <v>41536</v>
      </c>
      <c r="E451" s="18" t="n"/>
      <c r="G451" s="19">
        <f>IF(Data!AC425&gt;0,RANK(Data!AC425,Data!$AC$5:$AC$804),"")</f>
        <v/>
      </c>
      <c r="H451" s="19">
        <f>IF(N(D451)&gt;0,RANK(D451,$D$31:$D$830),"")</f>
        <v/>
      </c>
    </row>
    <row r="452">
      <c r="A452" s="15" t="n">
        <v>422</v>
      </c>
      <c r="B452" s="16" t="inlineStr">
        <is>
          <t>5012345503820</t>
        </is>
      </c>
      <c r="C452" s="7" t="inlineStr">
        <is>
          <t>Ham &amp; mushroom pizza, 2x320g</t>
        </is>
      </c>
      <c r="D452" s="17" t="n">
        <v>19308</v>
      </c>
      <c r="E452" s="18" t="n"/>
      <c r="G452" s="19">
        <f>IF(Data!AC426&gt;0,RANK(Data!AC426,Data!$AC$5:$AC$804),"")</f>
        <v/>
      </c>
      <c r="H452" s="19">
        <f>IF(N(D452)&gt;0,RANK(D452,$D$31:$D$830),"")</f>
        <v/>
      </c>
    </row>
    <row r="453">
      <c r="A453" s="15" t="n">
        <v>423</v>
      </c>
      <c r="B453" s="16" t="inlineStr">
        <is>
          <t>8712345342821</t>
        </is>
      </c>
      <c r="C453" s="7" t="inlineStr">
        <is>
          <t>Unsalted butter, 500g</t>
        </is>
      </c>
      <c r="D453" s="17" t="n">
        <v>24708</v>
      </c>
      <c r="E453" s="18" t="n"/>
      <c r="G453" s="19">
        <f>IF(Data!AC427&gt;0,RANK(Data!AC427,Data!$AC$5:$AC$804),"")</f>
        <v/>
      </c>
      <c r="H453" s="19">
        <f>IF(N(D453)&gt;0,RANK(D453,$D$31:$D$830),"")</f>
        <v/>
      </c>
    </row>
    <row r="454">
      <c r="A454" s="15" t="n">
        <v>424</v>
      </c>
      <c r="B454" s="16" t="inlineStr">
        <is>
          <t>5012345764474</t>
        </is>
      </c>
      <c r="C454" s="7" t="inlineStr">
        <is>
          <t>Salmon fillets, skin on, 240g</t>
        </is>
      </c>
      <c r="D454" s="17" t="n">
        <v>51200</v>
      </c>
      <c r="E454" s="18" t="n"/>
      <c r="G454" s="19">
        <f>IF(Data!AC428&gt;0,RANK(Data!AC428,Data!$AC$5:$AC$804),"")</f>
        <v/>
      </c>
      <c r="H454" s="19">
        <f>IF(N(D454)&gt;0,RANK(D454,$D$31:$D$830),"")</f>
        <v/>
      </c>
    </row>
    <row r="455">
      <c r="A455" s="15" t="n">
        <v>425</v>
      </c>
      <c r="B455" s="16" t="inlineStr">
        <is>
          <t>4012345339031</t>
        </is>
      </c>
      <c r="C455" s="7" t="inlineStr">
        <is>
          <t>Skinless salmon fillets, 2x125g</t>
        </is>
      </c>
      <c r="D455" s="17" t="n">
        <v>48736</v>
      </c>
      <c r="E455" s="18" t="n"/>
      <c r="G455" s="19">
        <f>IF(Data!AC429&gt;0,RANK(Data!AC429,Data!$AC$5:$AC$804),"")</f>
        <v/>
      </c>
      <c r="H455" s="19">
        <f>IF(N(D455)&gt;0,RANK(D455,$D$31:$D$830),"")</f>
        <v/>
      </c>
    </row>
    <row r="456">
      <c r="A456" s="15" t="n">
        <v>426</v>
      </c>
      <c r="B456" s="16" t="inlineStr">
        <is>
          <t>5012345488905</t>
        </is>
      </c>
      <c r="C456" s="7" t="inlineStr">
        <is>
          <t>Sunflower oil, 1l</t>
        </is>
      </c>
      <c r="D456" s="17" t="n">
        <v>13189</v>
      </c>
      <c r="E456" s="18" t="n"/>
      <c r="G456" s="19">
        <f>IF(Data!AC430&gt;0,RANK(Data!AC430,Data!$AC$5:$AC$804),"")</f>
        <v/>
      </c>
      <c r="H456" s="19">
        <f>IF(N(D456)&gt;0,RANK(D456,$D$31:$D$830),"")</f>
        <v/>
      </c>
    </row>
    <row r="457">
      <c r="A457" s="15" t="n">
        <v>427</v>
      </c>
      <c r="B457" s="16" t="inlineStr">
        <is>
          <t>8712345660031</t>
        </is>
      </c>
      <c r="C457" s="7" t="inlineStr">
        <is>
          <t>Long-grain rice, 500g</t>
        </is>
      </c>
      <c r="D457" s="17" t="n">
        <v>24098</v>
      </c>
      <c r="E457" s="18" t="n"/>
      <c r="G457" s="19">
        <f>IF(Data!AC431&gt;0,RANK(Data!AC431,Data!$AC$5:$AC$804),"")</f>
        <v/>
      </c>
      <c r="H457" s="19">
        <f>IF(N(D457)&gt;0,RANK(D457,$D$31:$D$830),"")</f>
        <v/>
      </c>
    </row>
    <row r="458">
      <c r="A458" s="15" t="n">
        <v>428</v>
      </c>
      <c r="B458" s="16" t="inlineStr">
        <is>
          <t>5012345646114</t>
        </is>
      </c>
      <c r="C458" s="7" t="inlineStr">
        <is>
          <t>Brie, 250g</t>
        </is>
      </c>
      <c r="D458" s="17" t="n">
        <v>48046</v>
      </c>
      <c r="E458" s="18" t="n"/>
      <c r="G458" s="19">
        <f>IF(Data!AC432&gt;0,RANK(Data!AC432,Data!$AC$5:$AC$804),"")</f>
        <v/>
      </c>
      <c r="H458" s="19">
        <f>IF(N(D458)&gt;0,RANK(D458,$D$31:$D$830),"")</f>
        <v/>
      </c>
    </row>
    <row r="459">
      <c r="A459" s="15" t="n">
        <v>429</v>
      </c>
      <c r="B459" s="16" t="inlineStr">
        <is>
          <t>8712345150112</t>
        </is>
      </c>
      <c r="C459" s="7" t="inlineStr">
        <is>
          <t>Gala apples, 500g</t>
        </is>
      </c>
      <c r="D459" s="17" t="n">
        <v>24012</v>
      </c>
      <c r="E459" s="18" t="n"/>
      <c r="G459" s="19">
        <f>IF(Data!AC433&gt;0,RANK(Data!AC433,Data!$AC$5:$AC$804),"")</f>
        <v/>
      </c>
      <c r="H459" s="19">
        <f>IF(N(D459)&gt;0,RANK(D459,$D$31:$D$830),"")</f>
        <v/>
      </c>
    </row>
    <row r="460">
      <c r="A460" s="15" t="n">
        <v>430</v>
      </c>
      <c r="B460" s="16" t="inlineStr">
        <is>
          <t>2172222284030</t>
        </is>
      </c>
      <c r="C460" s="7" t="inlineStr">
        <is>
          <t>Conference pears</t>
        </is>
      </c>
      <c r="D460" s="17" t="n"/>
      <c r="E460" s="18" t="n">
        <v>11976</v>
      </c>
      <c r="G460" s="19">
        <f>IF(Data!AC434&gt;0,RANK(Data!AC434,Data!$AC$5:$AC$804),"")</f>
        <v/>
      </c>
      <c r="H460" s="19">
        <f>IF(N(D460)&gt;0,RANK(D460,$D$31:$D$830),"")</f>
        <v/>
      </c>
    </row>
    <row r="461">
      <c r="A461" s="15" t="n">
        <v>431</v>
      </c>
      <c r="B461" s="16" t="inlineStr">
        <is>
          <t>3012345099905</t>
        </is>
      </c>
      <c r="C461" s="7" t="inlineStr">
        <is>
          <t>Vodka, 70cl</t>
        </is>
      </c>
      <c r="D461" s="17" t="n">
        <v>17056</v>
      </c>
      <c r="E461" s="18" t="n"/>
      <c r="G461" s="19">
        <f>IF(Data!AC435&gt;0,RANK(Data!AC435,Data!$AC$5:$AC$804),"")</f>
        <v/>
      </c>
      <c r="H461" s="19">
        <f>IF(N(D461)&gt;0,RANK(D461,$D$31:$D$830),"")</f>
        <v/>
      </c>
    </row>
    <row r="462">
      <c r="A462" s="15" t="n">
        <v>432</v>
      </c>
      <c r="B462" s="16" t="inlineStr">
        <is>
          <t>8712345780449</t>
        </is>
      </c>
      <c r="C462" s="7" t="inlineStr">
        <is>
          <t>Large eggs, 6pk</t>
        </is>
      </c>
      <c r="D462" s="17" t="n">
        <v>32854</v>
      </c>
      <c r="E462" s="18" t="n"/>
      <c r="G462" s="19">
        <f>IF(Data!AC436&gt;0,RANK(Data!AC436,Data!$AC$5:$AC$804),"")</f>
        <v/>
      </c>
      <c r="H462" s="19">
        <f>IF(N(D462)&gt;0,RANK(D462,$D$31:$D$830),"")</f>
        <v/>
      </c>
    </row>
    <row r="463">
      <c r="A463" s="15" t="n">
        <v>433</v>
      </c>
      <c r="B463" s="16" t="inlineStr">
        <is>
          <t>4012345826432</t>
        </is>
      </c>
      <c r="C463" s="7" t="inlineStr">
        <is>
          <t>Beef mince, 5% fat, 500g</t>
        </is>
      </c>
      <c r="D463" s="17" t="n">
        <v>23622</v>
      </c>
      <c r="E463" s="18" t="n"/>
      <c r="G463" s="19">
        <f>IF(Data!AC437&gt;0,RANK(Data!AC437,Data!$AC$5:$AC$804),"")</f>
        <v/>
      </c>
      <c r="H463" s="19">
        <f>IF(N(D463)&gt;0,RANK(D463,$D$31:$D$830),"")</f>
        <v/>
      </c>
    </row>
    <row r="464">
      <c r="A464" s="15" t="n">
        <v>434</v>
      </c>
      <c r="B464" s="16" t="inlineStr">
        <is>
          <t>8712345301927</t>
        </is>
      </c>
      <c r="C464" s="7" t="inlineStr">
        <is>
          <t>White pitta bread, 250g</t>
        </is>
      </c>
      <c r="D464" s="17" t="n">
        <v>47211</v>
      </c>
      <c r="E464" s="18" t="n"/>
      <c r="G464" s="19">
        <f>IF(Data!AC438&gt;0,RANK(Data!AC438,Data!$AC$5:$AC$804),"")</f>
        <v/>
      </c>
      <c r="H464" s="19">
        <f>IF(N(D464)&gt;0,RANK(D464,$D$31:$D$830),"")</f>
        <v/>
      </c>
    </row>
    <row r="465">
      <c r="A465" s="15" t="n">
        <v>435</v>
      </c>
      <c r="B465" s="16" t="inlineStr">
        <is>
          <t>8712345486266</t>
        </is>
      </c>
      <c r="C465" s="7" t="inlineStr">
        <is>
          <t>Red Leicester, 400g</t>
        </is>
      </c>
      <c r="D465" s="17" t="n">
        <v>29504</v>
      </c>
      <c r="E465" s="18" t="n"/>
      <c r="G465" s="19">
        <f>IF(Data!AC439&gt;0,RANK(Data!AC439,Data!$AC$5:$AC$804),"")</f>
        <v/>
      </c>
      <c r="H465" s="19">
        <f>IF(N(D465)&gt;0,RANK(D465,$D$31:$D$830),"")</f>
        <v/>
      </c>
    </row>
    <row r="466">
      <c r="A466" s="15" t="n">
        <v>436</v>
      </c>
      <c r="B466" s="16" t="inlineStr">
        <is>
          <t>4012345989854</t>
        </is>
      </c>
      <c r="C466" s="7" t="inlineStr">
        <is>
          <t>Wholemeal sliced bread, 400g</t>
        </is>
      </c>
      <c r="D466" s="17" t="n">
        <v>29455</v>
      </c>
      <c r="E466" s="18" t="n"/>
      <c r="G466" s="19">
        <f>IF(Data!AC440&gt;0,RANK(Data!AC440,Data!$AC$5:$AC$804),"")</f>
        <v/>
      </c>
      <c r="H466" s="19">
        <f>IF(N(D466)&gt;0,RANK(D466,$D$31:$D$830),"")</f>
        <v/>
      </c>
    </row>
    <row r="467">
      <c r="A467" s="15" t="n">
        <v>437</v>
      </c>
      <c r="B467" s="16" t="inlineStr">
        <is>
          <t>5012345703800</t>
        </is>
      </c>
      <c r="C467" s="7" t="inlineStr">
        <is>
          <t>Bran flakes, 1kg</t>
        </is>
      </c>
      <c r="D467" s="17" t="n">
        <v>11715</v>
      </c>
      <c r="E467" s="18" t="n"/>
      <c r="G467" s="19">
        <f>IF(Data!AC441&gt;0,RANK(Data!AC441,Data!$AC$5:$AC$804),"")</f>
        <v/>
      </c>
      <c r="H467" s="19">
        <f>IF(N(D467)&gt;0,RANK(D467,$D$31:$D$830),"")</f>
        <v/>
      </c>
    </row>
    <row r="468">
      <c r="A468" s="15" t="n">
        <v>438</v>
      </c>
      <c r="B468" s="16" t="inlineStr">
        <is>
          <t>5012345517568</t>
        </is>
      </c>
      <c r="C468" s="7" t="inlineStr">
        <is>
          <t>Wholemeal sliced bread, 400g</t>
        </is>
      </c>
      <c r="D468" s="17" t="n">
        <v>28973</v>
      </c>
      <c r="E468" s="18" t="n"/>
      <c r="G468" s="19">
        <f>IF(Data!AC442&gt;0,RANK(Data!AC442,Data!$AC$5:$AC$804),"")</f>
        <v/>
      </c>
      <c r="H468" s="19">
        <f>IF(N(D468)&gt;0,RANK(D468,$D$31:$D$830),"")</f>
        <v/>
      </c>
    </row>
    <row r="469">
      <c r="A469" s="15" t="n">
        <v>439</v>
      </c>
      <c r="B469" s="16" t="inlineStr">
        <is>
          <t>8712345220617</t>
        </is>
      </c>
      <c r="C469" s="7" t="inlineStr">
        <is>
          <t>Skinless salmon fillets, 4x125g</t>
        </is>
      </c>
      <c r="D469" s="17" t="n">
        <v>23046</v>
      </c>
      <c r="E469" s="18" t="n"/>
      <c r="G469" s="19">
        <f>IF(Data!AC443&gt;0,RANK(Data!AC443,Data!$AC$5:$AC$804),"")</f>
        <v/>
      </c>
      <c r="H469" s="19">
        <f>IF(N(D469)&gt;0,RANK(D469,$D$31:$D$830),"")</f>
        <v/>
      </c>
    </row>
    <row r="470">
      <c r="A470" s="15" t="n">
        <v>440</v>
      </c>
      <c r="B470" s="16" t="inlineStr">
        <is>
          <t>4012345308969</t>
        </is>
      </c>
      <c r="C470" s="7" t="inlineStr">
        <is>
          <t>Rich tea biscuits, 300g</t>
        </is>
      </c>
      <c r="D470" s="17" t="n">
        <v>38326</v>
      </c>
      <c r="E470" s="18" t="n"/>
      <c r="G470" s="19">
        <f>IF(Data!AC444&gt;0,RANK(Data!AC444,Data!$AC$5:$AC$804),"")</f>
        <v/>
      </c>
      <c r="H470" s="19">
        <f>IF(N(D470)&gt;0,RANK(D470,$D$31:$D$830),"")</f>
        <v/>
      </c>
    </row>
    <row r="471">
      <c r="A471" s="15" t="n">
        <v>441</v>
      </c>
      <c r="B471" s="16" t="inlineStr">
        <is>
          <t>8712345018771</t>
        </is>
      </c>
      <c r="C471" s="7" t="inlineStr">
        <is>
          <t>Lamb leg steaks, 300g</t>
        </is>
      </c>
      <c r="D471" s="17" t="n">
        <v>38233</v>
      </c>
      <c r="E471" s="18" t="n"/>
      <c r="G471" s="19">
        <f>IF(Data!AC445&gt;0,RANK(Data!AC445,Data!$AC$5:$AC$804),"")</f>
        <v/>
      </c>
      <c r="H471" s="19">
        <f>IF(N(D471)&gt;0,RANK(D471,$D$31:$D$830),"")</f>
        <v/>
      </c>
    </row>
    <row r="472">
      <c r="A472" s="15" t="n">
        <v>442</v>
      </c>
      <c r="B472" s="16" t="inlineStr">
        <is>
          <t>4012345855173</t>
        </is>
      </c>
      <c r="C472" s="7" t="inlineStr">
        <is>
          <t>Brioche rolls, 4pk 180g</t>
        </is>
      </c>
      <c r="D472" s="17" t="n">
        <v>63258</v>
      </c>
      <c r="E472" s="18" t="n"/>
      <c r="G472" s="19">
        <f>IF(Data!AC446&gt;0,RANK(Data!AC446,Data!$AC$5:$AC$804),"")</f>
        <v/>
      </c>
      <c r="H472" s="19">
        <f>IF(N(D472)&gt;0,RANK(D472,$D$31:$D$830),"")</f>
        <v/>
      </c>
    </row>
    <row r="473">
      <c r="A473" s="15" t="n">
        <v>443</v>
      </c>
      <c r="B473" s="16" t="inlineStr">
        <is>
          <t>5012345195407</t>
        </is>
      </c>
      <c r="C473" s="7" t="inlineStr">
        <is>
          <t>Ham trimmings, 400g</t>
        </is>
      </c>
      <c r="D473" s="17" t="n">
        <v>28185</v>
      </c>
      <c r="E473" s="18" t="n"/>
      <c r="G473" s="19">
        <f>IF(Data!AC447&gt;0,RANK(Data!AC447,Data!$AC$5:$AC$804),"")</f>
        <v/>
      </c>
      <c r="H473" s="19">
        <f>IF(N(D473)&gt;0,RANK(D473,$D$31:$D$830),"")</f>
        <v/>
      </c>
    </row>
    <row r="474">
      <c r="A474" s="15" t="n">
        <v>444</v>
      </c>
      <c r="B474" s="16" t="inlineStr">
        <is>
          <t>5012345060286</t>
        </is>
      </c>
      <c r="C474" s="7" t="inlineStr">
        <is>
          <t>Plant-based burgers, 226g</t>
        </is>
      </c>
      <c r="D474" s="17" t="n">
        <v>49449</v>
      </c>
      <c r="E474" s="18" t="n"/>
      <c r="G474" s="19">
        <f>IF(Data!AC448&gt;0,RANK(Data!AC448,Data!$AC$5:$AC$804),"")</f>
        <v/>
      </c>
      <c r="H474" s="19">
        <f>IF(N(D474)&gt;0,RANK(D474,$D$31:$D$830),"")</f>
        <v/>
      </c>
    </row>
    <row r="475">
      <c r="A475" s="15" t="n">
        <v>445</v>
      </c>
      <c r="B475" s="16" t="inlineStr">
        <is>
          <t>4012345481662</t>
        </is>
      </c>
      <c r="C475" s="7" t="inlineStr">
        <is>
          <t>Sieved tomatoes (passata), 690g</t>
        </is>
      </c>
      <c r="D475" s="17" t="n">
        <v>16116</v>
      </c>
      <c r="E475" s="18" t="n"/>
      <c r="G475" s="19">
        <f>IF(Data!AC449&gt;0,RANK(Data!AC449,Data!$AC$5:$AC$804),"")</f>
        <v/>
      </c>
      <c r="H475" s="19">
        <f>IF(N(D475)&gt;0,RANK(D475,$D$31:$D$830),"")</f>
        <v/>
      </c>
    </row>
    <row r="476">
      <c r="A476" s="15" t="n">
        <v>446</v>
      </c>
      <c r="B476" s="16" t="inlineStr">
        <is>
          <t>5012345313016</t>
        </is>
      </c>
      <c r="C476" s="7" t="inlineStr">
        <is>
          <t>Whole chicken, 650g</t>
        </is>
      </c>
      <c r="D476" s="17" t="n">
        <v>17088</v>
      </c>
      <c r="E476" s="18" t="n"/>
      <c r="G476" s="19">
        <f>IF(Data!AC450&gt;0,RANK(Data!AC450,Data!$AC$5:$AC$804),"")</f>
        <v/>
      </c>
      <c r="H476" s="19">
        <f>IF(N(D476)&gt;0,RANK(D476,$D$31:$D$830),"")</f>
        <v/>
      </c>
    </row>
    <row r="477">
      <c r="A477" s="15" t="n">
        <v>447</v>
      </c>
      <c r="B477" s="16" t="inlineStr">
        <is>
          <t>8712345385811</t>
        </is>
      </c>
      <c r="C477" s="7" t="inlineStr">
        <is>
          <t>Strawberry milkshake, 6x200ml</t>
        </is>
      </c>
      <c r="D477" s="17" t="n">
        <v>8946</v>
      </c>
      <c r="E477" s="18" t="n"/>
      <c r="G477" s="19">
        <f>IF(Data!AC451&gt;0,RANK(Data!AC451,Data!$AC$5:$AC$804),"")</f>
        <v/>
      </c>
      <c r="H477" s="19">
        <f>IF(N(D477)&gt;0,RANK(D477,$D$31:$D$830),"")</f>
        <v/>
      </c>
    </row>
    <row r="478">
      <c r="A478" s="15" t="n">
        <v>448</v>
      </c>
      <c r="B478" s="16" t="inlineStr">
        <is>
          <t>2486207341860</t>
        </is>
      </c>
      <c r="C478" s="7" t="inlineStr">
        <is>
          <t>Strawberries</t>
        </is>
      </c>
      <c r="D478" s="17" t="n"/>
      <c r="E478" s="18" t="n">
        <v>11043</v>
      </c>
      <c r="G478" s="19">
        <f>IF(Data!AC452&gt;0,RANK(Data!AC452,Data!$AC$5:$AC$804),"")</f>
        <v/>
      </c>
      <c r="H478" s="19">
        <f>IF(N(D478)&gt;0,RANK(D478,$D$31:$D$830),"")</f>
        <v/>
      </c>
    </row>
    <row r="479">
      <c r="A479" s="15" t="n">
        <v>449</v>
      </c>
      <c r="B479" s="16" t="inlineStr">
        <is>
          <t>8712345599102</t>
        </is>
      </c>
      <c r="C479" s="7" t="inlineStr">
        <is>
          <t>Butter beans in water, 400g</t>
        </is>
      </c>
      <c r="D479" s="17" t="n">
        <v>27425</v>
      </c>
      <c r="E479" s="18" t="n"/>
      <c r="G479" s="19">
        <f>IF(Data!AC453&gt;0,RANK(Data!AC453,Data!$AC$5:$AC$804),"")</f>
        <v/>
      </c>
      <c r="H479" s="19">
        <f>IF(N(D479)&gt;0,RANK(D479,$D$31:$D$830),"")</f>
        <v/>
      </c>
    </row>
    <row r="480">
      <c r="A480" s="15" t="n">
        <v>450</v>
      </c>
      <c r="B480" s="16" t="inlineStr">
        <is>
          <t>5012345168616</t>
        </is>
      </c>
      <c r="C480" s="7" t="inlineStr">
        <is>
          <t>Cherry tomatoes, 300g</t>
        </is>
      </c>
      <c r="D480" s="17" t="n">
        <v>36495</v>
      </c>
      <c r="E480" s="18" t="n"/>
      <c r="G480" s="19">
        <f>IF(Data!AC454&gt;0,RANK(Data!AC454,Data!$AC$5:$AC$804),"")</f>
        <v/>
      </c>
      <c r="H480" s="19">
        <f>IF(N(D480)&gt;0,RANK(D480,$D$31:$D$830),"")</f>
        <v/>
      </c>
    </row>
    <row r="481">
      <c r="A481" s="15" t="n">
        <v>451</v>
      </c>
      <c r="B481" s="16" t="inlineStr">
        <is>
          <t>3012345808125</t>
        </is>
      </c>
      <c r="C481" s="7" t="inlineStr">
        <is>
          <t>Camembert, 250g</t>
        </is>
      </c>
      <c r="D481" s="17" t="n">
        <v>43400</v>
      </c>
      <c r="E481" s="18" t="n"/>
      <c r="G481" s="19">
        <f>IF(Data!AC455&gt;0,RANK(Data!AC455,Data!$AC$5:$AC$804),"")</f>
        <v/>
      </c>
      <c r="H481" s="19">
        <f>IF(N(D481)&gt;0,RANK(D481,$D$31:$D$830),"")</f>
        <v/>
      </c>
    </row>
    <row r="482">
      <c r="A482" s="15" t="n">
        <v>452</v>
      </c>
      <c r="B482" s="16" t="inlineStr">
        <is>
          <t>5012345275130</t>
        </is>
      </c>
      <c r="C482" s="7" t="inlineStr">
        <is>
          <t>Baked beans in tomato sauce, 400g</t>
        </is>
      </c>
      <c r="D482" s="17" t="n">
        <v>27065</v>
      </c>
      <c r="E482" s="18" t="n"/>
      <c r="G482" s="19">
        <f>IF(Data!AC456&gt;0,RANK(Data!AC456,Data!$AC$5:$AC$804),"")</f>
        <v/>
      </c>
      <c r="H482" s="19">
        <f>IF(N(D482)&gt;0,RANK(D482,$D$31:$D$830),"")</f>
        <v/>
      </c>
    </row>
    <row r="483">
      <c r="A483" s="15" t="n">
        <v>453</v>
      </c>
      <c r="B483" s="16" t="inlineStr">
        <is>
          <t>3012345159135</t>
        </is>
      </c>
      <c r="C483" s="7" t="inlineStr">
        <is>
          <t>Mature cheddar, 200g</t>
        </is>
      </c>
      <c r="D483" s="17" t="n">
        <v>53801</v>
      </c>
      <c r="E483" s="18" t="n"/>
      <c r="G483" s="19">
        <f>IF(Data!AC457&gt;0,RANK(Data!AC457,Data!$AC$5:$AC$804),"")</f>
        <v/>
      </c>
      <c r="H483" s="19">
        <f>IF(N(D483)&gt;0,RANK(D483,$D$31:$D$830),"")</f>
        <v/>
      </c>
    </row>
    <row r="484">
      <c r="A484" s="15" t="n">
        <v>454</v>
      </c>
      <c r="B484" s="16" t="inlineStr">
        <is>
          <t>3012345757027</t>
        </is>
      </c>
      <c r="C484" s="7" t="inlineStr">
        <is>
          <t>Chocolate ice cream, 900ml</t>
        </is>
      </c>
      <c r="D484" s="17" t="n">
        <v>21508</v>
      </c>
      <c r="E484" s="18" t="n"/>
      <c r="G484" s="19">
        <f>IF(Data!AC458&gt;0,RANK(Data!AC458,Data!$AC$5:$AC$804),"")</f>
        <v/>
      </c>
      <c r="H484" s="19">
        <f>IF(N(D484)&gt;0,RANK(D484,$D$31:$D$830),"")</f>
        <v/>
      </c>
    </row>
    <row r="485">
      <c r="A485" s="15" t="n">
        <v>455</v>
      </c>
      <c r="B485" s="16" t="inlineStr">
        <is>
          <t>5012345701790</t>
        </is>
      </c>
      <c r="C485" s="7" t="inlineStr">
        <is>
          <t>Lamb mince, 500g</t>
        </is>
      </c>
      <c r="D485" s="17" t="n">
        <v>21234</v>
      </c>
      <c r="E485" s="18" t="n"/>
      <c r="G485" s="19">
        <f>IF(Data!AC459&gt;0,RANK(Data!AC459,Data!$AC$5:$AC$804),"")</f>
        <v/>
      </c>
      <c r="H485" s="19">
        <f>IF(N(D485)&gt;0,RANK(D485,$D$31:$D$830),"")</f>
        <v/>
      </c>
    </row>
    <row r="486">
      <c r="A486" s="15" t="n">
        <v>456</v>
      </c>
      <c r="B486" s="16" t="inlineStr">
        <is>
          <t>8712345746759</t>
        </is>
      </c>
      <c r="C486" s="7" t="inlineStr">
        <is>
          <t>Chocolate chip cookies, 300g</t>
        </is>
      </c>
      <c r="D486" s="17" t="n">
        <v>35334</v>
      </c>
      <c r="E486" s="18" t="n"/>
      <c r="G486" s="19">
        <f>IF(Data!AC460&gt;0,RANK(Data!AC460,Data!$AC$5:$AC$804),"")</f>
        <v/>
      </c>
      <c r="H486" s="19">
        <f>IF(N(D486)&gt;0,RANK(D486,$D$31:$D$830),"")</f>
        <v/>
      </c>
    </row>
    <row r="487">
      <c r="A487" s="15" t="n">
        <v>457</v>
      </c>
      <c r="B487" s="16" t="inlineStr">
        <is>
          <t>5012345849270</t>
        </is>
      </c>
      <c r="C487" s="7" t="inlineStr">
        <is>
          <t>Salmon fillets, skin on, 4x125g</t>
        </is>
      </c>
      <c r="D487" s="17" t="n">
        <v>21182</v>
      </c>
      <c r="E487" s="18" t="n"/>
      <c r="G487" s="19">
        <f>IF(Data!AC461&gt;0,RANK(Data!AC461,Data!$AC$5:$AC$804),"")</f>
        <v/>
      </c>
      <c r="H487" s="19">
        <f>IF(N(D487)&gt;0,RANK(D487,$D$31:$D$830),"")</f>
        <v/>
      </c>
    </row>
    <row r="488">
      <c r="A488" s="15" t="n">
        <v>458</v>
      </c>
      <c r="B488" s="16" t="inlineStr">
        <is>
          <t>8712345683108</t>
        </is>
      </c>
      <c r="C488" s="7" t="inlineStr">
        <is>
          <t>Beef bolognese sauce, 690g</t>
        </is>
      </c>
      <c r="D488" s="17" t="n">
        <v>15331</v>
      </c>
      <c r="E488" s="18" t="n"/>
      <c r="G488" s="19">
        <f>IF(Data!AC462&gt;0,RANK(Data!AC462,Data!$AC$5:$AC$804),"")</f>
        <v/>
      </c>
      <c r="H488" s="19">
        <f>IF(N(D488)&gt;0,RANK(D488,$D$31:$D$830),"")</f>
        <v/>
      </c>
    </row>
    <row r="489">
      <c r="A489" s="15" t="n">
        <v>459</v>
      </c>
      <c r="B489" s="16" t="inlineStr">
        <is>
          <t>8712345587581</t>
        </is>
      </c>
      <c r="C489" s="7" t="inlineStr">
        <is>
          <t>Roast chicken slices, 100g</t>
        </is>
      </c>
      <c r="D489" s="17" t="n">
        <v>104692</v>
      </c>
      <c r="E489" s="18" t="n"/>
      <c r="G489" s="19">
        <f>IF(Data!AC463&gt;0,RANK(Data!AC463,Data!$AC$5:$AC$804),"")</f>
        <v/>
      </c>
      <c r="H489" s="19">
        <f>IF(N(D489)&gt;0,RANK(D489,$D$31:$D$830),"")</f>
        <v/>
      </c>
    </row>
    <row r="490">
      <c r="A490" s="15" t="n">
        <v>460</v>
      </c>
      <c r="B490" s="16" t="inlineStr">
        <is>
          <t>3012345001458</t>
        </is>
      </c>
      <c r="C490" s="7" t="inlineStr">
        <is>
          <t>Tuna chunks in brine, 4x110g</t>
        </is>
      </c>
      <c r="D490" s="17" t="n">
        <v>23624</v>
      </c>
      <c r="E490" s="18" t="n"/>
      <c r="G490" s="19">
        <f>IF(Data!AC464&gt;0,RANK(Data!AC464,Data!$AC$5:$AC$804),"")</f>
        <v/>
      </c>
      <c r="H490" s="19">
        <f>IF(N(D490)&gt;0,RANK(D490,$D$31:$D$830),"")</f>
        <v/>
      </c>
    </row>
    <row r="491">
      <c r="A491" s="15" t="n">
        <v>461</v>
      </c>
      <c r="B491" s="16" t="inlineStr">
        <is>
          <t>3012345355216</t>
        </is>
      </c>
      <c r="C491" s="7" t="inlineStr">
        <is>
          <t>Chicken tikka masala with rice, 450g</t>
        </is>
      </c>
      <c r="D491" s="17" t="n">
        <v>23098</v>
      </c>
      <c r="E491" s="18" t="n"/>
      <c r="G491" s="19">
        <f>IF(Data!AC465&gt;0,RANK(Data!AC465,Data!$AC$5:$AC$804),"")</f>
        <v/>
      </c>
      <c r="H491" s="19">
        <f>IF(N(D491)&gt;0,RANK(D491,$D$31:$D$830),"")</f>
        <v/>
      </c>
    </row>
    <row r="492">
      <c r="A492" s="15" t="n">
        <v>462</v>
      </c>
      <c r="B492" s="16" t="inlineStr">
        <is>
          <t>5012345808246</t>
        </is>
      </c>
      <c r="C492" s="7" t="inlineStr">
        <is>
          <t>Red kidney beans in water, 400g</t>
        </is>
      </c>
      <c r="D492" s="17" t="n">
        <v>25870</v>
      </c>
      <c r="E492" s="18" t="n"/>
      <c r="G492" s="19">
        <f>IF(Data!AC466&gt;0,RANK(Data!AC466,Data!$AC$5:$AC$804),"")</f>
        <v/>
      </c>
      <c r="H492" s="19">
        <f>IF(N(D492)&gt;0,RANK(D492,$D$31:$D$830),"")</f>
        <v/>
      </c>
    </row>
    <row r="493">
      <c r="A493" s="15" t="n">
        <v>463</v>
      </c>
      <c r="B493" s="16" t="inlineStr">
        <is>
          <t>5012345784151</t>
        </is>
      </c>
      <c r="C493" s="7" t="inlineStr">
        <is>
          <t>Pale ale, 500ml</t>
        </is>
      </c>
      <c r="D493" s="17" t="n">
        <v>20565</v>
      </c>
      <c r="E493" s="18" t="n"/>
      <c r="G493" s="19">
        <f>IF(Data!AC467&gt;0,RANK(Data!AC467,Data!$AC$5:$AC$804),"")</f>
        <v/>
      </c>
      <c r="H493" s="19">
        <f>IF(N(D493)&gt;0,RANK(D493,$D$31:$D$830),"")</f>
        <v/>
      </c>
    </row>
    <row r="494">
      <c r="A494" s="15" t="n">
        <v>464</v>
      </c>
      <c r="B494" s="16" t="inlineStr">
        <is>
          <t>8712345488093</t>
        </is>
      </c>
      <c r="C494" s="7" t="inlineStr">
        <is>
          <t>Greek-style yoghurt, 500g</t>
        </is>
      </c>
      <c r="D494" s="17" t="n">
        <v>20493</v>
      </c>
      <c r="E494" s="18" t="n"/>
      <c r="G494" s="19">
        <f>IF(Data!AC468&gt;0,RANK(Data!AC468,Data!$AC$5:$AC$804),"")</f>
        <v/>
      </c>
      <c r="H494" s="19">
        <f>IF(N(D494)&gt;0,RANK(D494,$D$31:$D$830),"")</f>
        <v/>
      </c>
    </row>
    <row r="495">
      <c r="A495" s="15" t="n">
        <v>465</v>
      </c>
      <c r="B495" s="16" t="inlineStr">
        <is>
          <t>5012345560304</t>
        </is>
      </c>
      <c r="C495" s="7" t="inlineStr">
        <is>
          <t>Mayonnaise, 400g</t>
        </is>
      </c>
      <c r="D495" s="17" t="n">
        <v>25605</v>
      </c>
      <c r="E495" s="18" t="n"/>
      <c r="G495" s="19">
        <f>IF(Data!AC469&gt;0,RANK(Data!AC469,Data!$AC$5:$AC$804),"")</f>
        <v/>
      </c>
      <c r="H495" s="19">
        <f>IF(N(D495)&gt;0,RANK(D495,$D$31:$D$830),"")</f>
        <v/>
      </c>
    </row>
    <row r="496">
      <c r="A496" s="15" t="n">
        <v>466</v>
      </c>
      <c r="B496" s="16" t="inlineStr">
        <is>
          <t>4012345659832</t>
        </is>
      </c>
      <c r="C496" s="7" t="inlineStr">
        <is>
          <t>Four cheese pizza, 2x320g</t>
        </is>
      </c>
      <c r="D496" s="17" t="n">
        <v>15996</v>
      </c>
      <c r="E496" s="18" t="n"/>
      <c r="G496" s="19">
        <f>IF(Data!AC470&gt;0,RANK(Data!AC470,Data!$AC$5:$AC$804),"")</f>
        <v/>
      </c>
      <c r="H496" s="19">
        <f>IF(N(D496)&gt;0,RANK(D496,$D$31:$D$830),"")</f>
        <v/>
      </c>
    </row>
    <row r="497">
      <c r="A497" s="15" t="n">
        <v>467</v>
      </c>
      <c r="B497" s="16" t="inlineStr">
        <is>
          <t>3012345652155</t>
        </is>
      </c>
      <c r="C497" s="7" t="inlineStr">
        <is>
          <t>Beef sirloin steak, 500g</t>
        </is>
      </c>
      <c r="D497" s="17" t="n">
        <v>20263</v>
      </c>
      <c r="E497" s="18" t="n"/>
      <c r="G497" s="19">
        <f>IF(Data!AC471&gt;0,RANK(Data!AC471,Data!$AC$5:$AC$804),"")</f>
        <v/>
      </c>
      <c r="H497" s="19">
        <f>IF(N(D497)&gt;0,RANK(D497,$D$31:$D$830),"")</f>
        <v/>
      </c>
    </row>
    <row r="498">
      <c r="A498" s="15" t="n">
        <v>468</v>
      </c>
      <c r="B498" s="16" t="inlineStr">
        <is>
          <t>8712345190255</t>
        </is>
      </c>
      <c r="C498" s="7" t="inlineStr">
        <is>
          <t>Beef mince, 20% fat, 750g</t>
        </is>
      </c>
      <c r="D498" s="17" t="n">
        <v>13503</v>
      </c>
      <c r="E498" s="18" t="n"/>
      <c r="G498" s="19">
        <f>IF(Data!AC472&gt;0,RANK(Data!AC472,Data!$AC$5:$AC$804),"")</f>
        <v/>
      </c>
      <c r="H498" s="19">
        <f>IF(N(D498)&gt;0,RANK(D498,$D$31:$D$830),"")</f>
        <v/>
      </c>
    </row>
    <row r="499">
      <c r="A499" s="15" t="n">
        <v>469</v>
      </c>
      <c r="B499" s="16" t="inlineStr">
        <is>
          <t>8712345956523</t>
        </is>
      </c>
      <c r="C499" s="7" t="inlineStr">
        <is>
          <t>Spaghetti bolognese, 450g</t>
        </is>
      </c>
      <c r="D499" s="17" t="n">
        <v>22352</v>
      </c>
      <c r="E499" s="18" t="n"/>
      <c r="G499" s="19">
        <f>IF(Data!AC473&gt;0,RANK(Data!AC473,Data!$AC$5:$AC$804),"")</f>
        <v/>
      </c>
      <c r="H499" s="19">
        <f>IF(N(D499)&gt;0,RANK(D499,$D$31:$D$830),"")</f>
        <v/>
      </c>
    </row>
    <row r="500">
      <c r="A500" s="15" t="n">
        <v>470</v>
      </c>
      <c r="B500" s="16" t="inlineStr">
        <is>
          <t>0012345858161</t>
        </is>
      </c>
      <c r="C500" s="7" t="inlineStr">
        <is>
          <t>Beef burgers, 4 pack, 400g</t>
        </is>
      </c>
      <c r="D500" s="17" t="n">
        <v>24930</v>
      </c>
      <c r="E500" s="18" t="n"/>
      <c r="G500" s="19">
        <f>IF(Data!AC474&gt;0,RANK(Data!AC474,Data!$AC$5:$AC$804),"")</f>
        <v/>
      </c>
      <c r="H500" s="19">
        <f>IF(N(D500)&gt;0,RANK(D500,$D$31:$D$830),"")</f>
        <v/>
      </c>
    </row>
    <row r="501">
      <c r="A501" s="15" t="n">
        <v>471</v>
      </c>
      <c r="B501" s="16" t="inlineStr">
        <is>
          <t>8712345131647</t>
        </is>
      </c>
      <c r="C501" s="7" t="inlineStr">
        <is>
          <t>Diced beef for stewing, 500g</t>
        </is>
      </c>
      <c r="D501" s="17" t="n">
        <v>19887</v>
      </c>
      <c r="E501" s="18" t="n"/>
      <c r="G501" s="19">
        <f>IF(Data!AC475&gt;0,RANK(Data!AC475,Data!$AC$5:$AC$804),"")</f>
        <v/>
      </c>
      <c r="H501" s="19">
        <f>IF(N(D501)&gt;0,RANK(D501,$D$31:$D$830),"")</f>
        <v/>
      </c>
    </row>
    <row r="502">
      <c r="A502" s="15" t="n">
        <v>472</v>
      </c>
      <c r="B502" s="16" t="inlineStr">
        <is>
          <t>3012345555968</t>
        </is>
      </c>
      <c r="C502" s="7" t="inlineStr">
        <is>
          <t>Cooked mussels, 400g</t>
        </is>
      </c>
      <c r="D502" s="17" t="n">
        <v>24411</v>
      </c>
      <c r="E502" s="18" t="n"/>
      <c r="G502" s="19">
        <f>IF(Data!AC476&gt;0,RANK(Data!AC476,Data!$AC$5:$AC$804),"")</f>
        <v/>
      </c>
      <c r="H502" s="19">
        <f>IF(N(D502)&gt;0,RANK(D502,$D$31:$D$830),"")</f>
        <v/>
      </c>
    </row>
    <row r="503">
      <c r="A503" s="15" t="n">
        <v>473</v>
      </c>
      <c r="B503" s="16" t="inlineStr">
        <is>
          <t>4012345507997</t>
        </is>
      </c>
      <c r="C503" s="7" t="inlineStr">
        <is>
          <t>Pumpkin seeds, 300g</t>
        </is>
      </c>
      <c r="D503" s="17" t="n">
        <v>32472</v>
      </c>
      <c r="E503" s="18" t="n"/>
      <c r="G503" s="19">
        <f>IF(Data!AC477&gt;0,RANK(Data!AC477,Data!$AC$5:$AC$804),"")</f>
        <v/>
      </c>
      <c r="H503" s="19">
        <f>IF(N(D503)&gt;0,RANK(D503,$D$31:$D$830),"")</f>
        <v/>
      </c>
    </row>
    <row r="504">
      <c r="A504" s="15" t="n">
        <v>474</v>
      </c>
      <c r="B504" s="16" t="inlineStr">
        <is>
          <t>3012345013710</t>
        </is>
      </c>
      <c r="C504" s="7" t="inlineStr">
        <is>
          <t>Mature cheddar, 400g</t>
        </is>
      </c>
      <c r="D504" s="17" t="n">
        <v>24310</v>
      </c>
      <c r="E504" s="18" t="n"/>
      <c r="G504" s="19">
        <f>IF(Data!AC478&gt;0,RANK(Data!AC478,Data!$AC$5:$AC$804),"")</f>
        <v/>
      </c>
      <c r="H504" s="19">
        <f>IF(N(D504)&gt;0,RANK(D504,$D$31:$D$830),"")</f>
        <v/>
      </c>
    </row>
    <row r="505">
      <c r="A505" s="15" t="n">
        <v>475</v>
      </c>
      <c r="B505" s="16" t="inlineStr">
        <is>
          <t>5012345447377</t>
        </is>
      </c>
      <c r="C505" s="7" t="inlineStr">
        <is>
          <t>Ham trimmings, 125g</t>
        </is>
      </c>
      <c r="D505" s="17" t="n">
        <v>77716</v>
      </c>
      <c r="E505" s="18" t="n"/>
      <c r="G505" s="19">
        <f>IF(Data!AC479&gt;0,RANK(Data!AC479,Data!$AC$5:$AC$804),"")</f>
        <v/>
      </c>
      <c r="H505" s="19">
        <f>IF(N(D505)&gt;0,RANK(D505,$D$31:$D$830),"")</f>
        <v/>
      </c>
    </row>
    <row r="506">
      <c r="A506" s="15" t="n">
        <v>476</v>
      </c>
      <c r="B506" s="16" t="inlineStr">
        <is>
          <t>3012345264709</t>
        </is>
      </c>
      <c r="C506" s="7" t="inlineStr">
        <is>
          <t>Basmati rice, 500g</t>
        </is>
      </c>
      <c r="D506" s="17" t="n">
        <v>19396</v>
      </c>
      <c r="E506" s="18" t="n"/>
      <c r="G506" s="19">
        <f>IF(Data!AC480&gt;0,RANK(Data!AC480,Data!$AC$5:$AC$804),"")</f>
        <v/>
      </c>
      <c r="H506" s="19">
        <f>IF(N(D506)&gt;0,RANK(D506,$D$31:$D$830),"")</f>
        <v/>
      </c>
    </row>
    <row r="507">
      <c r="A507" s="15" t="n">
        <v>477</v>
      </c>
      <c r="B507" s="16" t="inlineStr">
        <is>
          <t>8712345085384</t>
        </is>
      </c>
      <c r="C507" s="7" t="inlineStr">
        <is>
          <t>Chocolate fudge cake, 6pk 300g</t>
        </is>
      </c>
      <c r="D507" s="17" t="n">
        <v>32175</v>
      </c>
      <c r="E507" s="18" t="n"/>
      <c r="G507" s="19">
        <f>IF(Data!AC481&gt;0,RANK(Data!AC481,Data!$AC$5:$AC$804),"")</f>
        <v/>
      </c>
      <c r="H507" s="19">
        <f>IF(N(D507)&gt;0,RANK(D507,$D$31:$D$830),"")</f>
        <v/>
      </c>
    </row>
    <row r="508">
      <c r="A508" s="15" t="n">
        <v>478</v>
      </c>
      <c r="B508" s="16" t="inlineStr">
        <is>
          <t>4012345887655</t>
        </is>
      </c>
      <c r="C508" s="7" t="inlineStr">
        <is>
          <t>Couscous, 500g</t>
        </is>
      </c>
      <c r="D508" s="17" t="n">
        <v>19246</v>
      </c>
      <c r="E508" s="18" t="n"/>
      <c r="G508" s="19">
        <f>IF(Data!AC482&gt;0,RANK(Data!AC482,Data!$AC$5:$AC$804),"")</f>
        <v/>
      </c>
      <c r="H508" s="19">
        <f>IF(N(D508)&gt;0,RANK(D508,$D$31:$D$830),"")</f>
        <v/>
      </c>
    </row>
    <row r="509">
      <c r="A509" s="15" t="n">
        <v>479</v>
      </c>
      <c r="B509" s="16" t="inlineStr">
        <is>
          <t>3012345238656</t>
        </is>
      </c>
      <c r="C509" s="7" t="inlineStr">
        <is>
          <t>Broccoli florets, 750g</t>
        </is>
      </c>
      <c r="D509" s="17" t="n">
        <v>12785</v>
      </c>
      <c r="E509" s="18" t="n"/>
      <c r="G509" s="19">
        <f>IF(Data!AC483&gt;0,RANK(Data!AC483,Data!$AC$5:$AC$804),"")</f>
        <v/>
      </c>
      <c r="H509" s="19">
        <f>IF(N(D509)&gt;0,RANK(D509,$D$31:$D$830),"")</f>
        <v/>
      </c>
    </row>
    <row r="510">
      <c r="A510" s="15" t="n">
        <v>480</v>
      </c>
      <c r="B510" s="16" t="inlineStr">
        <is>
          <t>5012345255620</t>
        </is>
      </c>
      <c r="C510" s="7" t="inlineStr">
        <is>
          <t>Bran flakes, 500g</t>
        </is>
      </c>
      <c r="D510" s="17" t="n">
        <v>19137</v>
      </c>
      <c r="E510" s="18" t="n"/>
      <c r="G510" s="19">
        <f>IF(Data!AC484&gt;0,RANK(Data!AC484,Data!$AC$5:$AC$804),"")</f>
        <v/>
      </c>
      <c r="H510" s="19">
        <f>IF(N(D510)&gt;0,RANK(D510,$D$31:$D$830),"")</f>
        <v/>
      </c>
    </row>
    <row r="511">
      <c r="A511" s="15" t="n">
        <v>481</v>
      </c>
      <c r="B511" s="16" t="inlineStr">
        <is>
          <t>4012345485417</t>
        </is>
      </c>
      <c r="C511" s="7" t="inlineStr">
        <is>
          <t>Red pepper houmous, 200g</t>
        </is>
      </c>
      <c r="D511" s="17" t="n">
        <v>47788</v>
      </c>
      <c r="E511" s="18" t="n"/>
      <c r="G511" s="19">
        <f>IF(Data!AC485&gt;0,RANK(Data!AC485,Data!$AC$5:$AC$804),"")</f>
        <v/>
      </c>
      <c r="H511" s="19">
        <f>IF(N(D511)&gt;0,RANK(D511,$D$31:$D$830),"")</f>
        <v/>
      </c>
    </row>
    <row r="512">
      <c r="A512" s="15" t="n">
        <v>482</v>
      </c>
      <c r="B512" s="16" t="inlineStr">
        <is>
          <t>4012345565492</t>
        </is>
      </c>
      <c r="C512" s="7" t="inlineStr">
        <is>
          <t>Strawberry milkshake, 330ml</t>
        </is>
      </c>
      <c r="D512" s="17" t="n">
        <v>27971</v>
      </c>
      <c r="E512" s="18" t="n"/>
      <c r="G512" s="19">
        <f>IF(Data!AC486&gt;0,RANK(Data!AC486,Data!$AC$5:$AC$804),"")</f>
        <v/>
      </c>
      <c r="H512" s="19">
        <f>IF(N(D512)&gt;0,RANK(D512,$D$31:$D$830),"")</f>
        <v/>
      </c>
    </row>
    <row r="513">
      <c r="A513" s="15" t="n">
        <v>483</v>
      </c>
      <c r="B513" s="16" t="inlineStr">
        <is>
          <t>3012345213028</t>
        </is>
      </c>
      <c r="C513" s="7" t="inlineStr">
        <is>
          <t>Sardines in olive oil, 4x110g</t>
        </is>
      </c>
      <c r="D513" s="17" t="n">
        <v>21555</v>
      </c>
      <c r="E513" s="18" t="n"/>
      <c r="G513" s="19">
        <f>IF(Data!AC487&gt;0,RANK(Data!AC487,Data!$AC$5:$AC$804),"")</f>
        <v/>
      </c>
      <c r="H513" s="19">
        <f>IF(N(D513)&gt;0,RANK(D513,$D$31:$D$830),"")</f>
        <v/>
      </c>
    </row>
    <row r="514">
      <c r="A514" s="15" t="n">
        <v>484</v>
      </c>
      <c r="B514" s="16" t="inlineStr">
        <is>
          <t>5012345712765</t>
        </is>
      </c>
      <c r="C514" s="7" t="inlineStr">
        <is>
          <t>Red Leicester, 800g</t>
        </is>
      </c>
      <c r="D514" s="17" t="n">
        <v>11783</v>
      </c>
      <c r="E514" s="18" t="n"/>
      <c r="G514" s="19">
        <f>IF(Data!AC488&gt;0,RANK(Data!AC488,Data!$AC$5:$AC$804),"")</f>
        <v/>
      </c>
      <c r="H514" s="19">
        <f>IF(N(D514)&gt;0,RANK(D514,$D$31:$D$830),"")</f>
        <v/>
      </c>
    </row>
    <row r="515">
      <c r="A515" s="15" t="n">
        <v>485</v>
      </c>
      <c r="B515" s="16" t="inlineStr">
        <is>
          <t>5012345383439</t>
        </is>
      </c>
      <c r="C515" s="7" t="inlineStr">
        <is>
          <t>Crinkle-cut chips, 750g</t>
        </is>
      </c>
      <c r="D515" s="17" t="n">
        <v>12552</v>
      </c>
      <c r="E515" s="18" t="n"/>
      <c r="G515" s="19">
        <f>IF(Data!AC489&gt;0,RANK(Data!AC489,Data!$AC$5:$AC$804),"")</f>
        <v/>
      </c>
      <c r="H515" s="19">
        <f>IF(N(D515)&gt;0,RANK(D515,$D$31:$D$830),"")</f>
        <v/>
      </c>
    </row>
    <row r="516">
      <c r="A516" s="15" t="n">
        <v>486</v>
      </c>
      <c r="B516" s="16" t="inlineStr">
        <is>
          <t>8712345660765</t>
        </is>
      </c>
      <c r="C516" s="7" t="inlineStr">
        <is>
          <t>Ripe mango</t>
        </is>
      </c>
      <c r="D516" s="17" t="n">
        <v>26877</v>
      </c>
      <c r="E516" s="18" t="n"/>
      <c r="G516" s="19">
        <f>IF(Data!AC490&gt;0,RANK(Data!AC490,Data!$AC$5:$AC$804),"")</f>
        <v/>
      </c>
      <c r="H516" s="19">
        <f>IF(N(D516)&gt;0,RANK(D516,$D$31:$D$830),"")</f>
        <v/>
      </c>
    </row>
    <row r="517">
      <c r="A517" s="15" t="n">
        <v>487</v>
      </c>
      <c r="B517" s="16" t="inlineStr">
        <is>
          <t>5012345938790</t>
        </is>
      </c>
      <c r="C517" s="7" t="inlineStr">
        <is>
          <t>Tomato ketchup, 200g</t>
        </is>
      </c>
      <c r="D517" s="17" t="n">
        <v>46800</v>
      </c>
      <c r="E517" s="18" t="n"/>
      <c r="G517" s="19">
        <f>IF(Data!AC491&gt;0,RANK(Data!AC491,Data!$AC$5:$AC$804),"")</f>
        <v/>
      </c>
      <c r="H517" s="19">
        <f>IF(N(D517)&gt;0,RANK(D517,$D$31:$D$830),"")</f>
        <v/>
      </c>
    </row>
    <row r="518">
      <c r="A518" s="15" t="n">
        <v>488</v>
      </c>
      <c r="B518" s="16" t="inlineStr">
        <is>
          <t>3012345738910</t>
        </is>
      </c>
      <c r="C518" s="7" t="inlineStr">
        <is>
          <t>Strawberries, 500g</t>
        </is>
      </c>
      <c r="D518" s="17" t="n">
        <v>18703</v>
      </c>
      <c r="E518" s="18" t="n"/>
      <c r="G518" s="19">
        <f>IF(Data!AC492&gt;0,RANK(Data!AC492,Data!$AC$5:$AC$804),"")</f>
        <v/>
      </c>
      <c r="H518" s="19">
        <f>IF(N(D518)&gt;0,RANK(D518,$D$31:$D$830),"")</f>
        <v/>
      </c>
    </row>
    <row r="519">
      <c r="A519" s="15" t="n">
        <v>489</v>
      </c>
      <c r="B519" s="16" t="inlineStr">
        <is>
          <t>8712345022143</t>
        </is>
      </c>
      <c r="C519" s="7" t="inlineStr">
        <is>
          <t>Emmental slices, 800g</t>
        </is>
      </c>
      <c r="D519" s="17" t="n">
        <v>11578</v>
      </c>
      <c r="E519" s="18" t="n"/>
      <c r="G519" s="19">
        <f>IF(Data!AC493&gt;0,RANK(Data!AC493,Data!$AC$5:$AC$804),"")</f>
        <v/>
      </c>
      <c r="H519" s="19">
        <f>IF(N(D519)&gt;0,RANK(D519,$D$31:$D$830),"")</f>
        <v/>
      </c>
    </row>
    <row r="520">
      <c r="A520" s="15" t="n">
        <v>490</v>
      </c>
      <c r="B520" s="16" t="inlineStr">
        <is>
          <t>3012345093644</t>
        </is>
      </c>
      <c r="C520" s="7" t="inlineStr">
        <is>
          <t>Sweetcorn cobs, 300g</t>
        </is>
      </c>
      <c r="D520" s="17" t="n">
        <v>30784</v>
      </c>
      <c r="E520" s="18" t="n"/>
      <c r="G520" s="19">
        <f>IF(Data!AC494&gt;0,RANK(Data!AC494,Data!$AC$5:$AC$804),"")</f>
        <v/>
      </c>
      <c r="H520" s="19">
        <f>IF(N(D520)&gt;0,RANK(D520,$D$31:$D$830),"")</f>
        <v/>
      </c>
    </row>
    <row r="521">
      <c r="A521" s="15" t="n">
        <v>491</v>
      </c>
      <c r="B521" s="16" t="inlineStr">
        <is>
          <t>4012345645439</t>
        </is>
      </c>
      <c r="C521" s="7" t="inlineStr">
        <is>
          <t>Sunflower spread, 500g</t>
        </is>
      </c>
      <c r="D521" s="17" t="n">
        <v>18348</v>
      </c>
      <c r="E521" s="18" t="n"/>
      <c r="G521" s="19">
        <f>IF(Data!AC495&gt;0,RANK(Data!AC495,Data!$AC$5:$AC$804),"")</f>
        <v/>
      </c>
      <c r="H521" s="19">
        <f>IF(N(D521)&gt;0,RANK(D521,$D$31:$D$830),"")</f>
        <v/>
      </c>
    </row>
    <row r="522">
      <c r="A522" s="15" t="n">
        <v>492</v>
      </c>
      <c r="B522" s="16" t="inlineStr">
        <is>
          <t>2268106057400</t>
        </is>
      </c>
      <c r="C522" s="7" t="inlineStr">
        <is>
          <t>Iceberg lettuce</t>
        </is>
      </c>
      <c r="D522" s="17" t="n"/>
      <c r="E522" s="18" t="n">
        <v>9128</v>
      </c>
      <c r="G522" s="19">
        <f>IF(Data!AC496&gt;0,RANK(Data!AC496,Data!$AC$5:$AC$804),"")</f>
        <v/>
      </c>
      <c r="H522" s="19">
        <f>IF(N(D522)&gt;0,RANK(D522,$D$31:$D$830),"")</f>
        <v/>
      </c>
    </row>
    <row r="523">
      <c r="A523" s="15" t="n">
        <v>493</v>
      </c>
      <c r="B523" s="16" t="inlineStr">
        <is>
          <t>5012345434452</t>
        </is>
      </c>
      <c r="C523" s="7" t="inlineStr">
        <is>
          <t>Cottage pie, 400g</t>
        </is>
      </c>
      <c r="D523" s="17" t="n">
        <v>22786</v>
      </c>
      <c r="E523" s="18" t="n"/>
      <c r="G523" s="19">
        <f>IF(Data!AC497&gt;0,RANK(Data!AC497,Data!$AC$5:$AC$804),"")</f>
        <v/>
      </c>
      <c r="H523" s="19">
        <f>IF(N(D523)&gt;0,RANK(D523,$D$31:$D$830),"")</f>
        <v/>
      </c>
    </row>
    <row r="524">
      <c r="A524" s="15" t="n">
        <v>494</v>
      </c>
      <c r="B524" s="16" t="inlineStr">
        <is>
          <t>5012345432861</t>
        </is>
      </c>
      <c r="C524" s="7" t="inlineStr">
        <is>
          <t>Milk chocolate buttons, 4x40g</t>
        </is>
      </c>
      <c r="D524" s="17" t="n">
        <v>56926</v>
      </c>
      <c r="E524" s="18" t="n"/>
      <c r="G524" s="19">
        <f>IF(Data!AC498&gt;0,RANK(Data!AC498,Data!$AC$5:$AC$804),"")</f>
        <v/>
      </c>
      <c r="H524" s="19">
        <f>IF(N(D524)&gt;0,RANK(D524,$D$31:$D$830),"")</f>
        <v/>
      </c>
    </row>
    <row r="525">
      <c r="A525" s="15" t="n">
        <v>495</v>
      </c>
      <c r="B525" s="16" t="inlineStr">
        <is>
          <t>4012345434316</t>
        </is>
      </c>
      <c r="C525" s="7" t="inlineStr">
        <is>
          <t>Cherry yoghurt, 450g</t>
        </is>
      </c>
      <c r="D525" s="17" t="n">
        <v>20236</v>
      </c>
      <c r="E525" s="18" t="n"/>
      <c r="G525" s="19">
        <f>IF(Data!AC499&gt;0,RANK(Data!AC499,Data!$AC$5:$AC$804),"")</f>
        <v/>
      </c>
      <c r="H525" s="19">
        <f>IF(N(D525)&gt;0,RANK(D525,$D$31:$D$830),"")</f>
        <v/>
      </c>
    </row>
    <row r="526">
      <c r="A526" s="15" t="n">
        <v>496</v>
      </c>
      <c r="B526" s="16" t="inlineStr">
        <is>
          <t>8712345506728</t>
        </is>
      </c>
      <c r="C526" s="7" t="inlineStr">
        <is>
          <t>Yellow split peas, 1kg</t>
        </is>
      </c>
      <c r="D526" s="17" t="n">
        <v>9005</v>
      </c>
      <c r="E526" s="18" t="n"/>
      <c r="G526" s="19">
        <f>IF(Data!AC500&gt;0,RANK(Data!AC500,Data!$AC$5:$AC$804),"")</f>
        <v/>
      </c>
      <c r="H526" s="19">
        <f>IF(N(D526)&gt;0,RANK(D526,$D$31:$D$830),"")</f>
        <v/>
      </c>
    </row>
    <row r="527">
      <c r="A527" s="15" t="n">
        <v>497</v>
      </c>
      <c r="B527" s="16" t="inlineStr">
        <is>
          <t>8712345040918</t>
        </is>
      </c>
      <c r="C527" s="7" t="inlineStr">
        <is>
          <t>Fine green beans</t>
        </is>
      </c>
      <c r="D527" s="17" t="n">
        <v>29852</v>
      </c>
      <c r="E527" s="18" t="n"/>
      <c r="G527" s="19">
        <f>IF(Data!AC501&gt;0,RANK(Data!AC501,Data!$AC$5:$AC$804),"")</f>
        <v/>
      </c>
      <c r="H527" s="19">
        <f>IF(N(D527)&gt;0,RANK(D527,$D$31:$D$830),"")</f>
        <v/>
      </c>
    </row>
    <row r="528">
      <c r="A528" s="15" t="n">
        <v>498</v>
      </c>
      <c r="B528" s="16" t="inlineStr">
        <is>
          <t>3012345172752</t>
        </is>
      </c>
      <c r="C528" s="7" t="inlineStr">
        <is>
          <t>Chocolate ice cream, 1.8l</t>
        </is>
      </c>
      <c r="D528" s="17" t="n">
        <v>8947</v>
      </c>
      <c r="E528" s="18" t="n"/>
      <c r="G528" s="19">
        <f>IF(Data!AC502&gt;0,RANK(Data!AC502,Data!$AC$5:$AC$804),"")</f>
        <v/>
      </c>
      <c r="H528" s="19">
        <f>IF(N(D528)&gt;0,RANK(D528,$D$31:$D$830),"")</f>
        <v/>
      </c>
    </row>
    <row r="529">
      <c r="A529" s="15" t="n">
        <v>499</v>
      </c>
      <c r="B529" s="16" t="inlineStr">
        <is>
          <t>5012345982908</t>
        </is>
      </c>
      <c r="C529" s="7" t="inlineStr">
        <is>
          <t>Natural yoghurt, 1kg</t>
        </is>
      </c>
      <c r="D529" s="17" t="n">
        <v>8802</v>
      </c>
      <c r="E529" s="18" t="n"/>
      <c r="G529" s="19">
        <f>IF(Data!AC503&gt;0,RANK(Data!AC503,Data!$AC$5:$AC$804),"")</f>
        <v/>
      </c>
      <c r="H529" s="19">
        <f>IF(N(D529)&gt;0,RANK(D529,$D$31:$D$830),"")</f>
        <v/>
      </c>
    </row>
    <row r="530">
      <c r="A530" s="15" t="n">
        <v>500</v>
      </c>
      <c r="B530" s="16" t="inlineStr">
        <is>
          <t>0012345599200</t>
        </is>
      </c>
      <c r="C530" s="7" t="inlineStr">
        <is>
          <t>Pork mince, 4pk 600g</t>
        </is>
      </c>
      <c r="D530" s="17" t="n">
        <v>14614</v>
      </c>
      <c r="E530" s="18" t="n"/>
      <c r="G530" s="19">
        <f>IF(Data!AC504&gt;0,RANK(Data!AC504,Data!$AC$5:$AC$804),"")</f>
        <v/>
      </c>
      <c r="H530" s="19">
        <f>IF(N(D530)&gt;0,RANK(D530,$D$31:$D$830),"")</f>
        <v/>
      </c>
    </row>
    <row r="531">
      <c r="A531" s="15" t="n">
        <v>501</v>
      </c>
      <c r="B531" s="16" t="inlineStr">
        <is>
          <t>5012345732534</t>
        </is>
      </c>
      <c r="C531" s="7" t="inlineStr">
        <is>
          <t>Cashew nuts, 500g</t>
        </is>
      </c>
      <c r="D531" s="17" t="n">
        <v>17528</v>
      </c>
      <c r="E531" s="18" t="n"/>
      <c r="G531" s="19">
        <f>IF(Data!AC505&gt;0,RANK(Data!AC505,Data!$AC$5:$AC$804),"")</f>
        <v/>
      </c>
      <c r="H531" s="19">
        <f>IF(N(D531)&gt;0,RANK(D531,$D$31:$D$830),"")</f>
        <v/>
      </c>
    </row>
    <row r="532">
      <c r="A532" s="15" t="n">
        <v>502</v>
      </c>
      <c r="B532" s="16" t="inlineStr">
        <is>
          <t>3012345560900</t>
        </is>
      </c>
      <c r="C532" s="7" t="inlineStr">
        <is>
          <t>Cheese &amp; onion quiche, 2x400g</t>
        </is>
      </c>
      <c r="D532" s="17" t="n">
        <v>10931</v>
      </c>
      <c r="E532" s="18" t="n"/>
      <c r="G532" s="19">
        <f>IF(Data!AC506&gt;0,RANK(Data!AC506,Data!$AC$5:$AC$804),"")</f>
        <v/>
      </c>
      <c r="H532" s="19">
        <f>IF(N(D532)&gt;0,RANK(D532,$D$31:$D$830),"")</f>
        <v/>
      </c>
    </row>
    <row r="533">
      <c r="A533" s="15" t="n">
        <v>503</v>
      </c>
      <c r="B533" s="16" t="inlineStr">
        <is>
          <t>3012345656528</t>
        </is>
      </c>
      <c r="C533" s="7" t="inlineStr">
        <is>
          <t>Blueberries, 500g</t>
        </is>
      </c>
      <c r="D533" s="17" t="n">
        <v>17467</v>
      </c>
      <c r="E533" s="18" t="n"/>
      <c r="G533" s="19">
        <f>IF(Data!AC507&gt;0,RANK(Data!AC507,Data!$AC$5:$AC$804),"")</f>
        <v/>
      </c>
      <c r="H533" s="19">
        <f>IF(N(D533)&gt;0,RANK(D533,$D$31:$D$830),"")</f>
        <v/>
      </c>
    </row>
    <row r="534">
      <c r="A534" s="15" t="n">
        <v>504</v>
      </c>
      <c r="B534" s="16" t="inlineStr">
        <is>
          <t>3012345111928</t>
        </is>
      </c>
      <c r="C534" s="7" t="inlineStr">
        <is>
          <t>Caramelised onion houmous, 300g</t>
        </is>
      </c>
      <c r="D534" s="17" t="n">
        <v>28657</v>
      </c>
      <c r="E534" s="18" t="n"/>
      <c r="G534" s="19">
        <f>IF(Data!AC508&gt;0,RANK(Data!AC508,Data!$AC$5:$AC$804),"")</f>
        <v/>
      </c>
      <c r="H534" s="19">
        <f>IF(N(D534)&gt;0,RANK(D534,$D$31:$D$830),"")</f>
        <v/>
      </c>
    </row>
    <row r="535">
      <c r="A535" s="15" t="n">
        <v>505</v>
      </c>
      <c r="B535" s="16" t="inlineStr">
        <is>
          <t>3012345395229</t>
        </is>
      </c>
      <c r="C535" s="7" t="inlineStr">
        <is>
          <t>Tuna chunks in brine, 3x145g</t>
        </is>
      </c>
      <c r="D535" s="17" t="n">
        <v>19747</v>
      </c>
      <c r="E535" s="18" t="n"/>
      <c r="G535" s="19">
        <f>IF(Data!AC509&gt;0,RANK(Data!AC509,Data!$AC$5:$AC$804),"")</f>
        <v/>
      </c>
      <c r="H535" s="19">
        <f>IF(N(D535)&gt;0,RANK(D535,$D$31:$D$830),"")</f>
        <v/>
      </c>
    </row>
    <row r="536">
      <c r="A536" s="15" t="n">
        <v>506</v>
      </c>
      <c r="B536" s="16" t="inlineStr">
        <is>
          <t>8712345210267</t>
        </is>
      </c>
      <c r="C536" s="7" t="inlineStr">
        <is>
          <t>Pepperoni slices, 200g</t>
        </is>
      </c>
      <c r="D536" s="17" t="n">
        <v>42643</v>
      </c>
      <c r="E536" s="18" t="n"/>
      <c r="G536" s="19">
        <f>IF(Data!AC510&gt;0,RANK(Data!AC510,Data!$AC$5:$AC$804),"")</f>
        <v/>
      </c>
      <c r="H536" s="19">
        <f>IF(N(D536)&gt;0,RANK(D536,$D$31:$D$830),"")</f>
        <v/>
      </c>
    </row>
    <row r="537">
      <c r="A537" s="15" t="n">
        <v>507</v>
      </c>
      <c r="B537" s="16" t="inlineStr">
        <is>
          <t>5012345838465</t>
        </is>
      </c>
      <c r="C537" s="7" t="inlineStr">
        <is>
          <t>Cola, 1.5l</t>
        </is>
      </c>
      <c r="D537" s="17" t="n">
        <v>5601</v>
      </c>
      <c r="E537" s="18" t="n"/>
      <c r="G537" s="19">
        <f>IF(Data!AC511&gt;0,RANK(Data!AC511,Data!$AC$5:$AC$804),"")</f>
        <v/>
      </c>
      <c r="H537" s="19">
        <f>IF(N(D537)&gt;0,RANK(D537,$D$31:$D$830),"")</f>
        <v/>
      </c>
    </row>
    <row r="538">
      <c r="A538" s="15" t="n">
        <v>508</v>
      </c>
      <c r="B538" s="16" t="inlineStr">
        <is>
          <t>3012345363167</t>
        </is>
      </c>
      <c r="C538" s="7" t="inlineStr">
        <is>
          <t>Porridge oats, 500g</t>
        </is>
      </c>
      <c r="D538" s="17" t="n">
        <v>16754</v>
      </c>
      <c r="E538" s="18" t="n"/>
      <c r="G538" s="19">
        <f>IF(Data!AC512&gt;0,RANK(Data!AC512,Data!$AC$5:$AC$804),"")</f>
        <v/>
      </c>
      <c r="H538" s="19">
        <f>IF(N(D538)&gt;0,RANK(D538,$D$31:$D$830),"")</f>
        <v/>
      </c>
    </row>
    <row r="539">
      <c r="A539" s="15" t="n">
        <v>509</v>
      </c>
      <c r="B539" s="16" t="inlineStr">
        <is>
          <t>3012345918664</t>
        </is>
      </c>
      <c r="C539" s="7" t="inlineStr">
        <is>
          <t>Chocolate chip cookies, 400g</t>
        </is>
      </c>
      <c r="D539" s="17" t="n">
        <v>20903</v>
      </c>
      <c r="E539" s="18" t="n"/>
      <c r="G539" s="19">
        <f>IF(Data!AC513&gt;0,RANK(Data!AC513,Data!$AC$5:$AC$804),"")</f>
        <v/>
      </c>
      <c r="H539" s="19">
        <f>IF(N(D539)&gt;0,RANK(D539,$D$31:$D$830),"")</f>
        <v/>
      </c>
    </row>
    <row r="540">
      <c r="A540" s="15" t="n">
        <v>510</v>
      </c>
      <c r="B540" s="16" t="inlineStr">
        <is>
          <t>5012345520179</t>
        </is>
      </c>
      <c r="C540" s="7" t="inlineStr">
        <is>
          <t>Rapeseed oil, 1l</t>
        </is>
      </c>
      <c r="D540" s="17" t="n">
        <v>8930</v>
      </c>
      <c r="E540" s="18" t="n"/>
      <c r="G540" s="19">
        <f>IF(Data!AC514&gt;0,RANK(Data!AC514,Data!$AC$5:$AC$804),"")</f>
        <v/>
      </c>
      <c r="H540" s="19">
        <f>IF(N(D540)&gt;0,RANK(D540,$D$31:$D$830),"")</f>
        <v/>
      </c>
    </row>
    <row r="541">
      <c r="A541" s="15" t="n">
        <v>511</v>
      </c>
      <c r="B541" s="16" t="inlineStr">
        <is>
          <t>4012345236798</t>
        </is>
      </c>
      <c r="C541" s="7" t="inlineStr">
        <is>
          <t>Egg &amp; cress sandwich</t>
        </is>
      </c>
      <c r="D541" s="17" t="n">
        <v>45267</v>
      </c>
      <c r="E541" s="18" t="n"/>
      <c r="G541" s="19">
        <f>IF(Data!AC515&gt;0,RANK(Data!AC515,Data!$AC$5:$AC$804),"")</f>
        <v/>
      </c>
      <c r="H541" s="19">
        <f>IF(N(D541)&gt;0,RANK(D541,$D$31:$D$830),"")</f>
        <v/>
      </c>
    </row>
    <row r="542">
      <c r="A542" s="15" t="n">
        <v>512</v>
      </c>
      <c r="B542" s="16" t="inlineStr">
        <is>
          <t>3012345982832</t>
        </is>
      </c>
      <c r="C542" s="7" t="inlineStr">
        <is>
          <t>Strawberry ice cream, 900ml</t>
        </is>
      </c>
      <c r="D542" s="17" t="n">
        <v>16288</v>
      </c>
      <c r="E542" s="18" t="n"/>
      <c r="G542" s="19">
        <f>IF(Data!AC516&gt;0,RANK(Data!AC516,Data!$AC$5:$AC$804),"")</f>
        <v/>
      </c>
      <c r="H542" s="19">
        <f>IF(N(D542)&gt;0,RANK(D542,$D$31:$D$830),"")</f>
        <v/>
      </c>
    </row>
    <row r="543">
      <c r="A543" s="15" t="n">
        <v>513</v>
      </c>
      <c r="B543" s="16" t="inlineStr">
        <is>
          <t>3012345827010</t>
        </is>
      </c>
      <c r="C543" s="7" t="inlineStr">
        <is>
          <t>Extra virgin olive oil, 500ml</t>
        </is>
      </c>
      <c r="D543" s="17" t="n">
        <v>17564</v>
      </c>
      <c r="E543" s="18" t="n"/>
      <c r="G543" s="19">
        <f>IF(Data!AC517&gt;0,RANK(Data!AC517,Data!$AC$5:$AC$804),"")</f>
        <v/>
      </c>
      <c r="H543" s="19">
        <f>IF(N(D543)&gt;0,RANK(D543,$D$31:$D$830),"")</f>
        <v/>
      </c>
    </row>
    <row r="544">
      <c r="A544" s="15" t="n">
        <v>514</v>
      </c>
      <c r="B544" s="16" t="inlineStr">
        <is>
          <t>5012345839301</t>
        </is>
      </c>
      <c r="C544" s="7" t="inlineStr">
        <is>
          <t>Cooked ham, 8sl 200g</t>
        </is>
      </c>
      <c r="D544" s="17" t="n">
        <v>40324</v>
      </c>
      <c r="E544" s="18" t="n"/>
      <c r="G544" s="19">
        <f>IF(Data!AC518&gt;0,RANK(Data!AC518,Data!$AC$5:$AC$804),"")</f>
        <v/>
      </c>
      <c r="H544" s="19">
        <f>IF(N(D544)&gt;0,RANK(D544,$D$31:$D$830),"")</f>
        <v/>
      </c>
    </row>
    <row r="545">
      <c r="A545" s="15" t="n">
        <v>515</v>
      </c>
      <c r="B545" s="16" t="inlineStr">
        <is>
          <t>8712345446161</t>
        </is>
      </c>
      <c r="C545" s="7" t="inlineStr">
        <is>
          <t>Black beans in water, 400g</t>
        </is>
      </c>
      <c r="D545" s="17" t="n">
        <v>20129</v>
      </c>
      <c r="E545" s="18" t="n"/>
      <c r="G545" s="19">
        <f>IF(Data!AC519&gt;0,RANK(Data!AC519,Data!$AC$5:$AC$804),"")</f>
        <v/>
      </c>
      <c r="H545" s="19">
        <f>IF(N(D545)&gt;0,RANK(D545,$D$31:$D$830),"")</f>
        <v/>
      </c>
    </row>
    <row r="546">
      <c r="A546" s="15" t="n">
        <v>516</v>
      </c>
      <c r="B546" s="16" t="inlineStr">
        <is>
          <t>3012345402408</t>
        </is>
      </c>
      <c r="C546" s="7" t="inlineStr">
        <is>
          <t>Honey &amp; mustard pork steaks, 400g</t>
        </is>
      </c>
      <c r="D546" s="17" t="n">
        <v>20067</v>
      </c>
      <c r="E546" s="18" t="n"/>
      <c r="G546" s="19">
        <f>IF(Data!AC520&gt;0,RANK(Data!AC520,Data!$AC$5:$AC$804),"")</f>
        <v/>
      </c>
      <c r="H546" s="19">
        <f>IF(N(D546)&gt;0,RANK(D546,$D$31:$D$830),"")</f>
        <v/>
      </c>
    </row>
    <row r="547">
      <c r="A547" s="15" t="n">
        <v>517</v>
      </c>
      <c r="B547" s="16" t="inlineStr">
        <is>
          <t>5012345459073</t>
        </is>
      </c>
      <c r="C547" s="7" t="inlineStr">
        <is>
          <t>Peach yoghurt, 4x125g</t>
        </is>
      </c>
      <c r="D547" s="17" t="n">
        <v>16038</v>
      </c>
      <c r="E547" s="18" t="n"/>
      <c r="G547" s="19">
        <f>IF(Data!AC521&gt;0,RANK(Data!AC521,Data!$AC$5:$AC$804),"")</f>
        <v/>
      </c>
      <c r="H547" s="19">
        <f>IF(N(D547)&gt;0,RANK(D547,$D$31:$D$830),"")</f>
        <v/>
      </c>
    </row>
    <row r="548">
      <c r="A548" s="15" t="n">
        <v>518</v>
      </c>
      <c r="B548" s="16" t="inlineStr">
        <is>
          <t>4012345797893</t>
        </is>
      </c>
      <c r="C548" s="7" t="inlineStr">
        <is>
          <t>Fine green beans, 500g</t>
        </is>
      </c>
      <c r="D548" s="17" t="n">
        <v>16010</v>
      </c>
      <c r="E548" s="18" t="n"/>
      <c r="G548" s="19">
        <f>IF(Data!AC522&gt;0,RANK(Data!AC522,Data!$AC$5:$AC$804),"")</f>
        <v/>
      </c>
      <c r="H548" s="19">
        <f>IF(N(D548)&gt;0,RANK(D548,$D$31:$D$830),"")</f>
        <v/>
      </c>
    </row>
    <row r="549">
      <c r="A549" s="15" t="n">
        <v>519</v>
      </c>
      <c r="B549" s="16" t="inlineStr">
        <is>
          <t>2909687168750</t>
        </is>
      </c>
      <c r="C549" s="7" t="inlineStr">
        <is>
          <t>Strawberries</t>
        </is>
      </c>
      <c r="D549" s="17" t="n"/>
      <c r="E549" s="18" t="n">
        <v>8005</v>
      </c>
      <c r="G549" s="19">
        <f>IF(Data!AC523&gt;0,RANK(Data!AC523,Data!$AC$5:$AC$804),"")</f>
        <v/>
      </c>
      <c r="H549" s="19">
        <f>IF(N(D549)&gt;0,RANK(D549,$D$31:$D$830),"")</f>
        <v/>
      </c>
    </row>
    <row r="550">
      <c r="A550" s="15" t="n">
        <v>520</v>
      </c>
      <c r="B550" s="16" t="inlineStr">
        <is>
          <t>5012345589428</t>
        </is>
      </c>
      <c r="C550" s="7" t="inlineStr">
        <is>
          <t>Wholemeal sliced bread, 500g</t>
        </is>
      </c>
      <c r="D550" s="17" t="n">
        <v>15882</v>
      </c>
      <c r="E550" s="18" t="n"/>
      <c r="G550" s="19">
        <f>IF(Data!AC524&gt;0,RANK(Data!AC524,Data!$AC$5:$AC$804),"")</f>
        <v/>
      </c>
      <c r="H550" s="19">
        <f>IF(N(D550)&gt;0,RANK(D550,$D$31:$D$830),"")</f>
        <v/>
      </c>
    </row>
    <row r="551">
      <c r="A551" s="15" t="n">
        <v>521</v>
      </c>
      <c r="B551" s="16" t="inlineStr">
        <is>
          <t>8712345919627</t>
        </is>
      </c>
      <c r="C551" s="7" t="inlineStr">
        <is>
          <t>Spaghetti, 500g</t>
        </is>
      </c>
      <c r="D551" s="17" t="n">
        <v>15555</v>
      </c>
      <c r="E551" s="18" t="n"/>
      <c r="G551" s="19">
        <f>IF(Data!AC525&gt;0,RANK(Data!AC525,Data!$AC$5:$AC$804),"")</f>
        <v/>
      </c>
      <c r="H551" s="19">
        <f>IF(N(D551)&gt;0,RANK(D551,$D$31:$D$830),"")</f>
        <v/>
      </c>
    </row>
    <row r="552">
      <c r="A552" s="15" t="n">
        <v>522</v>
      </c>
      <c r="B552" s="16" t="inlineStr">
        <is>
          <t>8712345136222</t>
        </is>
      </c>
      <c r="C552" s="7" t="inlineStr">
        <is>
          <t>Yoghurt with cereal topping, 150g</t>
        </is>
      </c>
      <c r="D552" s="17" t="n">
        <v>51609</v>
      </c>
      <c r="E552" s="18" t="n"/>
      <c r="G552" s="19">
        <f>IF(Data!AC526&gt;0,RANK(Data!AC526,Data!$AC$5:$AC$804),"")</f>
        <v/>
      </c>
      <c r="H552" s="19">
        <f>IF(N(D552)&gt;0,RANK(D552,$D$31:$D$830),"")</f>
        <v/>
      </c>
    </row>
    <row r="553">
      <c r="A553" s="15" t="n">
        <v>523</v>
      </c>
      <c r="B553" s="16" t="inlineStr">
        <is>
          <t>3012345122771</t>
        </is>
      </c>
      <c r="C553" s="7" t="inlineStr">
        <is>
          <t>Iceberg lettuce</t>
        </is>
      </c>
      <c r="D553" s="17" t="n">
        <v>15347</v>
      </c>
      <c r="E553" s="18" t="n"/>
      <c r="G553" s="19">
        <f>IF(Data!AC527&gt;0,RANK(Data!AC527,Data!$AC$5:$AC$804),"")</f>
        <v/>
      </c>
      <c r="H553" s="19">
        <f>IF(N(D553)&gt;0,RANK(D553,$D$31:$D$830),"")</f>
        <v/>
      </c>
    </row>
    <row r="554">
      <c r="A554" s="15" t="n">
        <v>524</v>
      </c>
      <c r="B554" s="16" t="inlineStr">
        <is>
          <t>8712345279936</t>
        </is>
      </c>
      <c r="C554" s="7" t="inlineStr">
        <is>
          <t>Ham trimmings, 8sl 200g</t>
        </is>
      </c>
      <c r="D554" s="17" t="n">
        <v>38215</v>
      </c>
      <c r="E554" s="18" t="n"/>
      <c r="G554" s="19">
        <f>IF(Data!AC528&gt;0,RANK(Data!AC528,Data!$AC$5:$AC$804),"")</f>
        <v/>
      </c>
      <c r="H554" s="19">
        <f>IF(N(D554)&gt;0,RANK(D554,$D$31:$D$830),"")</f>
        <v/>
      </c>
    </row>
    <row r="555">
      <c r="A555" s="15" t="n">
        <v>525</v>
      </c>
      <c r="B555" s="16" t="inlineStr">
        <is>
          <t>5012345596600</t>
        </is>
      </c>
      <c r="C555" s="7" t="inlineStr">
        <is>
          <t>Brioche rolls, 6pk 270g</t>
        </is>
      </c>
      <c r="D555" s="17" t="n">
        <v>28283</v>
      </c>
      <c r="E555" s="18" t="n"/>
      <c r="G555" s="19">
        <f>IF(Data!AC529&gt;0,RANK(Data!AC529,Data!$AC$5:$AC$804),"")</f>
        <v/>
      </c>
      <c r="H555" s="19">
        <f>IF(N(D555)&gt;0,RANK(D555,$D$31:$D$830),"")</f>
        <v/>
      </c>
    </row>
    <row r="556">
      <c r="A556" s="15" t="n">
        <v>526</v>
      </c>
      <c r="B556" s="16" t="inlineStr">
        <is>
          <t>8712345185831</t>
        </is>
      </c>
      <c r="C556" s="7" t="inlineStr">
        <is>
          <t>Breaded haddock fillets, 4pk 440g</t>
        </is>
      </c>
      <c r="D556" s="17" t="n">
        <v>17195</v>
      </c>
      <c r="E556" s="18" t="n"/>
      <c r="G556" s="19">
        <f>IF(Data!AC530&gt;0,RANK(Data!AC530,Data!$AC$5:$AC$804),"")</f>
        <v/>
      </c>
      <c r="H556" s="19">
        <f>IF(N(D556)&gt;0,RANK(D556,$D$31:$D$830),"")</f>
        <v/>
      </c>
    </row>
    <row r="557">
      <c r="A557" s="15" t="n">
        <v>527</v>
      </c>
      <c r="B557" s="16" t="inlineStr">
        <is>
          <t>8712345733452</t>
        </is>
      </c>
      <c r="C557" s="7" t="inlineStr">
        <is>
          <t>Seitan pieces, 200g</t>
        </is>
      </c>
      <c r="D557" s="17" t="n">
        <v>37296</v>
      </c>
      <c r="E557" s="18" t="n"/>
      <c r="G557" s="19">
        <f>IF(Data!AC531&gt;0,RANK(Data!AC531,Data!$AC$5:$AC$804),"")</f>
        <v/>
      </c>
      <c r="H557" s="19">
        <f>IF(N(D557)&gt;0,RANK(D557,$D$31:$D$830),"")</f>
        <v/>
      </c>
    </row>
    <row r="558">
      <c r="A558" s="15" t="n">
        <v>528</v>
      </c>
      <c r="B558" s="16" t="inlineStr">
        <is>
          <t>3012345781374</t>
        </is>
      </c>
      <c r="C558" s="7" t="inlineStr">
        <is>
          <t>Pork chipolatas, 6pk</t>
        </is>
      </c>
      <c r="D558" s="17" t="n">
        <v>18501</v>
      </c>
      <c r="E558" s="18" t="n"/>
      <c r="G558" s="19">
        <f>IF(Data!AC532&gt;0,RANK(Data!AC532,Data!$AC$5:$AC$804),"")</f>
        <v/>
      </c>
      <c r="H558" s="19">
        <f>IF(N(D558)&gt;0,RANK(D558,$D$31:$D$830),"")</f>
        <v/>
      </c>
    </row>
    <row r="559">
      <c r="A559" s="15" t="n">
        <v>529</v>
      </c>
      <c r="B559" s="16" t="inlineStr">
        <is>
          <t>8712345808303</t>
        </is>
      </c>
      <c r="C559" s="7" t="inlineStr">
        <is>
          <t>Egg lasagne sheets, 250g</t>
        </is>
      </c>
      <c r="D559" s="17" t="n">
        <v>29439</v>
      </c>
      <c r="E559" s="18" t="n"/>
      <c r="G559" s="19">
        <f>IF(Data!AC533&gt;0,RANK(Data!AC533,Data!$AC$5:$AC$804),"")</f>
        <v/>
      </c>
      <c r="H559" s="19">
        <f>IF(N(D559)&gt;0,RANK(D559,$D$31:$D$830),"")</f>
        <v/>
      </c>
    </row>
    <row r="560">
      <c r="A560" s="15" t="n">
        <v>530</v>
      </c>
      <c r="B560" s="16" t="inlineStr">
        <is>
          <t>8712345532628</t>
        </is>
      </c>
      <c r="C560" s="7" t="inlineStr">
        <is>
          <t>Closed cup mushrooms</t>
        </is>
      </c>
      <c r="D560" s="17" t="n">
        <v>29107</v>
      </c>
      <c r="E560" s="18" t="n"/>
      <c r="G560" s="19">
        <f>IF(Data!AC534&gt;0,RANK(Data!AC534,Data!$AC$5:$AC$804),"")</f>
        <v/>
      </c>
      <c r="H560" s="19">
        <f>IF(N(D560)&gt;0,RANK(D560,$D$31:$D$830),"")</f>
        <v/>
      </c>
    </row>
    <row r="561">
      <c r="A561" s="15" t="n">
        <v>531</v>
      </c>
      <c r="B561" s="16" t="inlineStr">
        <is>
          <t>3012345634915</t>
        </is>
      </c>
      <c r="C561" s="7" t="inlineStr">
        <is>
          <t>Pork chipolatas, 12pk</t>
        </is>
      </c>
      <c r="D561" s="17" t="n">
        <v>8976</v>
      </c>
      <c r="E561" s="18" t="n"/>
      <c r="G561" s="19">
        <f>IF(Data!AC535&gt;0,RANK(Data!AC535,Data!$AC$5:$AC$804),"")</f>
        <v/>
      </c>
      <c r="H561" s="19">
        <f>IF(N(D561)&gt;0,RANK(D561,$D$31:$D$830),"")</f>
        <v/>
      </c>
    </row>
    <row r="562">
      <c r="A562" s="15" t="n">
        <v>532</v>
      </c>
      <c r="B562" s="16" t="inlineStr">
        <is>
          <t>5012345451893</t>
        </is>
      </c>
      <c r="C562" s="7" t="inlineStr">
        <is>
          <t>Diced beef for stewing, 500g</t>
        </is>
      </c>
      <c r="D562" s="17" t="n">
        <v>14212</v>
      </c>
      <c r="E562" s="18" t="n"/>
      <c r="G562" s="19">
        <f>IF(Data!AC536&gt;0,RANK(Data!AC536,Data!$AC$5:$AC$804),"")</f>
        <v/>
      </c>
      <c r="H562" s="19">
        <f>IF(N(D562)&gt;0,RANK(D562,$D$31:$D$830),"")</f>
        <v/>
      </c>
    </row>
    <row r="563">
      <c r="A563" s="15" t="n">
        <v>533</v>
      </c>
      <c r="B563" s="16" t="inlineStr">
        <is>
          <t>3012345684590</t>
        </is>
      </c>
      <c r="C563" s="7" t="inlineStr">
        <is>
          <t>Smoked tofu, 280g</t>
        </is>
      </c>
      <c r="D563" s="17" t="n">
        <v>25322</v>
      </c>
      <c r="E563" s="18" t="n"/>
      <c r="G563" s="19">
        <f>IF(Data!AC537&gt;0,RANK(Data!AC537,Data!$AC$5:$AC$804),"")</f>
        <v/>
      </c>
      <c r="H563" s="19">
        <f>IF(N(D563)&gt;0,RANK(D563,$D$31:$D$830),"")</f>
        <v/>
      </c>
    </row>
    <row r="564">
      <c r="A564" s="15" t="n">
        <v>534</v>
      </c>
      <c r="B564" s="16" t="inlineStr">
        <is>
          <t>5012345243009</t>
        </is>
      </c>
      <c r="C564" s="7" t="inlineStr">
        <is>
          <t>Marinated BBQ pork ribs, 500g</t>
        </is>
      </c>
      <c r="D564" s="17" t="n">
        <v>14123</v>
      </c>
      <c r="E564" s="18" t="n"/>
      <c r="G564" s="19">
        <f>IF(Data!AC538&gt;0,RANK(Data!AC538,Data!$AC$5:$AC$804),"")</f>
        <v/>
      </c>
      <c r="H564" s="19">
        <f>IF(N(D564)&gt;0,RANK(D564,$D$31:$D$830),"")</f>
        <v/>
      </c>
    </row>
    <row r="565">
      <c r="A565" s="15" t="n">
        <v>535</v>
      </c>
      <c r="B565" s="16" t="inlineStr">
        <is>
          <t>3012345561594</t>
        </is>
      </c>
      <c r="C565" s="7" t="inlineStr">
        <is>
          <t>Beef lasagne, 400g</t>
        </is>
      </c>
      <c r="D565" s="17" t="n">
        <v>17608</v>
      </c>
      <c r="E565" s="18" t="n"/>
      <c r="G565" s="19">
        <f>IF(Data!AC539&gt;0,RANK(Data!AC539,Data!$AC$5:$AC$804),"")</f>
        <v/>
      </c>
      <c r="H565" s="19">
        <f>IF(N(D565)&gt;0,RANK(D565,$D$31:$D$830),"")</f>
        <v/>
      </c>
    </row>
    <row r="566">
      <c r="A566" s="15" t="n">
        <v>536</v>
      </c>
      <c r="B566" s="16" t="inlineStr">
        <is>
          <t>3012345752060</t>
        </is>
      </c>
      <c r="C566" s="7" t="inlineStr">
        <is>
          <t>Black beans in water, 400g</t>
        </is>
      </c>
      <c r="D566" s="17" t="n">
        <v>17532</v>
      </c>
      <c r="E566" s="18" t="n"/>
      <c r="G566" s="19">
        <f>IF(Data!AC540&gt;0,RANK(Data!AC540,Data!$AC$5:$AC$804),"")</f>
        <v/>
      </c>
      <c r="H566" s="19">
        <f>IF(N(D566)&gt;0,RANK(D566,$D$31:$D$830),"")</f>
        <v/>
      </c>
    </row>
    <row r="567">
      <c r="A567" s="15" t="n">
        <v>537</v>
      </c>
      <c r="B567" s="16" t="inlineStr">
        <is>
          <t>3012345339551</t>
        </is>
      </c>
      <c r="C567" s="7" t="inlineStr">
        <is>
          <t>Vegetable chilli with rice, 350g</t>
        </is>
      </c>
      <c r="D567" s="17" t="n">
        <v>19969</v>
      </c>
      <c r="E567" s="18" t="n"/>
      <c r="G567" s="19">
        <f>IF(Data!AC541&gt;0,RANK(Data!AC541,Data!$AC$5:$AC$804),"")</f>
        <v/>
      </c>
      <c r="H567" s="19">
        <f>IF(N(D567)&gt;0,RANK(D567,$D$31:$D$830),"")</f>
        <v/>
      </c>
    </row>
    <row r="568">
      <c r="A568" s="15" t="n">
        <v>538</v>
      </c>
      <c r="B568" s="16" t="inlineStr">
        <is>
          <t>4012345799224</t>
        </is>
      </c>
      <c r="C568" s="7" t="inlineStr">
        <is>
          <t>Chicken wings, 650g</t>
        </is>
      </c>
      <c r="D568" s="17" t="n">
        <v>10750</v>
      </c>
      <c r="E568" s="18" t="n"/>
      <c r="G568" s="19">
        <f>IF(Data!AC542&gt;0,RANK(Data!AC542,Data!$AC$5:$AC$804),"")</f>
        <v/>
      </c>
      <c r="H568" s="19">
        <f>IF(N(D568)&gt;0,RANK(D568,$D$31:$D$830),"")</f>
        <v/>
      </c>
    </row>
    <row r="569">
      <c r="A569" s="15" t="n">
        <v>539</v>
      </c>
      <c r="B569" s="16" t="inlineStr">
        <is>
          <t>4012345385885</t>
        </is>
      </c>
      <c r="C569" s="7" t="inlineStr">
        <is>
          <t>Beef sirloin steak, 250g</t>
        </is>
      </c>
      <c r="D569" s="17" t="n">
        <v>27932</v>
      </c>
      <c r="E569" s="18" t="n"/>
      <c r="G569" s="19">
        <f>IF(Data!AC543&gt;0,RANK(Data!AC543,Data!$AC$5:$AC$804),"")</f>
        <v/>
      </c>
      <c r="H569" s="19">
        <f>IF(N(D569)&gt;0,RANK(D569,$D$31:$D$830),"")</f>
        <v/>
      </c>
    </row>
    <row r="570">
      <c r="A570" s="15" t="n">
        <v>540</v>
      </c>
      <c r="B570" s="16" t="inlineStr">
        <is>
          <t>5012345388328</t>
        </is>
      </c>
      <c r="C570" s="7" t="inlineStr">
        <is>
          <t>Plant-based nuggets, 300g</t>
        </is>
      </c>
      <c r="D570" s="17" t="n">
        <v>23221</v>
      </c>
      <c r="E570" s="18" t="n"/>
      <c r="G570" s="19">
        <f>IF(Data!AC544&gt;0,RANK(Data!AC544,Data!$AC$5:$AC$804),"")</f>
        <v/>
      </c>
      <c r="H570" s="19">
        <f>IF(N(D570)&gt;0,RANK(D570,$D$31:$D$830),"")</f>
        <v/>
      </c>
    </row>
    <row r="571">
      <c r="A571" s="15" t="n">
        <v>541</v>
      </c>
      <c r="B571" s="16" t="inlineStr">
        <is>
          <t>4012345703542</t>
        </is>
      </c>
      <c r="C571" s="7" t="inlineStr">
        <is>
          <t>Porridge oats, 500g</t>
        </is>
      </c>
      <c r="D571" s="17" t="n">
        <v>13914</v>
      </c>
      <c r="E571" s="18" t="n"/>
      <c r="G571" s="19">
        <f>IF(Data!AC545&gt;0,RANK(Data!AC545,Data!$AC$5:$AC$804),"")</f>
        <v/>
      </c>
      <c r="H571" s="19">
        <f>IF(N(D571)&gt;0,RANK(D571,$D$31:$D$830),"")</f>
        <v/>
      </c>
    </row>
    <row r="572">
      <c r="A572" s="15" t="n">
        <v>542</v>
      </c>
      <c r="B572" s="16" t="inlineStr">
        <is>
          <t>8712345050887</t>
        </is>
      </c>
      <c r="C572" s="7" t="inlineStr">
        <is>
          <t>Mayonnaise, 750ml</t>
        </is>
      </c>
      <c r="D572" s="17" t="n">
        <v>10040</v>
      </c>
      <c r="E572" s="18" t="n"/>
      <c r="G572" s="19">
        <f>IF(Data!AC546&gt;0,RANK(Data!AC546,Data!$AC$5:$AC$804),"")</f>
        <v/>
      </c>
      <c r="H572" s="19">
        <f>IF(N(D572)&gt;0,RANK(D572,$D$31:$D$830),"")</f>
        <v/>
      </c>
    </row>
    <row r="573">
      <c r="A573" s="15" t="n">
        <v>543</v>
      </c>
      <c r="B573" s="16" t="inlineStr">
        <is>
          <t>5012345224794</t>
        </is>
      </c>
      <c r="C573" s="7" t="inlineStr">
        <is>
          <t>Victoria sponge cake, 400g</t>
        </is>
      </c>
      <c r="D573" s="17" t="n">
        <v>17249</v>
      </c>
      <c r="E573" s="18" t="n"/>
      <c r="G573" s="19">
        <f>IF(Data!AC547&gt;0,RANK(Data!AC547,Data!$AC$5:$AC$804),"")</f>
        <v/>
      </c>
      <c r="H573" s="19">
        <f>IF(N(D573)&gt;0,RANK(D573,$D$31:$D$830),"")</f>
        <v/>
      </c>
    </row>
    <row r="574">
      <c r="A574" s="15" t="n">
        <v>544</v>
      </c>
      <c r="B574" s="16" t="inlineStr">
        <is>
          <t>4012345752496</t>
        </is>
      </c>
      <c r="C574" s="7" t="inlineStr">
        <is>
          <t>Wholewheat penne, 500g</t>
        </is>
      </c>
      <c r="D574" s="17" t="n">
        <v>13790</v>
      </c>
      <c r="E574" s="18" t="n"/>
      <c r="G574" s="19">
        <f>IF(Data!AC548&gt;0,RANK(Data!AC548,Data!$AC$5:$AC$804),"")</f>
        <v/>
      </c>
      <c r="H574" s="19">
        <f>IF(N(D574)&gt;0,RANK(D574,$D$31:$D$830),"")</f>
        <v/>
      </c>
    </row>
    <row r="575">
      <c r="A575" s="15" t="n">
        <v>545</v>
      </c>
      <c r="B575" s="16" t="inlineStr">
        <is>
          <t>8712345162665</t>
        </is>
      </c>
      <c r="C575" s="7" t="inlineStr">
        <is>
          <t>Crinkle-cut chips, 750g</t>
        </is>
      </c>
      <c r="D575" s="17" t="n">
        <v>9141</v>
      </c>
      <c r="E575" s="18" t="n"/>
      <c r="G575" s="19">
        <f>IF(Data!AC549&gt;0,RANK(Data!AC549,Data!$AC$5:$AC$804),"")</f>
        <v/>
      </c>
      <c r="H575" s="19">
        <f>IF(N(D575)&gt;0,RANK(D575,$D$31:$D$830),"")</f>
        <v/>
      </c>
    </row>
    <row r="576">
      <c r="A576" s="15" t="n">
        <v>546</v>
      </c>
      <c r="B576" s="16" t="inlineStr">
        <is>
          <t>3012345773874</t>
        </is>
      </c>
      <c r="C576" s="7" t="inlineStr">
        <is>
          <t>Olive oil spread, 500g</t>
        </is>
      </c>
      <c r="D576" s="17" t="n">
        <v>13654</v>
      </c>
      <c r="E576" s="18" t="n"/>
      <c r="G576" s="19">
        <f>IF(Data!AC550&gt;0,RANK(Data!AC550,Data!$AC$5:$AC$804),"")</f>
        <v/>
      </c>
      <c r="H576" s="19">
        <f>IF(N(D576)&gt;0,RANK(D576,$D$31:$D$830),"")</f>
        <v/>
      </c>
    </row>
    <row r="577">
      <c r="A577" s="15" t="n">
        <v>547</v>
      </c>
      <c r="B577" s="16" t="inlineStr">
        <is>
          <t>8712345435592</t>
        </is>
      </c>
      <c r="C577" s="7" t="inlineStr">
        <is>
          <t>Classic houmous, 300g</t>
        </is>
      </c>
      <c r="D577" s="17" t="n">
        <v>22478</v>
      </c>
      <c r="E577" s="18" t="n"/>
      <c r="G577" s="19">
        <f>IF(Data!AC551&gt;0,RANK(Data!AC551,Data!$AC$5:$AC$804),"")</f>
        <v/>
      </c>
      <c r="H577" s="19">
        <f>IF(N(D577)&gt;0,RANK(D577,$D$31:$D$830),"")</f>
        <v/>
      </c>
    </row>
    <row r="578">
      <c r="A578" s="15" t="n">
        <v>548</v>
      </c>
      <c r="B578" s="16" t="inlineStr">
        <is>
          <t>3012345506144</t>
        </is>
      </c>
      <c r="C578" s="7" t="inlineStr">
        <is>
          <t>Sardines in olive oil, 160g</t>
        </is>
      </c>
      <c r="D578" s="17" t="n">
        <v>41711</v>
      </c>
      <c r="E578" s="18" t="n"/>
      <c r="G578" s="19">
        <f>IF(Data!AC552&gt;0,RANK(Data!AC552,Data!$AC$5:$AC$804),"")</f>
        <v/>
      </c>
      <c r="H578" s="19">
        <f>IF(N(D578)&gt;0,RANK(D578,$D$31:$D$830),"")</f>
        <v/>
      </c>
    </row>
    <row r="579">
      <c r="A579" s="15" t="n">
        <v>549</v>
      </c>
      <c r="B579" s="16" t="inlineStr">
        <is>
          <t>4012345640496</t>
        </is>
      </c>
      <c r="C579" s="7" t="inlineStr">
        <is>
          <t>Salted butter, 500g</t>
        </is>
      </c>
      <c r="D579" s="17" t="n">
        <v>13334</v>
      </c>
      <c r="E579" s="18" t="n"/>
      <c r="G579" s="19">
        <f>IF(Data!AC553&gt;0,RANK(Data!AC553,Data!$AC$5:$AC$804),"")</f>
        <v/>
      </c>
      <c r="H579" s="19">
        <f>IF(N(D579)&gt;0,RANK(D579,$D$31:$D$830),"")</f>
        <v/>
      </c>
    </row>
    <row r="580">
      <c r="A580" s="15" t="n">
        <v>550</v>
      </c>
      <c r="B580" s="16" t="inlineStr">
        <is>
          <t>0012345871504</t>
        </is>
      </c>
      <c r="C580" s="7" t="inlineStr">
        <is>
          <t>Milk chocolate with hazelnuts, 4x40g</t>
        </is>
      </c>
      <c r="D580" s="17" t="n">
        <v>41407</v>
      </c>
      <c r="E580" s="18" t="n"/>
      <c r="G580" s="19">
        <f>IF(Data!AC554&gt;0,RANK(Data!AC554,Data!$AC$5:$AC$804),"")</f>
        <v/>
      </c>
      <c r="H580" s="19">
        <f>IF(N(D580)&gt;0,RANK(D580,$D$31:$D$830),"")</f>
        <v/>
      </c>
    </row>
    <row r="581">
      <c r="A581" s="15" t="n">
        <v>551</v>
      </c>
      <c r="B581" s="16" t="inlineStr">
        <is>
          <t>8712345324230</t>
        </is>
      </c>
      <c r="C581" s="7" t="inlineStr">
        <is>
          <t>Chocolate protein shake, 330ml</t>
        </is>
      </c>
      <c r="D581" s="17" t="n">
        <v>19352</v>
      </c>
      <c r="E581" s="18" t="n"/>
      <c r="G581" s="19">
        <f>IF(Data!AC555&gt;0,RANK(Data!AC555,Data!$AC$5:$AC$804),"")</f>
        <v/>
      </c>
      <c r="H581" s="19">
        <f>IF(N(D581)&gt;0,RANK(D581,$D$31:$D$830),"")</f>
        <v/>
      </c>
    </row>
    <row r="582">
      <c r="A582" s="15" t="n">
        <v>552</v>
      </c>
      <c r="B582" s="16" t="inlineStr">
        <is>
          <t>5012345531564</t>
        </is>
      </c>
      <c r="C582" s="7" t="inlineStr">
        <is>
          <t>Tortilla chips, 6pk 150g</t>
        </is>
      </c>
      <c r="D582" s="17" t="n">
        <v>43750</v>
      </c>
      <c r="E582" s="18" t="n"/>
      <c r="G582" s="19">
        <f>IF(Data!AC556&gt;0,RANK(Data!AC556,Data!$AC$5:$AC$804),"")</f>
        <v/>
      </c>
      <c r="H582" s="19">
        <f>IF(N(D582)&gt;0,RANK(D582,$D$31:$D$830),"")</f>
        <v/>
      </c>
    </row>
    <row r="583">
      <c r="A583" s="15" t="n">
        <v>553</v>
      </c>
      <c r="B583" s="16" t="inlineStr">
        <is>
          <t>8712345520793</t>
        </is>
      </c>
      <c r="C583" s="7" t="inlineStr">
        <is>
          <t>Egg &amp; cress sandwich, 170g</t>
        </is>
      </c>
      <c r="D583" s="17" t="n">
        <v>38548</v>
      </c>
      <c r="E583" s="18" t="n"/>
      <c r="G583" s="19">
        <f>IF(Data!AC557&gt;0,RANK(Data!AC557,Data!$AC$5:$AC$804),"")</f>
        <v/>
      </c>
      <c r="H583" s="19">
        <f>IF(N(D583)&gt;0,RANK(D583,$D$31:$D$830),"")</f>
        <v/>
      </c>
    </row>
    <row r="584">
      <c r="A584" s="15" t="n">
        <v>554</v>
      </c>
      <c r="B584" s="16" t="inlineStr">
        <is>
          <t>3012345311700</t>
        </is>
      </c>
      <c r="C584" s="7" t="inlineStr">
        <is>
          <t>Whole almonds, 500g</t>
        </is>
      </c>
      <c r="D584" s="17" t="n">
        <v>12891</v>
      </c>
      <c r="E584" s="18" t="n"/>
      <c r="G584" s="19">
        <f>IF(Data!AC558&gt;0,RANK(Data!AC558,Data!$AC$5:$AC$804),"")</f>
        <v/>
      </c>
      <c r="H584" s="19">
        <f>IF(N(D584)&gt;0,RANK(D584,$D$31:$D$830),"")</f>
        <v/>
      </c>
    </row>
    <row r="585">
      <c r="A585" s="15" t="n">
        <v>555</v>
      </c>
      <c r="B585" s="16" t="inlineStr">
        <is>
          <t>4012345601268</t>
        </is>
      </c>
      <c r="C585" s="7" t="inlineStr">
        <is>
          <t>Beef sirloin steak, 250g</t>
        </is>
      </c>
      <c r="D585" s="17" t="n">
        <v>25624</v>
      </c>
      <c r="E585" s="18" t="n"/>
      <c r="G585" s="19">
        <f>IF(Data!AC559&gt;0,RANK(Data!AC559,Data!$AC$5:$AC$804),"")</f>
        <v/>
      </c>
      <c r="H585" s="19">
        <f>IF(N(D585)&gt;0,RANK(D585,$D$31:$D$830),"")</f>
        <v/>
      </c>
    </row>
    <row r="586">
      <c r="A586" s="15" t="n">
        <v>556</v>
      </c>
      <c r="B586" s="16" t="inlineStr">
        <is>
          <t>5012345710051</t>
        </is>
      </c>
      <c r="C586" s="7" t="inlineStr">
        <is>
          <t>Tomato ketchup, 910g</t>
        </is>
      </c>
      <c r="D586" s="17" t="n">
        <v>7002</v>
      </c>
      <c r="E586" s="18" t="n"/>
      <c r="G586" s="19">
        <f>IF(Data!AC560&gt;0,RANK(Data!AC560,Data!$AC$5:$AC$804),"")</f>
        <v/>
      </c>
      <c r="H586" s="19">
        <f>IF(N(D586)&gt;0,RANK(D586,$D$31:$D$830),"")</f>
        <v/>
      </c>
    </row>
    <row r="587">
      <c r="A587" s="15" t="n">
        <v>557</v>
      </c>
      <c r="B587" s="16" t="inlineStr">
        <is>
          <t>5012345635484</t>
        </is>
      </c>
      <c r="C587" s="7" t="inlineStr">
        <is>
          <t>Beef lasagne, 450g</t>
        </is>
      </c>
      <c r="D587" s="17" t="n">
        <v>14100</v>
      </c>
      <c r="E587" s="18" t="n"/>
      <c r="G587" s="19">
        <f>IF(Data!AC561&gt;0,RANK(Data!AC561,Data!$AC$5:$AC$804),"")</f>
        <v/>
      </c>
      <c r="H587" s="19">
        <f>IF(N(D587)&gt;0,RANK(D587,$D$31:$D$830),"")</f>
        <v/>
      </c>
    </row>
    <row r="588">
      <c r="A588" s="15" t="n">
        <v>558</v>
      </c>
      <c r="B588" s="16" t="inlineStr">
        <is>
          <t>0012345066061</t>
        </is>
      </c>
      <c r="C588" s="7" t="inlineStr">
        <is>
          <t>Egg tagliatelle, 250g</t>
        </is>
      </c>
      <c r="D588" s="17" t="n">
        <v>25264</v>
      </c>
      <c r="E588" s="18" t="n"/>
      <c r="G588" s="19">
        <f>IF(Data!AC562&gt;0,RANK(Data!AC562,Data!$AC$5:$AC$804),"")</f>
        <v/>
      </c>
      <c r="H588" s="19">
        <f>IF(N(D588)&gt;0,RANK(D588,$D$31:$D$830),"")</f>
        <v/>
      </c>
    </row>
    <row r="589">
      <c r="A589" s="15" t="n">
        <v>559</v>
      </c>
      <c r="B589" s="16" t="inlineStr">
        <is>
          <t>4012345310269</t>
        </is>
      </c>
      <c r="C589" s="7" t="inlineStr">
        <is>
          <t>Instant coffee, 200g</t>
        </is>
      </c>
      <c r="D589" s="17" t="n">
        <v>31333</v>
      </c>
      <c r="E589" s="18" t="n"/>
      <c r="G589" s="19">
        <f>IF(Data!AC563&gt;0,RANK(Data!AC563,Data!$AC$5:$AC$804),"")</f>
        <v/>
      </c>
      <c r="H589" s="19">
        <f>IF(N(D589)&gt;0,RANK(D589,$D$31:$D$830),"")</f>
        <v/>
      </c>
    </row>
    <row r="590">
      <c r="A590" s="15" t="n">
        <v>560</v>
      </c>
      <c r="B590" s="16" t="inlineStr">
        <is>
          <t>5012345119663</t>
        </is>
      </c>
      <c r="C590" s="7" t="inlineStr">
        <is>
          <t>Beef bolognese sauce, 690g</t>
        </is>
      </c>
      <c r="D590" s="17" t="n">
        <v>9029</v>
      </c>
      <c r="E590" s="18" t="n"/>
      <c r="G590" s="19">
        <f>IF(Data!AC564&gt;0,RANK(Data!AC564,Data!$AC$5:$AC$804),"")</f>
        <v/>
      </c>
      <c r="H590" s="19">
        <f>IF(N(D590)&gt;0,RANK(D590,$D$31:$D$830),"")</f>
        <v/>
      </c>
    </row>
    <row r="591">
      <c r="A591" s="15" t="n">
        <v>561</v>
      </c>
      <c r="B591" s="16" t="inlineStr">
        <is>
          <t>8712345134792</t>
        </is>
      </c>
      <c r="C591" s="7" t="inlineStr">
        <is>
          <t>Fruit &amp; nut muesli, 500g</t>
        </is>
      </c>
      <c r="D591" s="17" t="n">
        <v>12455</v>
      </c>
      <c r="E591" s="18" t="n"/>
      <c r="G591" s="19">
        <f>IF(Data!AC565&gt;0,RANK(Data!AC565,Data!$AC$5:$AC$804),"")</f>
        <v/>
      </c>
      <c r="H591" s="19">
        <f>IF(N(D591)&gt;0,RANK(D591,$D$31:$D$830),"")</f>
        <v/>
      </c>
    </row>
    <row r="592">
      <c r="A592" s="15" t="n">
        <v>562</v>
      </c>
      <c r="B592" s="16" t="inlineStr">
        <is>
          <t>8712345429355</t>
        </is>
      </c>
      <c r="C592" s="7" t="inlineStr">
        <is>
          <t>Sea bass fillets, 2x125g</t>
        </is>
      </c>
      <c r="D592" s="17" t="n">
        <v>24799</v>
      </c>
      <c r="E592" s="18" t="n"/>
      <c r="G592" s="19">
        <f>IF(Data!AC566&gt;0,RANK(Data!AC566,Data!$AC$5:$AC$804),"")</f>
        <v/>
      </c>
      <c r="H592" s="19">
        <f>IF(N(D592)&gt;0,RANK(D592,$D$31:$D$830),"")</f>
        <v/>
      </c>
    </row>
    <row r="593">
      <c r="A593" s="15" t="n">
        <v>563</v>
      </c>
      <c r="B593" s="16" t="inlineStr">
        <is>
          <t>5012345854199</t>
        </is>
      </c>
      <c r="C593" s="7" t="inlineStr">
        <is>
          <t>Digestive biscuits, 400g</t>
        </is>
      </c>
      <c r="D593" s="17" t="n">
        <v>15484</v>
      </c>
      <c r="E593" s="18" t="n"/>
      <c r="G593" s="19">
        <f>IF(Data!AC567&gt;0,RANK(Data!AC567,Data!$AC$5:$AC$804),"")</f>
        <v/>
      </c>
      <c r="H593" s="19">
        <f>IF(N(D593)&gt;0,RANK(D593,$D$31:$D$830),"")</f>
        <v/>
      </c>
    </row>
    <row r="594">
      <c r="A594" s="15" t="n">
        <v>564</v>
      </c>
      <c r="B594" s="16" t="inlineStr">
        <is>
          <t>5012345519098</t>
        </is>
      </c>
      <c r="C594" s="7" t="inlineStr">
        <is>
          <t>Cherry yoghurt, 4x125g</t>
        </is>
      </c>
      <c r="D594" s="17" t="n">
        <v>12368</v>
      </c>
      <c r="E594" s="18" t="n"/>
      <c r="G594" s="19">
        <f>IF(Data!AC568&gt;0,RANK(Data!AC568,Data!$AC$5:$AC$804),"")</f>
        <v/>
      </c>
      <c r="H594" s="19">
        <f>IF(N(D594)&gt;0,RANK(D594,$D$31:$D$830),"")</f>
        <v/>
      </c>
    </row>
    <row r="595">
      <c r="A595" s="15" t="n">
        <v>565</v>
      </c>
      <c r="B595" s="16" t="inlineStr">
        <is>
          <t>3012345425421</t>
        </is>
      </c>
      <c r="C595" s="7" t="inlineStr">
        <is>
          <t>Yoghurt with cereal topping, 4x115g</t>
        </is>
      </c>
      <c r="D595" s="17" t="n">
        <v>13383</v>
      </c>
      <c r="E595" s="18" t="n"/>
      <c r="G595" s="19">
        <f>IF(Data!AC569&gt;0,RANK(Data!AC569,Data!$AC$5:$AC$804),"")</f>
        <v/>
      </c>
      <c r="H595" s="19">
        <f>IF(N(D595)&gt;0,RANK(D595,$D$31:$D$830),"")</f>
        <v/>
      </c>
    </row>
    <row r="596">
      <c r="A596" s="15" t="n">
        <v>566</v>
      </c>
      <c r="B596" s="16" t="inlineStr">
        <is>
          <t>4012345203301</t>
        </is>
      </c>
      <c r="C596" s="7" t="inlineStr">
        <is>
          <t>Dijon mustard, 200g</t>
        </is>
      </c>
      <c r="D596" s="17" t="n">
        <v>30769</v>
      </c>
      <c r="E596" s="18" t="n"/>
      <c r="G596" s="19">
        <f>IF(Data!AC570&gt;0,RANK(Data!AC570,Data!$AC$5:$AC$804),"")</f>
        <v/>
      </c>
      <c r="H596" s="19">
        <f>IF(N(D596)&gt;0,RANK(D596,$D$31:$D$830),"")</f>
        <v/>
      </c>
    </row>
    <row r="597">
      <c r="A597" s="15" t="n">
        <v>567</v>
      </c>
      <c r="B597" s="16" t="inlineStr">
        <is>
          <t>5012345203409</t>
        </is>
      </c>
      <c r="C597" s="7" t="inlineStr">
        <is>
          <t>Carrot cake, 400g</t>
        </is>
      </c>
      <c r="D597" s="17" t="n">
        <v>15367</v>
      </c>
      <c r="E597" s="18" t="n"/>
      <c r="G597" s="19">
        <f>IF(Data!AC571&gt;0,RANK(Data!AC571,Data!$AC$5:$AC$804),"")</f>
        <v/>
      </c>
      <c r="H597" s="19">
        <f>IF(N(D597)&gt;0,RANK(D597,$D$31:$D$830),"")</f>
        <v/>
      </c>
    </row>
    <row r="598">
      <c r="A598" s="15" t="n">
        <v>568</v>
      </c>
      <c r="B598" s="16" t="inlineStr">
        <is>
          <t>4012345405163</t>
        </is>
      </c>
      <c r="C598" s="7" t="inlineStr">
        <is>
          <t>Salted peanuts, 200g</t>
        </is>
      </c>
      <c r="D598" s="17" t="n">
        <v>30492</v>
      </c>
      <c r="E598" s="18" t="n"/>
      <c r="G598" s="19">
        <f>IF(Data!AC572&gt;0,RANK(Data!AC572,Data!$AC$5:$AC$804),"")</f>
        <v/>
      </c>
      <c r="H598" s="19">
        <f>IF(N(D598)&gt;0,RANK(D598,$D$31:$D$830),"")</f>
        <v/>
      </c>
    </row>
    <row r="599">
      <c r="A599" s="15" t="n">
        <v>569</v>
      </c>
      <c r="B599" s="16" t="inlineStr">
        <is>
          <t>5012345094673</t>
        </is>
      </c>
      <c r="C599" s="7" t="inlineStr">
        <is>
          <t>Egg fettuccine, 250g</t>
        </is>
      </c>
      <c r="D599" s="17" t="n">
        <v>24391</v>
      </c>
      <c r="E599" s="18" t="n"/>
      <c r="G599" s="19">
        <f>IF(Data!AC573&gt;0,RANK(Data!AC573,Data!$AC$5:$AC$804),"")</f>
        <v/>
      </c>
      <c r="H599" s="19">
        <f>IF(N(D599)&gt;0,RANK(D599,$D$31:$D$830),"")</f>
        <v/>
      </c>
    </row>
    <row r="600">
      <c r="A600" s="15" t="n">
        <v>570</v>
      </c>
      <c r="B600" s="16" t="inlineStr">
        <is>
          <t>4012345899306</t>
        </is>
      </c>
      <c r="C600" s="7" t="inlineStr">
        <is>
          <t>Chickpeas in water, 400g</t>
        </is>
      </c>
      <c r="D600" s="17" t="n">
        <v>15188</v>
      </c>
      <c r="E600" s="18" t="n"/>
      <c r="G600" s="19">
        <f>IF(Data!AC574&gt;0,RANK(Data!AC574,Data!$AC$5:$AC$804),"")</f>
        <v/>
      </c>
      <c r="H600" s="19">
        <f>IF(N(D600)&gt;0,RANK(D600,$D$31:$D$830),"")</f>
        <v/>
      </c>
    </row>
    <row r="601">
      <c r="A601" s="15" t="n">
        <v>571</v>
      </c>
      <c r="B601" s="16" t="inlineStr">
        <is>
          <t>3012345155106</t>
        </is>
      </c>
      <c r="C601" s="7" t="inlineStr">
        <is>
          <t>Test item</t>
        </is>
      </c>
      <c r="D601" s="17" t="n">
        <v>20114</v>
      </c>
      <c r="E601" s="18" t="n"/>
      <c r="G601" s="19">
        <f>IF(Data!AC575&gt;0,RANK(Data!AC575,Data!$AC$5:$AC$804),"")</f>
        <v/>
      </c>
      <c r="H601" s="19">
        <f>IF(N(D601)&gt;0,RANK(D601,$D$31:$D$830),"")</f>
        <v/>
      </c>
    </row>
    <row r="602">
      <c r="A602" s="15" t="n">
        <v>572</v>
      </c>
      <c r="B602" s="16" t="inlineStr">
        <is>
          <t>5012345254128</t>
        </is>
      </c>
      <c r="C602" s="7" t="inlineStr">
        <is>
          <t>Brown basmati rice, 500g</t>
        </is>
      </c>
      <c r="D602" s="17" t="n">
        <v>11987</v>
      </c>
      <c r="E602" s="18" t="n"/>
      <c r="G602" s="19">
        <f>IF(Data!AC576&gt;0,RANK(Data!AC576,Data!$AC$5:$AC$804),"")</f>
        <v/>
      </c>
      <c r="H602" s="19">
        <f>IF(N(D602)&gt;0,RANK(D602,$D$31:$D$830),"")</f>
        <v/>
      </c>
    </row>
    <row r="603">
      <c r="A603" s="15" t="n">
        <v>573</v>
      </c>
      <c r="B603" s="16" t="inlineStr">
        <is>
          <t>4012345317305</t>
        </is>
      </c>
      <c r="C603" s="7" t="inlineStr">
        <is>
          <t>Plant-based nuggets, 6pk 270g</t>
        </is>
      </c>
      <c r="D603" s="17" t="n">
        <v>22193</v>
      </c>
      <c r="E603" s="18" t="n"/>
      <c r="G603" s="19">
        <f>IF(Data!AC577&gt;0,RANK(Data!AC577,Data!$AC$5:$AC$804),"")</f>
        <v/>
      </c>
      <c r="H603" s="19">
        <f>IF(N(D603)&gt;0,RANK(D603,$D$31:$D$830),"")</f>
        <v/>
      </c>
    </row>
    <row r="604">
      <c r="A604" s="15" t="n">
        <v>574</v>
      </c>
      <c r="B604" s="16" t="inlineStr">
        <is>
          <t>3012345738194</t>
        </is>
      </c>
      <c r="C604" s="7" t="inlineStr">
        <is>
          <t>Organic free-range eggs, 12pk</t>
        </is>
      </c>
      <c r="D604" s="17" t="n">
        <v>8275</v>
      </c>
      <c r="E604" s="18" t="n"/>
      <c r="G604" s="19">
        <f>IF(Data!AC578&gt;0,RANK(Data!AC578,Data!$AC$5:$AC$804),"")</f>
        <v/>
      </c>
      <c r="H604" s="19">
        <f>IF(N(D604)&gt;0,RANK(D604,$D$31:$D$830),"")</f>
        <v/>
      </c>
    </row>
    <row r="605">
      <c r="A605" s="15" t="n">
        <v>575</v>
      </c>
      <c r="B605" s="16" t="inlineStr">
        <is>
          <t>3012345556842</t>
        </is>
      </c>
      <c r="C605" s="7" t="inlineStr">
        <is>
          <t>Farfalle, 500g</t>
        </is>
      </c>
      <c r="D605" s="17" t="n">
        <v>11875</v>
      </c>
      <c r="E605" s="18" t="n"/>
      <c r="G605" s="19">
        <f>IF(Data!AC579&gt;0,RANK(Data!AC579,Data!$AC$5:$AC$804),"")</f>
        <v/>
      </c>
      <c r="H605" s="19">
        <f>IF(N(D605)&gt;0,RANK(D605,$D$31:$D$830),"")</f>
        <v/>
      </c>
    </row>
    <row r="606">
      <c r="A606" s="15" t="n">
        <v>576</v>
      </c>
      <c r="B606" s="16" t="inlineStr">
        <is>
          <t>4012345070026</t>
        </is>
      </c>
      <c r="C606" s="7" t="inlineStr">
        <is>
          <t>Parmesan wedge, 800g</t>
        </is>
      </c>
      <c r="D606" s="17" t="n">
        <v>7372</v>
      </c>
      <c r="E606" s="18" t="n"/>
      <c r="G606" s="19">
        <f>IF(Data!AC580&gt;0,RANK(Data!AC580,Data!$AC$5:$AC$804),"")</f>
        <v/>
      </c>
      <c r="H606" s="19">
        <f>IF(N(D606)&gt;0,RANK(D606,$D$31:$D$830),"")</f>
        <v/>
      </c>
    </row>
    <row r="607">
      <c r="A607" s="15" t="n">
        <v>577</v>
      </c>
      <c r="B607" s="16" t="inlineStr">
        <is>
          <t>5012345501673</t>
        </is>
      </c>
      <c r="C607" s="7" t="inlineStr">
        <is>
          <t>Spreadable butter, 500g</t>
        </is>
      </c>
      <c r="D607" s="17" t="n">
        <v>11793</v>
      </c>
      <c r="E607" s="18" t="n"/>
      <c r="G607" s="19">
        <f>IF(Data!AC581&gt;0,RANK(Data!AC581,Data!$AC$5:$AC$804),"")</f>
        <v/>
      </c>
      <c r="H607" s="19">
        <f>IF(N(D607)&gt;0,RANK(D607,$D$31:$D$830),"")</f>
        <v/>
      </c>
    </row>
    <row r="608">
      <c r="A608" s="15" t="n">
        <v>578</v>
      </c>
      <c r="B608" s="16" t="inlineStr">
        <is>
          <t>5012345039732</t>
        </is>
      </c>
      <c r="C608" s="7" t="inlineStr">
        <is>
          <t>Red split lentils, 1kg</t>
        </is>
      </c>
      <c r="D608" s="17" t="n">
        <v>5890</v>
      </c>
      <c r="E608" s="18" t="n"/>
      <c r="G608" s="19">
        <f>IF(Data!AC582&gt;0,RANK(Data!AC582,Data!$AC$5:$AC$804),"")</f>
        <v/>
      </c>
      <c r="H608" s="19">
        <f>IF(N(D608)&gt;0,RANK(D608,$D$31:$D$830),"")</f>
        <v/>
      </c>
    </row>
    <row r="609">
      <c r="A609" s="15" t="n">
        <v>579</v>
      </c>
      <c r="B609" s="16" t="inlineStr">
        <is>
          <t>8712345003319</t>
        </is>
      </c>
      <c r="C609" s="7" t="inlineStr">
        <is>
          <t>Cheese &amp; onion crisps, 6pk 150g</t>
        </is>
      </c>
      <c r="D609" s="17" t="n">
        <v>39178</v>
      </c>
      <c r="E609" s="18" t="n"/>
      <c r="G609" s="19">
        <f>IF(Data!AC583&gt;0,RANK(Data!AC583,Data!$AC$5:$AC$804),"")</f>
        <v/>
      </c>
      <c r="H609" s="19">
        <f>IF(N(D609)&gt;0,RANK(D609,$D$31:$D$830),"")</f>
        <v/>
      </c>
    </row>
    <row r="610">
      <c r="A610" s="15" t="n">
        <v>580</v>
      </c>
      <c r="B610" s="16" t="inlineStr">
        <is>
          <t>5012345667348</t>
        </is>
      </c>
      <c r="C610" s="7" t="inlineStr">
        <is>
          <t>Brioche rolls, 8pk 280g</t>
        </is>
      </c>
      <c r="D610" s="17" t="n">
        <v>20942</v>
      </c>
      <c r="E610" s="18" t="n"/>
      <c r="G610" s="19">
        <f>IF(Data!AC584&gt;0,RANK(Data!AC584,Data!$AC$5:$AC$804),"")</f>
        <v/>
      </c>
      <c r="H610" s="19">
        <f>IF(N(D610)&gt;0,RANK(D610,$D$31:$D$830),"")</f>
        <v/>
      </c>
    </row>
    <row r="611">
      <c r="A611" s="15" t="n">
        <v>581</v>
      </c>
      <c r="B611" s="16" t="inlineStr">
        <is>
          <t>3012345845908</t>
        </is>
      </c>
      <c r="C611" s="7" t="inlineStr">
        <is>
          <t>Mozzarella, 250g</t>
        </is>
      </c>
      <c r="D611" s="17" t="n">
        <v>23386</v>
      </c>
      <c r="E611" s="18" t="n"/>
      <c r="G611" s="19">
        <f>IF(Data!AC585&gt;0,RANK(Data!AC585,Data!$AC$5:$AC$804),"")</f>
        <v/>
      </c>
      <c r="H611" s="19">
        <f>IF(N(D611)&gt;0,RANK(D611,$D$31:$D$830),"")</f>
        <v/>
      </c>
    </row>
    <row r="612">
      <c r="A612" s="15" t="n">
        <v>582</v>
      </c>
      <c r="B612" s="16" t="inlineStr">
        <is>
          <t>5012345672236</t>
        </is>
      </c>
      <c r="C612" s="7" t="inlineStr">
        <is>
          <t>Pains au chocolat, 6pk 270g</t>
        </is>
      </c>
      <c r="D612" s="17" t="n">
        <v>21599</v>
      </c>
      <c r="E612" s="18" t="n"/>
      <c r="G612" s="19">
        <f>IF(Data!AC586&gt;0,RANK(Data!AC586,Data!$AC$5:$AC$804),"")</f>
        <v/>
      </c>
      <c r="H612" s="19">
        <f>IF(N(D612)&gt;0,RANK(D612,$D$31:$D$830),"")</f>
        <v/>
      </c>
    </row>
    <row r="613">
      <c r="A613" s="15" t="n">
        <v>583</v>
      </c>
      <c r="B613" s="16" t="inlineStr">
        <is>
          <t>3012345600378</t>
        </is>
      </c>
      <c r="C613" s="7" t="inlineStr">
        <is>
          <t>Leeks</t>
        </is>
      </c>
      <c r="D613" s="17" t="n">
        <v>19364</v>
      </c>
      <c r="E613" s="18" t="n"/>
      <c r="G613" s="19">
        <f>IF(Data!AC587&gt;0,RANK(Data!AC587,Data!$AC$5:$AC$804),"")</f>
        <v/>
      </c>
      <c r="H613" s="19">
        <f>IF(N(D613)&gt;0,RANK(D613,$D$31:$D$830),"")</f>
        <v/>
      </c>
    </row>
    <row r="614">
      <c r="A614" s="15" t="n">
        <v>584</v>
      </c>
      <c r="B614" s="16" t="inlineStr">
        <is>
          <t>4012345286496</t>
        </is>
      </c>
      <c r="C614" s="7" t="inlineStr">
        <is>
          <t>Cheese &amp; onion quiche, 2x400g</t>
        </is>
      </c>
      <c r="D614" s="17" t="n">
        <v>7226</v>
      </c>
      <c r="E614" s="18" t="n"/>
      <c r="G614" s="19">
        <f>IF(Data!AC588&gt;0,RANK(Data!AC588,Data!$AC$5:$AC$804),"")</f>
        <v/>
      </c>
      <c r="H614" s="19">
        <f>IF(N(D614)&gt;0,RANK(D614,$D$31:$D$830),"")</f>
        <v/>
      </c>
    </row>
    <row r="615">
      <c r="A615" s="15" t="n">
        <v>585</v>
      </c>
      <c r="B615" s="16" t="inlineStr">
        <is>
          <t>3012345412360</t>
        </is>
      </c>
      <c r="C615" s="7" t="inlineStr">
        <is>
          <t>Extra virgin olive oil, 500ml</t>
        </is>
      </c>
      <c r="D615" s="17" t="n">
        <v>12470</v>
      </c>
      <c r="E615" s="18" t="n"/>
      <c r="G615" s="19">
        <f>IF(Data!AC589&gt;0,RANK(Data!AC589,Data!$AC$5:$AC$804),"")</f>
        <v/>
      </c>
      <c r="H615" s="19">
        <f>IF(N(D615)&gt;0,RANK(D615,$D$31:$D$830),"")</f>
        <v/>
      </c>
    </row>
    <row r="616">
      <c r="A616" s="15" t="n">
        <v>586</v>
      </c>
      <c r="B616" s="16" t="inlineStr">
        <is>
          <t>4012345597295</t>
        </is>
      </c>
      <c r="C616" s="7" t="inlineStr">
        <is>
          <t>Ripe avocado</t>
        </is>
      </c>
      <c r="D616" s="17" t="n">
        <v>28643</v>
      </c>
      <c r="E616" s="18" t="n"/>
      <c r="G616" s="19">
        <f>IF(Data!AC590&gt;0,RANK(Data!AC590,Data!$AC$5:$AC$804),"")</f>
        <v/>
      </c>
      <c r="H616" s="19">
        <f>IF(N(D616)&gt;0,RANK(D616,$D$31:$D$830),"")</f>
        <v/>
      </c>
    </row>
    <row r="617">
      <c r="A617" s="15" t="n">
        <v>587</v>
      </c>
      <c r="B617" s="16" t="inlineStr">
        <is>
          <t>5012345483115</t>
        </is>
      </c>
      <c r="C617" s="7" t="inlineStr">
        <is>
          <t>Cheese &amp; pickle sandwich, 170g</t>
        </is>
      </c>
      <c r="D617" s="17" t="n">
        <v>33299</v>
      </c>
      <c r="E617" s="18" t="n"/>
      <c r="G617" s="19">
        <f>IF(Data!AC591&gt;0,RANK(Data!AC591,Data!$AC$5:$AC$804),"")</f>
        <v/>
      </c>
      <c r="H617" s="19">
        <f>IF(N(D617)&gt;0,RANK(D617,$D$31:$D$830),"")</f>
        <v/>
      </c>
    </row>
    <row r="618">
      <c r="A618" s="15" t="n">
        <v>588</v>
      </c>
      <c r="B618" s="16" t="inlineStr">
        <is>
          <t>3012345455800</t>
        </is>
      </c>
      <c r="C618" s="7" t="inlineStr">
        <is>
          <t>Nut &amp; dark chocolate bars, 4x30g</t>
        </is>
      </c>
      <c r="D618" s="17" t="n">
        <v>47085</v>
      </c>
      <c r="E618" s="18" t="n"/>
      <c r="G618" s="19">
        <f>IF(Data!AC592&gt;0,RANK(Data!AC592,Data!$AC$5:$AC$804),"")</f>
        <v/>
      </c>
      <c r="H618" s="19">
        <f>IF(N(D618)&gt;0,RANK(D618,$D$31:$D$830),"")</f>
        <v/>
      </c>
    </row>
    <row r="619">
      <c r="A619" s="15" t="n">
        <v>589</v>
      </c>
      <c r="B619" s="16" t="inlineStr">
        <is>
          <t>8712345180218</t>
        </is>
      </c>
      <c r="C619" s="7" t="inlineStr">
        <is>
          <t>Strawberry skyr, 4x125g</t>
        </is>
      </c>
      <c r="D619" s="17" t="n">
        <v>11199</v>
      </c>
      <c r="E619" s="18" t="n"/>
      <c r="G619" s="19">
        <f>IF(Data!AC593&gt;0,RANK(Data!AC593,Data!$AC$5:$AC$804),"")</f>
        <v/>
      </c>
      <c r="H619" s="19">
        <f>IF(N(D619)&gt;0,RANK(D619,$D$31:$D$830),"")</f>
        <v/>
      </c>
    </row>
    <row r="620">
      <c r="A620" s="15" t="n">
        <v>590</v>
      </c>
      <c r="B620" s="16" t="inlineStr">
        <is>
          <t>5012345231587</t>
        </is>
      </c>
      <c r="C620" s="7" t="inlineStr">
        <is>
          <t>Ready salted crisps, 6pk 150g</t>
        </is>
      </c>
      <c r="D620" s="17" t="n">
        <v>37079</v>
      </c>
      <c r="E620" s="18" t="n"/>
      <c r="G620" s="19">
        <f>IF(Data!AC594&gt;0,RANK(Data!AC594,Data!$AC$5:$AC$804),"")</f>
        <v/>
      </c>
      <c r="H620" s="19">
        <f>IF(N(D620)&gt;0,RANK(D620,$D$31:$D$830),"")</f>
        <v/>
      </c>
    </row>
    <row r="621">
      <c r="A621" s="15" t="n">
        <v>591</v>
      </c>
      <c r="B621" s="16" t="inlineStr">
        <is>
          <t>5012345612966</t>
        </is>
      </c>
      <c r="C621" s="7" t="inlineStr">
        <is>
          <t>Firm tofu, 280g</t>
        </is>
      </c>
      <c r="D621" s="17" t="n">
        <v>19761</v>
      </c>
      <c r="E621" s="18" t="n"/>
      <c r="G621" s="19">
        <f>IF(Data!AC595&gt;0,RANK(Data!AC595,Data!$AC$5:$AC$804),"")</f>
        <v/>
      </c>
      <c r="H621" s="19">
        <f>IF(N(D621)&gt;0,RANK(D621,$D$31:$D$830),"")</f>
        <v/>
      </c>
    </row>
    <row r="622">
      <c r="A622" s="15" t="n">
        <v>592</v>
      </c>
      <c r="B622" s="16" t="inlineStr">
        <is>
          <t>8712345081546</t>
        </is>
      </c>
      <c r="C622" s="7" t="inlineStr">
        <is>
          <t>Tuna chunks in brine, 160g</t>
        </is>
      </c>
      <c r="D622" s="17" t="n">
        <v>34508</v>
      </c>
      <c r="E622" s="18" t="n"/>
      <c r="G622" s="19">
        <f>IF(Data!AC596&gt;0,RANK(Data!AC596,Data!$AC$5:$AC$804),"")</f>
        <v/>
      </c>
      <c r="H622" s="19">
        <f>IF(N(D622)&gt;0,RANK(D622,$D$31:$D$830),"")</f>
        <v/>
      </c>
    </row>
    <row r="623">
      <c r="A623" s="15" t="n">
        <v>593</v>
      </c>
      <c r="B623" s="16" t="inlineStr">
        <is>
          <t>5012345297163</t>
        </is>
      </c>
      <c r="C623" s="7" t="inlineStr">
        <is>
          <t>Strawberry yoghurt, 6x125g</t>
        </is>
      </c>
      <c r="D623" s="17" t="n">
        <v>7359</v>
      </c>
      <c r="E623" s="18" t="n"/>
      <c r="G623" s="19">
        <f>IF(Data!AC597&gt;0,RANK(Data!AC597,Data!$AC$5:$AC$804),"")</f>
        <v/>
      </c>
      <c r="H623" s="19">
        <f>IF(N(D623)&gt;0,RANK(D623,$D$31:$D$830),"")</f>
        <v/>
      </c>
    </row>
    <row r="624">
      <c r="A624" s="15" t="n">
        <v>594</v>
      </c>
      <c r="B624" s="16" t="inlineStr">
        <is>
          <t>8712345624866</t>
        </is>
      </c>
      <c r="C624" s="7" t="inlineStr">
        <is>
          <t>Medium roast ground coffee, 80pk 250g</t>
        </is>
      </c>
      <c r="D624" s="17" t="n">
        <v>21922</v>
      </c>
      <c r="E624" s="18" t="n"/>
      <c r="G624" s="19">
        <f>IF(Data!AC598&gt;0,RANK(Data!AC598,Data!$AC$5:$AC$804),"")</f>
        <v/>
      </c>
      <c r="H624" s="19">
        <f>IF(N(D624)&gt;0,RANK(D624,$D$31:$D$830),"")</f>
        <v/>
      </c>
    </row>
    <row r="625">
      <c r="A625" s="15" t="n">
        <v>595</v>
      </c>
      <c r="B625" s="16" t="inlineStr">
        <is>
          <t>8712345180911</t>
        </is>
      </c>
      <c r="C625" s="7" t="inlineStr">
        <is>
          <t>Camembert, 250g</t>
        </is>
      </c>
      <c r="D625" s="17" t="n">
        <v>21827</v>
      </c>
      <c r="E625" s="18" t="n"/>
      <c r="G625" s="19">
        <f>IF(Data!AC599&gt;0,RANK(Data!AC599,Data!$AC$5:$AC$804),"")</f>
        <v/>
      </c>
      <c r="H625" s="19">
        <f>IF(N(D625)&gt;0,RANK(D625,$D$31:$D$830),"")</f>
        <v/>
      </c>
    </row>
    <row r="626">
      <c r="A626" s="15" t="n">
        <v>596</v>
      </c>
      <c r="B626" s="16" t="inlineStr">
        <is>
          <t>5012345479392</t>
        </is>
      </c>
      <c r="C626" s="7" t="inlineStr">
        <is>
          <t>Honey &amp; mustard pork steaks, 700g</t>
        </is>
      </c>
      <c r="D626" s="17" t="n">
        <v>7788</v>
      </c>
      <c r="E626" s="18" t="n"/>
      <c r="G626" s="19">
        <f>IF(Data!AC600&gt;0,RANK(Data!AC600,Data!$AC$5:$AC$804),"")</f>
        <v/>
      </c>
      <c r="H626" s="19">
        <f>IF(N(D626)&gt;0,RANK(D626,$D$31:$D$830),"")</f>
        <v/>
      </c>
    </row>
    <row r="627">
      <c r="A627" s="15" t="n">
        <v>597</v>
      </c>
      <c r="B627" s="16" t="inlineStr">
        <is>
          <t>0012345047107</t>
        </is>
      </c>
      <c r="C627" s="7" t="inlineStr">
        <is>
          <t>Chocolate rice pops, 500g</t>
        </is>
      </c>
      <c r="D627" s="17" t="n">
        <v>10756</v>
      </c>
      <c r="E627" s="18" t="n"/>
      <c r="G627" s="19">
        <f>IF(Data!AC601&gt;0,RANK(Data!AC601,Data!$AC$5:$AC$804),"")</f>
        <v/>
      </c>
      <c r="H627" s="19">
        <f>IF(N(D627)&gt;0,RANK(D627,$D$31:$D$830),"")</f>
        <v/>
      </c>
    </row>
    <row r="628">
      <c r="A628" s="15" t="n">
        <v>598</v>
      </c>
      <c r="B628" s="16" t="inlineStr">
        <is>
          <t>3012345840330</t>
        </is>
      </c>
      <c r="C628" s="7" t="inlineStr">
        <is>
          <t>Chocolate fudge cake, 400g</t>
        </is>
      </c>
      <c r="D628" s="17" t="n">
        <v>13335</v>
      </c>
      <c r="E628" s="18" t="n"/>
      <c r="G628" s="19">
        <f>IF(Data!AC602&gt;0,RANK(Data!AC602,Data!$AC$5:$AC$804),"")</f>
        <v/>
      </c>
      <c r="H628" s="19">
        <f>IF(N(D628)&gt;0,RANK(D628,$D$31:$D$830),"")</f>
        <v/>
      </c>
    </row>
    <row r="629">
      <c r="A629" s="15" t="n">
        <v>599</v>
      </c>
      <c r="B629" s="16" t="inlineStr">
        <is>
          <t>5012345720333</t>
        </is>
      </c>
      <c r="C629" s="7" t="inlineStr">
        <is>
          <t>Seitan pieces, 200g</t>
        </is>
      </c>
      <c r="D629" s="17" t="n">
        <v>26603</v>
      </c>
      <c r="E629" s="18" t="n"/>
      <c r="G629" s="19">
        <f>IF(Data!AC603&gt;0,RANK(Data!AC603,Data!$AC$5:$AC$804),"")</f>
        <v/>
      </c>
      <c r="H629" s="19">
        <f>IF(N(D629)&gt;0,RANK(D629,$D$31:$D$830),"")</f>
        <v/>
      </c>
    </row>
    <row r="630">
      <c r="A630" s="15" t="n">
        <v>600</v>
      </c>
      <c r="B630" s="16" t="inlineStr">
        <is>
          <t>3012345025911</t>
        </is>
      </c>
      <c r="C630" s="7" t="inlineStr">
        <is>
          <t>Salted butter, 250g</t>
        </is>
      </c>
      <c r="D630" s="17" t="n">
        <v>21274</v>
      </c>
      <c r="E630" s="18" t="n"/>
      <c r="G630" s="19">
        <f>IF(Data!AC604&gt;0,RANK(Data!AC604,Data!$AC$5:$AC$804),"")</f>
        <v/>
      </c>
      <c r="H630" s="19">
        <f>IF(N(D630)&gt;0,RANK(D630,$D$31:$D$830),"")</f>
        <v/>
      </c>
    </row>
    <row r="631">
      <c r="A631" s="15" t="n">
        <v>601</v>
      </c>
      <c r="B631" s="16" t="inlineStr">
        <is>
          <t>3012345741279</t>
        </is>
      </c>
      <c r="C631" s="7" t="inlineStr">
        <is>
          <t>Merlot red wine, 75cl</t>
        </is>
      </c>
      <c r="D631" s="17" t="n">
        <v>7064</v>
      </c>
      <c r="E631" s="18" t="n"/>
      <c r="G631" s="19">
        <f>IF(Data!AC605&gt;0,RANK(Data!AC605,Data!$AC$5:$AC$804),"")</f>
        <v/>
      </c>
      <c r="H631" s="19">
        <f>IF(N(D631)&gt;0,RANK(D631,$D$31:$D$830),"")</f>
        <v/>
      </c>
    </row>
    <row r="632">
      <c r="A632" s="15" t="n">
        <v>602</v>
      </c>
      <c r="B632" s="16" t="inlineStr">
        <is>
          <t>4012345667530</t>
        </is>
      </c>
      <c r="C632" s="7" t="inlineStr">
        <is>
          <t>Cod loins, 240g</t>
        </is>
      </c>
      <c r="D632" s="17" t="n">
        <v>22058</v>
      </c>
      <c r="E632" s="18" t="n"/>
      <c r="G632" s="19">
        <f>IF(Data!AC606&gt;0,RANK(Data!AC606,Data!$AC$5:$AC$804),"")</f>
        <v/>
      </c>
      <c r="H632" s="19">
        <f>IF(N(D632)&gt;0,RANK(D632,$D$31:$D$830),"")</f>
        <v/>
      </c>
    </row>
    <row r="633">
      <c r="A633" s="15" t="n">
        <v>603</v>
      </c>
      <c r="B633" s="16" t="inlineStr">
        <is>
          <t>5012345278599</t>
        </is>
      </c>
      <c r="C633" s="7" t="inlineStr">
        <is>
          <t>Macaroni cheese, 2x400g</t>
        </is>
      </c>
      <c r="D633" s="17" t="n">
        <v>6604</v>
      </c>
      <c r="E633" s="18" t="n"/>
      <c r="G633" s="19">
        <f>IF(Data!AC607&gt;0,RANK(Data!AC607,Data!$AC$5:$AC$804),"")</f>
        <v/>
      </c>
      <c r="H633" s="19">
        <f>IF(N(D633)&gt;0,RANK(D633,$D$31:$D$830),"")</f>
        <v/>
      </c>
    </row>
    <row r="634">
      <c r="A634" s="15" t="n">
        <v>604</v>
      </c>
      <c r="B634" s="16" t="inlineStr">
        <is>
          <t>3012345367073</t>
        </is>
      </c>
      <c r="C634" s="7" t="inlineStr">
        <is>
          <t>Plant-based chicken-style pieces, 400g</t>
        </is>
      </c>
      <c r="D634" s="17" t="n">
        <v>13129</v>
      </c>
      <c r="E634" s="18" t="n"/>
      <c r="G634" s="19">
        <f>IF(Data!AC608&gt;0,RANK(Data!AC608,Data!$AC$5:$AC$804),"")</f>
        <v/>
      </c>
      <c r="H634" s="19">
        <f>IF(N(D634)&gt;0,RANK(D634,$D$31:$D$830),"")</f>
        <v/>
      </c>
    </row>
    <row r="635">
      <c r="A635" s="15" t="n">
        <v>605</v>
      </c>
      <c r="B635" s="16" t="inlineStr">
        <is>
          <t>4012345634723</t>
        </is>
      </c>
      <c r="C635" s="7" t="inlineStr">
        <is>
          <t>Honey &amp; mustard pork steaks, 400g</t>
        </is>
      </c>
      <c r="D635" s="17" t="n">
        <v>13063</v>
      </c>
      <c r="E635" s="18" t="n"/>
      <c r="G635" s="19">
        <f>IF(Data!AC609&gt;0,RANK(Data!AC609,Data!$AC$5:$AC$804),"")</f>
        <v/>
      </c>
      <c r="H635" s="19">
        <f>IF(N(D635)&gt;0,RANK(D635,$D$31:$D$830),"")</f>
        <v/>
      </c>
    </row>
    <row r="636">
      <c r="A636" s="15" t="n">
        <v>606</v>
      </c>
      <c r="B636" s="16" t="inlineStr">
        <is>
          <t>3012345062206</t>
        </is>
      </c>
      <c r="C636" s="7" t="inlineStr">
        <is>
          <t>Sunflower oil, 500ml</t>
        </is>
      </c>
      <c r="D636" s="17" t="n">
        <v>11358</v>
      </c>
      <c r="E636" s="18" t="n"/>
      <c r="G636" s="19">
        <f>IF(Data!AC610&gt;0,RANK(Data!AC610,Data!$AC$5:$AC$804),"")</f>
        <v/>
      </c>
      <c r="H636" s="19">
        <f>IF(N(D636)&gt;0,RANK(D636,$D$31:$D$830),"")</f>
        <v/>
      </c>
    </row>
    <row r="637">
      <c r="A637" s="15" t="n">
        <v>607</v>
      </c>
      <c r="B637" s="16" t="inlineStr">
        <is>
          <t>4012345341256</t>
        </is>
      </c>
      <c r="C637" s="7" t="inlineStr">
        <is>
          <t>Courgettes, 300g</t>
        </is>
      </c>
      <c r="D637" s="17" t="n">
        <v>17238</v>
      </c>
      <c r="E637" s="18" t="n"/>
      <c r="G637" s="19">
        <f>IF(Data!AC611&gt;0,RANK(Data!AC611,Data!$AC$5:$AC$804),"")</f>
        <v/>
      </c>
      <c r="H637" s="19">
        <f>IF(N(D637)&gt;0,RANK(D637,$D$31:$D$830),"")</f>
        <v/>
      </c>
    </row>
    <row r="638">
      <c r="A638" s="15" t="n">
        <v>608</v>
      </c>
      <c r="B638" s="16" t="inlineStr">
        <is>
          <t>5012345551005</t>
        </is>
      </c>
      <c r="C638" s="7" t="inlineStr">
        <is>
          <t>Salmon sushi selection, 12pc 300g</t>
        </is>
      </c>
      <c r="D638" s="17" t="n">
        <v>17224</v>
      </c>
      <c r="E638" s="18" t="n"/>
      <c r="G638" s="19">
        <f>IF(Data!AC612&gt;0,RANK(Data!AC612,Data!$AC$5:$AC$804),"")</f>
        <v/>
      </c>
      <c r="H638" s="19">
        <f>IF(N(D638)&gt;0,RANK(D638,$D$31:$D$830),"")</f>
        <v/>
      </c>
    </row>
    <row r="639">
      <c r="A639" s="15" t="n">
        <v>609</v>
      </c>
      <c r="B639" s="16" t="inlineStr">
        <is>
          <t>4012345067194</t>
        </is>
      </c>
      <c r="C639" s="7" t="inlineStr">
        <is>
          <t>Cottage pie, 2x400g</t>
        </is>
      </c>
      <c r="D639" s="17" t="n">
        <v>6453</v>
      </c>
      <c r="E639" s="18" t="n"/>
      <c r="G639" s="19">
        <f>IF(Data!AC613&gt;0,RANK(Data!AC613,Data!$AC$5:$AC$804),"")</f>
        <v/>
      </c>
      <c r="H639" s="19">
        <f>IF(N(D639)&gt;0,RANK(D639,$D$31:$D$830),"")</f>
        <v/>
      </c>
    </row>
    <row r="640">
      <c r="A640" s="15" t="n">
        <v>610</v>
      </c>
      <c r="B640" s="16" t="inlineStr">
        <is>
          <t>4012345664935</t>
        </is>
      </c>
      <c r="C640" s="7" t="inlineStr">
        <is>
          <t>Vegetable curry with rice, 400g</t>
        </is>
      </c>
      <c r="D640" s="17" t="n">
        <v>12804</v>
      </c>
      <c r="E640" s="18" t="n"/>
      <c r="G640" s="19">
        <f>IF(Data!AC614&gt;0,RANK(Data!AC614,Data!$AC$5:$AC$804),"")</f>
        <v/>
      </c>
      <c r="H640" s="19">
        <f>IF(N(D640)&gt;0,RANK(D640,$D$31:$D$830),"")</f>
        <v/>
      </c>
    </row>
    <row r="641">
      <c r="A641" s="15" t="n">
        <v>611</v>
      </c>
      <c r="B641" s="16" t="inlineStr">
        <is>
          <t>5012345329888</t>
        </is>
      </c>
      <c r="C641" s="7" t="inlineStr">
        <is>
          <t>Vanilla ice cream, 900ml</t>
        </is>
      </c>
      <c r="D641" s="17" t="n">
        <v>10227</v>
      </c>
      <c r="E641" s="18" t="n"/>
      <c r="G641" s="19">
        <f>IF(Data!AC615&gt;0,RANK(Data!AC615,Data!$AC$5:$AC$804),"")</f>
        <v/>
      </c>
      <c r="H641" s="19">
        <f>IF(N(D641)&gt;0,RANK(D641,$D$31:$D$830),"")</f>
        <v/>
      </c>
    </row>
    <row r="642">
      <c r="A642" s="15" t="n">
        <v>612</v>
      </c>
      <c r="B642" s="16" t="inlineStr">
        <is>
          <t>8712345602871</t>
        </is>
      </c>
      <c r="C642" s="7" t="inlineStr">
        <is>
          <t>Wholewheat penne, 1kg</t>
        </is>
      </c>
      <c r="D642" s="17" t="n">
        <v>5102</v>
      </c>
      <c r="E642" s="18" t="n"/>
      <c r="G642" s="19">
        <f>IF(Data!AC616&gt;0,RANK(Data!AC616,Data!$AC$5:$AC$804),"")</f>
        <v/>
      </c>
      <c r="H642" s="19">
        <f>IF(N(D642)&gt;0,RANK(D642,$D$31:$D$830),"")</f>
        <v/>
      </c>
    </row>
    <row r="643">
      <c r="A643" s="15" t="n">
        <v>613</v>
      </c>
      <c r="B643" s="16" t="inlineStr">
        <is>
          <t>8712345611101</t>
        </is>
      </c>
      <c r="C643" s="7" t="inlineStr">
        <is>
          <t>Margherita pizza, 335g</t>
        </is>
      </c>
      <c r="D643" s="17" t="n">
        <v>15125</v>
      </c>
      <c r="E643" s="18" t="n"/>
      <c r="G643" s="19">
        <f>IF(Data!AC617&gt;0,RANK(Data!AC617,Data!$AC$5:$AC$804),"")</f>
        <v/>
      </c>
      <c r="H643" s="19">
        <f>IF(N(D643)&gt;0,RANK(D643,$D$31:$D$830),"")</f>
        <v/>
      </c>
    </row>
    <row r="644">
      <c r="A644" s="15" t="n">
        <v>614</v>
      </c>
      <c r="B644" s="16" t="inlineStr">
        <is>
          <t>4012345447200</t>
        </is>
      </c>
      <c r="C644" s="7" t="inlineStr">
        <is>
          <t>Pork loin chops, 400g</t>
        </is>
      </c>
      <c r="D644" s="17" t="n">
        <v>12645</v>
      </c>
      <c r="E644" s="18" t="n"/>
      <c r="G644" s="19">
        <f>IF(Data!AC618&gt;0,RANK(Data!AC618,Data!$AC$5:$AC$804),"")</f>
        <v/>
      </c>
      <c r="H644" s="19">
        <f>IF(N(D644)&gt;0,RANK(D644,$D$31:$D$830),"")</f>
        <v/>
      </c>
    </row>
    <row r="645">
      <c r="A645" s="15" t="n">
        <v>615</v>
      </c>
      <c r="B645" s="16" t="inlineStr">
        <is>
          <t>3012345733748</t>
        </is>
      </c>
      <c r="C645" s="7" t="inlineStr">
        <is>
          <t>Roast chicken slices, 180g</t>
        </is>
      </c>
      <c r="D645" s="17" t="n">
        <v>27894</v>
      </c>
      <c r="E645" s="18" t="n"/>
      <c r="G645" s="19">
        <f>IF(Data!AC619&gt;0,RANK(Data!AC619,Data!$AC$5:$AC$804),"")</f>
        <v/>
      </c>
      <c r="H645" s="19">
        <f>IF(N(D645)&gt;0,RANK(D645,$D$31:$D$830),"")</f>
        <v/>
      </c>
    </row>
    <row r="646">
      <c r="A646" s="15" t="n">
        <v>616</v>
      </c>
      <c r="B646" s="16" t="inlineStr">
        <is>
          <t>8712345899516</t>
        </is>
      </c>
      <c r="C646" s="7" t="inlineStr">
        <is>
          <t>Salt &amp; vinegar crisps, 6pk 150g</t>
        </is>
      </c>
      <c r="D646" s="17" t="n">
        <v>33409</v>
      </c>
      <c r="E646" s="18" t="n"/>
      <c r="G646" s="19">
        <f>IF(Data!AC620&gt;0,RANK(Data!AC620,Data!$AC$5:$AC$804),"")</f>
        <v/>
      </c>
      <c r="H646" s="19">
        <f>IF(N(D646)&gt;0,RANK(D646,$D$31:$D$830),"")</f>
        <v/>
      </c>
    </row>
    <row r="647">
      <c r="A647" s="15" t="n">
        <v>617</v>
      </c>
      <c r="B647" s="16" t="inlineStr">
        <is>
          <t>5012345131153</t>
        </is>
      </c>
      <c r="C647" s="7" t="inlineStr">
        <is>
          <t>Sour cream &amp; onion crisps, 150g</t>
        </is>
      </c>
      <c r="D647" s="17" t="n">
        <v>32901</v>
      </c>
      <c r="E647" s="18" t="n"/>
      <c r="G647" s="19">
        <f>IF(Data!AC621&gt;0,RANK(Data!AC621,Data!$AC$5:$AC$804),"")</f>
        <v/>
      </c>
      <c r="H647" s="19">
        <f>IF(N(D647)&gt;0,RANK(D647,$D$31:$D$830),"")</f>
        <v/>
      </c>
    </row>
    <row r="648">
      <c r="A648" s="15" t="n">
        <v>618</v>
      </c>
      <c r="B648" s="16" t="inlineStr">
        <is>
          <t>5012345623382</t>
        </is>
      </c>
      <c r="C648" s="7" t="inlineStr">
        <is>
          <t>Cooked ham, 400g</t>
        </is>
      </c>
      <c r="D648" s="17" t="n">
        <v>12266</v>
      </c>
      <c r="E648" s="18" t="n"/>
      <c r="G648" s="19">
        <f>IF(Data!AC622&gt;0,RANK(Data!AC622,Data!$AC$5:$AC$804),"")</f>
        <v/>
      </c>
      <c r="H648" s="19">
        <f>IF(N(D648)&gt;0,RANK(D648,$D$31:$D$830),"")</f>
        <v/>
      </c>
    </row>
    <row r="649">
      <c r="A649" s="15" t="n">
        <v>619</v>
      </c>
      <c r="B649" s="16" t="inlineStr">
        <is>
          <t>5012345386058</t>
        </is>
      </c>
      <c r="C649" s="7" t="inlineStr">
        <is>
          <t>Smoked salmon, 200g</t>
        </is>
      </c>
      <c r="D649" s="17" t="n">
        <v>24492</v>
      </c>
      <c r="E649" s="18" t="n"/>
      <c r="G649" s="19">
        <f>IF(Data!AC623&gt;0,RANK(Data!AC623,Data!$AC$5:$AC$804),"")</f>
        <v/>
      </c>
      <c r="H649" s="19">
        <f>IF(N(D649)&gt;0,RANK(D649,$D$31:$D$830),"")</f>
        <v/>
      </c>
    </row>
    <row r="650">
      <c r="A650" s="15" t="n">
        <v>620</v>
      </c>
      <c r="B650" s="16" t="inlineStr">
        <is>
          <t>8712345489045</t>
        </is>
      </c>
      <c r="C650" s="7" t="inlineStr">
        <is>
          <t>Plant-based burgers, 6pk 270g</t>
        </is>
      </c>
      <c r="D650" s="17" t="n">
        <v>17901</v>
      </c>
      <c r="E650" s="18" t="n"/>
      <c r="G650" s="19">
        <f>IF(Data!AC624&gt;0,RANK(Data!AC624,Data!$AC$5:$AC$804),"")</f>
        <v/>
      </c>
      <c r="H650" s="19">
        <f>IF(N(D650)&gt;0,RANK(D650,$D$31:$D$830),"")</f>
        <v/>
      </c>
    </row>
    <row r="651">
      <c r="A651" s="15" t="n">
        <v>621</v>
      </c>
      <c r="B651" s="16" t="inlineStr">
        <is>
          <t>4012345318531</t>
        </is>
      </c>
      <c r="C651" s="7" t="inlineStr">
        <is>
          <t>Corn flakes, 750g</t>
        </is>
      </c>
      <c r="D651" s="17" t="n">
        <v>6379</v>
      </c>
      <c r="E651" s="18" t="n"/>
      <c r="G651" s="19">
        <f>IF(Data!AC625&gt;0,RANK(Data!AC625,Data!$AC$5:$AC$804),"")</f>
        <v/>
      </c>
      <c r="H651" s="19">
        <f>IF(N(D651)&gt;0,RANK(D651,$D$31:$D$830),"")</f>
        <v/>
      </c>
    </row>
    <row r="652">
      <c r="A652" s="15" t="n">
        <v>622</v>
      </c>
      <c r="B652" s="16" t="inlineStr">
        <is>
          <t>5012345669212</t>
        </is>
      </c>
      <c r="C652" s="7" t="inlineStr">
        <is>
          <t>Breaded haddock fillets, 4pk 440g</t>
        </is>
      </c>
      <c r="D652" s="17" t="n">
        <v>10870</v>
      </c>
      <c r="E652" s="18" t="n"/>
      <c r="G652" s="19">
        <f>IF(Data!AC626&gt;0,RANK(Data!AC626,Data!$AC$5:$AC$804),"")</f>
        <v/>
      </c>
      <c r="H652" s="19">
        <f>IF(N(D652)&gt;0,RANK(D652,$D$31:$D$830),"")</f>
        <v/>
      </c>
    </row>
    <row r="653">
      <c r="A653" s="15" t="n">
        <v>623</v>
      </c>
      <c r="B653" s="16" t="inlineStr">
        <is>
          <t>4012345842159</t>
        </is>
      </c>
      <c r="C653" s="7" t="inlineStr">
        <is>
          <t>Lamb mince, 500g</t>
        </is>
      </c>
      <c r="D653" s="17" t="n">
        <v>9466</v>
      </c>
      <c r="E653" s="18" t="n"/>
      <c r="G653" s="19">
        <f>IF(Data!AC627&gt;0,RANK(Data!AC627,Data!$AC$5:$AC$804),"")</f>
        <v/>
      </c>
      <c r="H653" s="19">
        <f>IF(N(D653)&gt;0,RANK(D653,$D$31:$D$830),"")</f>
        <v/>
      </c>
    </row>
    <row r="654">
      <c r="A654" s="15" t="n">
        <v>624</v>
      </c>
      <c r="B654" s="16" t="inlineStr">
        <is>
          <t>3012345496261</t>
        </is>
      </c>
      <c r="C654" s="7" t="inlineStr">
        <is>
          <t>Dark chocolate with orange, 100g</t>
        </is>
      </c>
      <c r="D654" s="17" t="n">
        <v>47184</v>
      </c>
      <c r="E654" s="18" t="n"/>
      <c r="G654" s="19">
        <f>IF(Data!AC628&gt;0,RANK(Data!AC628,Data!$AC$5:$AC$804),"")</f>
        <v/>
      </c>
      <c r="H654" s="19">
        <f>IF(N(D654)&gt;0,RANK(D654,$D$31:$D$830),"")</f>
        <v/>
      </c>
    </row>
    <row r="655">
      <c r="A655" s="15" t="n">
        <v>625</v>
      </c>
      <c r="B655" s="16" t="inlineStr">
        <is>
          <t>4012345407181</t>
        </is>
      </c>
      <c r="C655" s="7" t="inlineStr">
        <is>
          <t>English breakfast tea bags, 80pk 250g</t>
        </is>
      </c>
      <c r="D655" s="17" t="n">
        <v>18873</v>
      </c>
      <c r="E655" s="18" t="n"/>
      <c r="G655" s="19">
        <f>IF(Data!AC629&gt;0,RANK(Data!AC629,Data!$AC$5:$AC$804),"")</f>
        <v/>
      </c>
      <c r="H655" s="19">
        <f>IF(N(D655)&gt;0,RANK(D655,$D$31:$D$830),"")</f>
        <v/>
      </c>
    </row>
    <row r="656">
      <c r="A656" s="15" t="n">
        <v>626</v>
      </c>
      <c r="B656" s="16" t="inlineStr">
        <is>
          <t>3012345366878</t>
        </is>
      </c>
      <c r="C656" s="7" t="inlineStr">
        <is>
          <t>Salmon sushi selection, 12pc 300g</t>
        </is>
      </c>
      <c r="D656" s="17" t="n">
        <v>15712</v>
      </c>
      <c r="E656" s="18" t="n"/>
      <c r="G656" s="19">
        <f>IF(Data!AC630&gt;0,RANK(Data!AC630,Data!$AC$5:$AC$804),"")</f>
        <v/>
      </c>
      <c r="H656" s="19">
        <f>IF(N(D656)&gt;0,RANK(D656,$D$31:$D$830),"")</f>
        <v/>
      </c>
    </row>
    <row r="657">
      <c r="A657" s="15" t="n">
        <v>627</v>
      </c>
      <c r="B657" s="16" t="inlineStr">
        <is>
          <t>5012345859880</t>
        </is>
      </c>
      <c r="C657" s="7" t="inlineStr">
        <is>
          <t>Instant coffee, 200g</t>
        </is>
      </c>
      <c r="D657" s="17" t="n">
        <v>23299</v>
      </c>
      <c r="E657" s="18" t="n"/>
      <c r="G657" s="19">
        <f>IF(Data!AC631&gt;0,RANK(Data!AC631,Data!$AC$5:$AC$804),"")</f>
        <v/>
      </c>
      <c r="H657" s="19">
        <f>IF(N(D657)&gt;0,RANK(D657,$D$31:$D$830),"")</f>
        <v/>
      </c>
    </row>
    <row r="658">
      <c r="A658" s="15" t="n">
        <v>628</v>
      </c>
      <c r="B658" s="16" t="inlineStr">
        <is>
          <t>8712345397470</t>
        </is>
      </c>
      <c r="C658" s="7" t="inlineStr">
        <is>
          <t>Strawberry milkshake, 1l</t>
        </is>
      </c>
      <c r="D658" s="17" t="n">
        <v>4498</v>
      </c>
      <c r="E658" s="18" t="n"/>
      <c r="G658" s="19">
        <f>IF(Data!AC632&gt;0,RANK(Data!AC632,Data!$AC$5:$AC$804),"")</f>
        <v/>
      </c>
      <c r="H658" s="19">
        <f>IF(N(D658)&gt;0,RANK(D658,$D$31:$D$830),"")</f>
        <v/>
      </c>
    </row>
    <row r="659">
      <c r="A659" s="15" t="n">
        <v>629</v>
      </c>
      <c r="B659" s="16" t="inlineStr">
        <is>
          <t>4012345136203</t>
        </is>
      </c>
      <c r="C659" s="7" t="inlineStr">
        <is>
          <t>Brown onions</t>
        </is>
      </c>
      <c r="D659" s="17" t="n">
        <v>15322</v>
      </c>
      <c r="E659" s="18" t="n"/>
      <c r="G659" s="19">
        <f>IF(Data!AC633&gt;0,RANK(Data!AC633,Data!$AC$5:$AC$804),"")</f>
        <v/>
      </c>
      <c r="H659" s="19">
        <f>IF(N(D659)&gt;0,RANK(D659,$D$31:$D$830),"")</f>
        <v/>
      </c>
    </row>
    <row r="660">
      <c r="A660" s="15" t="n">
        <v>630</v>
      </c>
      <c r="B660" s="16" t="inlineStr">
        <is>
          <t>4012345395389</t>
        </is>
      </c>
      <c r="C660" s="7" t="inlineStr">
        <is>
          <t>Prosecco, 75cl</t>
        </is>
      </c>
      <c r="D660" s="17" t="n">
        <v>6058</v>
      </c>
      <c r="E660" s="18" t="n"/>
      <c r="G660" s="19">
        <f>IF(Data!AC634&gt;0,RANK(Data!AC634,Data!$AC$5:$AC$804),"")</f>
        <v/>
      </c>
      <c r="H660" s="19">
        <f>IF(N(D660)&gt;0,RANK(D660,$D$31:$D$830),"")</f>
        <v/>
      </c>
    </row>
    <row r="661">
      <c r="A661" s="15" t="n">
        <v>631</v>
      </c>
      <c r="B661" s="16" t="inlineStr">
        <is>
          <t>4012345041392</t>
        </is>
      </c>
      <c r="C661" s="7" t="inlineStr">
        <is>
          <t>Paper napkins, 2pk</t>
        </is>
      </c>
      <c r="D661" s="17" t="n">
        <v>15139</v>
      </c>
      <c r="E661" s="18" t="n"/>
      <c r="G661" s="19">
        <f>IF(Data!AC635&gt;0,RANK(Data!AC635,Data!$AC$5:$AC$804),"")</f>
        <v/>
      </c>
      <c r="H661" s="19">
        <f>IF(N(D661)&gt;0,RANK(D661,$D$31:$D$830),"")</f>
        <v/>
      </c>
    </row>
    <row r="662">
      <c r="A662" s="15" t="n">
        <v>632</v>
      </c>
      <c r="B662" s="16" t="inlineStr">
        <is>
          <t>5012345820675</t>
        </is>
      </c>
      <c r="C662" s="7" t="inlineStr">
        <is>
          <t>Plant-based burgers, 400g</t>
        </is>
      </c>
      <c r="D662" s="17" t="n">
        <v>11313</v>
      </c>
      <c r="E662" s="18" t="n"/>
      <c r="G662" s="19">
        <f>IF(Data!AC636&gt;0,RANK(Data!AC636,Data!$AC$5:$AC$804),"")</f>
        <v/>
      </c>
      <c r="H662" s="19">
        <f>IF(N(D662)&gt;0,RANK(D662,$D$31:$D$830),"")</f>
        <v/>
      </c>
    </row>
    <row r="663">
      <c r="A663" s="15" t="n">
        <v>633</v>
      </c>
      <c r="B663" s="16" t="inlineStr">
        <is>
          <t>4012345746273</t>
        </is>
      </c>
      <c r="C663" s="7" t="inlineStr">
        <is>
          <t>Vegetable chilli with rice, 350g</t>
        </is>
      </c>
      <c r="D663" s="17" t="n">
        <v>12726</v>
      </c>
      <c r="E663" s="18" t="n"/>
      <c r="G663" s="19">
        <f>IF(Data!AC637&gt;0,RANK(Data!AC637,Data!$AC$5:$AC$804),"")</f>
        <v/>
      </c>
      <c r="H663" s="19">
        <f>IF(N(D663)&gt;0,RANK(D663,$D$31:$D$830),"")</f>
        <v/>
      </c>
    </row>
    <row r="664">
      <c r="A664" s="15" t="n">
        <v>634</v>
      </c>
      <c r="B664" s="16" t="inlineStr">
        <is>
          <t>5012345348537</t>
        </is>
      </c>
      <c r="C664" s="7" t="inlineStr">
        <is>
          <t>Chocolate protein shake, 4x330ml</t>
        </is>
      </c>
      <c r="D664" s="17" t="n">
        <v>3272</v>
      </c>
      <c r="E664" s="18" t="n"/>
      <c r="G664" s="19">
        <f>IF(Data!AC638&gt;0,RANK(Data!AC638,Data!$AC$5:$AC$804),"")</f>
        <v/>
      </c>
      <c r="H664" s="19">
        <f>IF(N(D664)&gt;0,RANK(D664,$D$31:$D$830),"")</f>
        <v/>
      </c>
    </row>
    <row r="665">
      <c r="A665" s="15" t="n">
        <v>635</v>
      </c>
      <c r="B665" s="16" t="inlineStr">
        <is>
          <t>4012345416510</t>
        </is>
      </c>
      <c r="C665" s="7" t="inlineStr">
        <is>
          <t>Self-raising flour, 1.5kg</t>
        </is>
      </c>
      <c r="D665" s="17" t="n">
        <v>2940</v>
      </c>
      <c r="E665" s="18" t="n"/>
      <c r="G665" s="19">
        <f>IF(Data!AC639&gt;0,RANK(Data!AC639,Data!$AC$5:$AC$804),"")</f>
        <v/>
      </c>
      <c r="H665" s="19">
        <f>IF(N(D665)&gt;0,RANK(D665,$D$31:$D$830),"")</f>
        <v/>
      </c>
    </row>
    <row r="666">
      <c r="A666" s="15" t="n">
        <v>636</v>
      </c>
      <c r="B666" s="16" t="inlineStr">
        <is>
          <t>5012345058474</t>
        </is>
      </c>
      <c r="C666" s="7" t="inlineStr">
        <is>
          <t>Tortilla chips, 200g</t>
        </is>
      </c>
      <c r="D666" s="17" t="n">
        <v>21886</v>
      </c>
      <c r="E666" s="18" t="n"/>
      <c r="G666" s="19">
        <f>IF(Data!AC640&gt;0,RANK(Data!AC640,Data!$AC$5:$AC$804),"")</f>
        <v/>
      </c>
      <c r="H666" s="19">
        <f>IF(N(D666)&gt;0,RANK(D666,$D$31:$D$830),"")</f>
        <v/>
      </c>
    </row>
    <row r="667">
      <c r="A667" s="15" t="n">
        <v>637</v>
      </c>
      <c r="B667" s="16" t="inlineStr">
        <is>
          <t>5012345933917</t>
        </is>
      </c>
      <c r="C667" s="7" t="inlineStr">
        <is>
          <t>Yoghurt &amp; granola pot, 150g</t>
        </is>
      </c>
      <c r="D667" s="17" t="n">
        <v>29046</v>
      </c>
      <c r="E667" s="18" t="n"/>
      <c r="G667" s="19">
        <f>IF(Data!AC641&gt;0,RANK(Data!AC641,Data!$AC$5:$AC$804),"")</f>
        <v/>
      </c>
      <c r="H667" s="19">
        <f>IF(N(D667)&gt;0,RANK(D667,$D$31:$D$830),"")</f>
        <v/>
      </c>
    </row>
    <row r="668">
      <c r="A668" s="15" t="n">
        <v>638</v>
      </c>
      <c r="B668" s="16" t="inlineStr">
        <is>
          <t>5012345751399</t>
        </is>
      </c>
      <c r="C668" s="7" t="inlineStr">
        <is>
          <t>Four cheese pizza, 2x320g</t>
        </is>
      </c>
      <c r="D668" s="17" t="n">
        <v>6718</v>
      </c>
      <c r="E668" s="18" t="n"/>
      <c r="G668" s="19">
        <f>IF(Data!AC642&gt;0,RANK(Data!AC642,Data!$AC$5:$AC$804),"")</f>
        <v/>
      </c>
      <c r="H668" s="19">
        <f>IF(N(D668)&gt;0,RANK(D668,$D$31:$D$830),"")</f>
        <v/>
      </c>
    </row>
    <row r="669">
      <c r="A669" s="15" t="n">
        <v>639</v>
      </c>
      <c r="B669" s="16" t="inlineStr">
        <is>
          <t>3012345947688</t>
        </is>
      </c>
      <c r="C669" s="7" t="inlineStr">
        <is>
          <t>Soft cheese with garlic &amp; herbs, 180g</t>
        </is>
      </c>
      <c r="D669" s="17" t="n">
        <v>23845</v>
      </c>
      <c r="E669" s="18" t="n"/>
      <c r="G669" s="19">
        <f>IF(Data!AC643&gt;0,RANK(Data!AC643,Data!$AC$5:$AC$804),"")</f>
        <v/>
      </c>
      <c r="H669" s="19">
        <f>IF(N(D669)&gt;0,RANK(D669,$D$31:$D$830),"")</f>
        <v/>
      </c>
    </row>
    <row r="670">
      <c r="A670" s="15" t="n">
        <v>640</v>
      </c>
      <c r="B670" s="16" t="inlineStr">
        <is>
          <t>8712345168155</t>
        </is>
      </c>
      <c r="C670" s="7" t="inlineStr">
        <is>
          <t>Plain soya yoghurt alternative, 4x125g</t>
        </is>
      </c>
      <c r="D670" s="17" t="n">
        <v>8467</v>
      </c>
      <c r="E670" s="18" t="n"/>
      <c r="G670" s="19">
        <f>IF(Data!AC644&gt;0,RANK(Data!AC644,Data!$AC$5:$AC$804),"")</f>
        <v/>
      </c>
      <c r="H670" s="19">
        <f>IF(N(D670)&gt;0,RANK(D670,$D$31:$D$830),"")</f>
        <v/>
      </c>
    </row>
    <row r="671">
      <c r="A671" s="15" t="n">
        <v>641</v>
      </c>
      <c r="B671" s="16" t="inlineStr">
        <is>
          <t>4012345906660</t>
        </is>
      </c>
      <c r="C671" s="7" t="inlineStr">
        <is>
          <t>Mixed nuts, 200g</t>
        </is>
      </c>
      <c r="D671" s="17" t="n">
        <v>21111</v>
      </c>
      <c r="E671" s="18" t="n"/>
      <c r="G671" s="19">
        <f>IF(Data!AC645&gt;0,RANK(Data!AC645,Data!$AC$5:$AC$804),"")</f>
        <v/>
      </c>
      <c r="H671" s="19">
        <f>IF(N(D671)&gt;0,RANK(D671,$D$31:$D$830),"")</f>
        <v/>
      </c>
    </row>
    <row r="672">
      <c r="A672" s="15" t="n">
        <v>642</v>
      </c>
      <c r="B672" s="16" t="inlineStr">
        <is>
          <t>5012345969794</t>
        </is>
      </c>
      <c r="C672" s="7" t="inlineStr">
        <is>
          <t>English breakfast tea bags, 1kg</t>
        </is>
      </c>
      <c r="D672" s="17" t="n">
        <v>4210</v>
      </c>
      <c r="E672" s="18" t="n"/>
      <c r="G672" s="19">
        <f>IF(Data!AC646&gt;0,RANK(Data!AC646,Data!$AC$5:$AC$804),"")</f>
        <v/>
      </c>
      <c r="H672" s="19">
        <f>IF(N(D672)&gt;0,RANK(D672,$D$31:$D$830),"")</f>
        <v/>
      </c>
    </row>
    <row r="673">
      <c r="A673" s="15" t="n">
        <v>643</v>
      </c>
      <c r="B673" s="16" t="inlineStr">
        <is>
          <t>5012345979694</t>
        </is>
      </c>
      <c r="C673" s="7" t="inlineStr">
        <is>
          <t>Plain wheat flour, 500g</t>
        </is>
      </c>
      <c r="D673" s="17" t="n">
        <v>8418</v>
      </c>
      <c r="E673" s="18" t="n"/>
      <c r="G673" s="19">
        <f>IF(Data!AC647&gt;0,RANK(Data!AC647,Data!$AC$5:$AC$804),"")</f>
        <v/>
      </c>
      <c r="H673" s="19">
        <f>IF(N(D673)&gt;0,RANK(D673,$D$31:$D$830),"")</f>
        <v/>
      </c>
    </row>
    <row r="674">
      <c r="A674" s="15" t="n">
        <v>644</v>
      </c>
      <c r="B674" s="16" t="inlineStr">
        <is>
          <t>8712345148843</t>
        </is>
      </c>
      <c r="C674" s="7" t="inlineStr">
        <is>
          <t>Salt &amp; vinegar crisps, 6pk 150g</t>
        </is>
      </c>
      <c r="D674" s="17" t="n">
        <v>27920</v>
      </c>
      <c r="E674" s="18" t="n"/>
      <c r="G674" s="19">
        <f>IF(Data!AC648&gt;0,RANK(Data!AC648,Data!$AC$5:$AC$804),"")</f>
        <v/>
      </c>
      <c r="H674" s="19">
        <f>IF(N(D674)&gt;0,RANK(D674,$D$31:$D$830),"")</f>
        <v/>
      </c>
    </row>
    <row r="675">
      <c r="A675" s="15" t="n">
        <v>645</v>
      </c>
      <c r="B675" s="16" t="inlineStr">
        <is>
          <t>3012345410786</t>
        </is>
      </c>
      <c r="C675" s="7" t="inlineStr">
        <is>
          <t>White bloomer, 250g</t>
        </is>
      </c>
      <c r="D675" s="17" t="n">
        <v>16703</v>
      </c>
      <c r="E675" s="18" t="n"/>
      <c r="G675" s="19">
        <f>IF(Data!AC649&gt;0,RANK(Data!AC649,Data!$AC$5:$AC$804),"")</f>
        <v/>
      </c>
      <c r="H675" s="19">
        <f>IF(N(D675)&gt;0,RANK(D675,$D$31:$D$830),"")</f>
        <v/>
      </c>
    </row>
    <row r="676">
      <c r="A676" s="15" t="n">
        <v>646</v>
      </c>
      <c r="B676" s="16" t="inlineStr">
        <is>
          <t>5012345851341</t>
        </is>
      </c>
      <c r="C676" s="7" t="inlineStr">
        <is>
          <t>Beef bolognese sauce, 400g</t>
        </is>
      </c>
      <c r="D676" s="17" t="n">
        <v>10403</v>
      </c>
      <c r="E676" s="18" t="n"/>
      <c r="G676" s="19">
        <f>IF(Data!AC650&gt;0,RANK(Data!AC650,Data!$AC$5:$AC$804),"")</f>
        <v/>
      </c>
      <c r="H676" s="19">
        <f>IF(N(D676)&gt;0,RANK(D676,$D$31:$D$830),"")</f>
        <v/>
      </c>
    </row>
    <row r="677">
      <c r="A677" s="15" t="n">
        <v>647</v>
      </c>
      <c r="B677" s="16" t="inlineStr">
        <is>
          <t>8712345519063</t>
        </is>
      </c>
      <c r="C677" s="7" t="inlineStr">
        <is>
          <t>London dry gin, 70cl</t>
        </is>
      </c>
      <c r="D677" s="17" t="n">
        <v>5893</v>
      </c>
      <c r="E677" s="18" t="n"/>
      <c r="G677" s="19">
        <f>IF(Data!AC651&gt;0,RANK(Data!AC651,Data!$AC$5:$AC$804),"")</f>
        <v/>
      </c>
      <c r="H677" s="19">
        <f>IF(N(D677)&gt;0,RANK(D677,$D$31:$D$830),"")</f>
        <v/>
      </c>
    </row>
    <row r="678">
      <c r="A678" s="15" t="n">
        <v>648</v>
      </c>
      <c r="B678" s="16" t="inlineStr">
        <is>
          <t>5012345538785</t>
        </is>
      </c>
      <c r="C678" s="7" t="inlineStr">
        <is>
          <t>Tuna steak in olive oil, 160g</t>
        </is>
      </c>
      <c r="D678" s="17" t="n">
        <v>25683</v>
      </c>
      <c r="E678" s="18" t="n"/>
      <c r="G678" s="19">
        <f>IF(Data!AC652&gt;0,RANK(Data!AC652,Data!$AC$5:$AC$804),"")</f>
        <v/>
      </c>
      <c r="H678" s="19">
        <f>IF(N(D678)&gt;0,RANK(D678,$D$31:$D$830),"")</f>
        <v/>
      </c>
    </row>
    <row r="679">
      <c r="A679" s="15" t="n">
        <v>649</v>
      </c>
      <c r="B679" s="16" t="inlineStr">
        <is>
          <t>8712345668419</t>
        </is>
      </c>
      <c r="C679" s="7" t="inlineStr">
        <is>
          <t>Mild cheddar, 10sl 250g</t>
        </is>
      </c>
      <c r="D679" s="17" t="n">
        <v>16346</v>
      </c>
      <c r="E679" s="18" t="n"/>
      <c r="G679" s="19">
        <f>IF(Data!AC653&gt;0,RANK(Data!AC653,Data!$AC$5:$AC$804),"")</f>
        <v/>
      </c>
      <c r="H679" s="19">
        <f>IF(N(D679)&gt;0,RANK(D679,$D$31:$D$830),"")</f>
        <v/>
      </c>
    </row>
    <row r="680">
      <c r="A680" s="15" t="n">
        <v>650</v>
      </c>
      <c r="B680" s="16" t="inlineStr">
        <is>
          <t>3012345892193</t>
        </is>
      </c>
      <c r="C680" s="7" t="inlineStr">
        <is>
          <t>Plant-based mince, 226g</t>
        </is>
      </c>
      <c r="D680" s="17" t="n">
        <v>17907</v>
      </c>
      <c r="E680" s="18" t="n"/>
      <c r="G680" s="19">
        <f>IF(Data!AC654&gt;0,RANK(Data!AC654,Data!$AC$5:$AC$804),"")</f>
        <v/>
      </c>
      <c r="H680" s="19">
        <f>IF(N(D680)&gt;0,RANK(D680,$D$31:$D$830),"")</f>
        <v/>
      </c>
    </row>
    <row r="681">
      <c r="A681" s="15" t="n">
        <v>651</v>
      </c>
      <c r="B681" s="16" t="inlineStr">
        <is>
          <t>3012345037945</t>
        </is>
      </c>
      <c r="C681" s="7" t="inlineStr">
        <is>
          <t>Piri-piri marinated chicken thighs, 500g</t>
        </is>
      </c>
      <c r="D681" s="17" t="n">
        <v>8083</v>
      </c>
      <c r="E681" s="18" t="n"/>
      <c r="G681" s="19">
        <f>IF(Data!AC655&gt;0,RANK(Data!AC655,Data!$AC$5:$AC$804),"")</f>
        <v/>
      </c>
      <c r="H681" s="19">
        <f>IF(N(D681)&gt;0,RANK(D681,$D$31:$D$830),"")</f>
        <v/>
      </c>
    </row>
    <row r="682">
      <c r="A682" s="15" t="n">
        <v>652</v>
      </c>
      <c r="B682" s="16" t="inlineStr">
        <is>
          <t>3012345671835</t>
        </is>
      </c>
      <c r="C682" s="7" t="inlineStr">
        <is>
          <t>Sardines in olive oil, 125g</t>
        </is>
      </c>
      <c r="D682" s="17" t="n">
        <v>32314</v>
      </c>
      <c r="E682" s="18" t="n"/>
      <c r="G682" s="19">
        <f>IF(Data!AC656&gt;0,RANK(Data!AC656,Data!$AC$5:$AC$804),"")</f>
        <v/>
      </c>
      <c r="H682" s="19">
        <f>IF(N(D682)&gt;0,RANK(D682,$D$31:$D$830),"")</f>
        <v/>
      </c>
    </row>
    <row r="683">
      <c r="A683" s="15" t="n">
        <v>653</v>
      </c>
      <c r="B683" s="16" t="inlineStr">
        <is>
          <t>8712345749774</t>
        </is>
      </c>
      <c r="C683" s="7" t="inlineStr">
        <is>
          <t>Mozzarella, 125g</t>
        </is>
      </c>
      <c r="D683" s="17" t="n">
        <v>32208</v>
      </c>
      <c r="E683" s="18" t="n"/>
      <c r="G683" s="19">
        <f>IF(Data!AC657&gt;0,RANK(Data!AC657,Data!$AC$5:$AC$804),"")</f>
        <v/>
      </c>
      <c r="H683" s="19">
        <f>IF(N(D683)&gt;0,RANK(D683,$D$31:$D$830),"")</f>
        <v/>
      </c>
    </row>
    <row r="684">
      <c r="A684" s="15" t="n">
        <v>654</v>
      </c>
      <c r="B684" s="16" t="inlineStr">
        <is>
          <t>3012345867603</t>
        </is>
      </c>
      <c r="C684" s="7" t="inlineStr">
        <is>
          <t>Cherry tomatoes</t>
        </is>
      </c>
      <c r="D684" s="17" t="n">
        <v>13411</v>
      </c>
      <c r="E684" s="18" t="n"/>
      <c r="G684" s="19">
        <f>IF(Data!AC658&gt;0,RANK(Data!AC658,Data!$AC$5:$AC$804),"")</f>
        <v/>
      </c>
      <c r="H684" s="19">
        <f>IF(N(D684)&gt;0,RANK(D684,$D$31:$D$830),"")</f>
        <v/>
      </c>
    </row>
    <row r="685">
      <c r="A685" s="15" t="n">
        <v>655</v>
      </c>
      <c r="B685" s="16" t="inlineStr">
        <is>
          <t>4012345337150</t>
        </is>
      </c>
      <c r="C685" s="7" t="inlineStr">
        <is>
          <t>Carrots</t>
        </is>
      </c>
      <c r="D685" s="17" t="n">
        <v>13389</v>
      </c>
      <c r="E685" s="18" t="n"/>
      <c r="G685" s="19">
        <f>IF(Data!AC659&gt;0,RANK(Data!AC659,Data!$AC$5:$AC$804),"")</f>
        <v/>
      </c>
      <c r="H685" s="19">
        <f>IF(N(D685)&gt;0,RANK(D685,$D$31:$D$830),"")</f>
        <v/>
      </c>
    </row>
    <row r="686">
      <c r="A686" s="15" t="n">
        <v>656</v>
      </c>
      <c r="B686" s="16" t="inlineStr">
        <is>
          <t>4012345024937</t>
        </is>
      </c>
      <c r="C686" s="7" t="inlineStr">
        <is>
          <t>Milk chocolate bar, 100g</t>
        </is>
      </c>
      <c r="D686" s="17" t="n">
        <v>39700</v>
      </c>
      <c r="E686" s="18" t="n"/>
      <c r="G686" s="19">
        <f>IF(Data!AC660&gt;0,RANK(Data!AC660,Data!$AC$5:$AC$804),"")</f>
        <v/>
      </c>
      <c r="H686" s="19">
        <f>IF(N(D686)&gt;0,RANK(D686,$D$31:$D$830),"")</f>
        <v/>
      </c>
    </row>
    <row r="687">
      <c r="A687" s="15" t="n">
        <v>657</v>
      </c>
      <c r="B687" s="16" t="inlineStr">
        <is>
          <t>3012345438841</t>
        </is>
      </c>
      <c r="C687" s="7" t="inlineStr">
        <is>
          <t>Dijon mustard, 200g</t>
        </is>
      </c>
      <c r="D687" s="17" t="n">
        <v>19676</v>
      </c>
      <c r="E687" s="18" t="n"/>
      <c r="G687" s="19">
        <f>IF(Data!AC661&gt;0,RANK(Data!AC661,Data!$AC$5:$AC$804),"")</f>
        <v/>
      </c>
      <c r="H687" s="19">
        <f>IF(N(D687)&gt;0,RANK(D687,$D$31:$D$830),"")</f>
        <v/>
      </c>
    </row>
    <row r="688">
      <c r="A688" s="15" t="n">
        <v>658</v>
      </c>
      <c r="B688" s="16" t="inlineStr">
        <is>
          <t>5012345420912</t>
        </is>
      </c>
      <c r="C688" s="7" t="inlineStr">
        <is>
          <t>Victoria sponge cake, 6pk 300g</t>
        </is>
      </c>
      <c r="D688" s="17" t="n">
        <v>13074</v>
      </c>
      <c r="E688" s="18" t="n"/>
      <c r="G688" s="19">
        <f>IF(Data!AC662&gt;0,RANK(Data!AC662,Data!$AC$5:$AC$804),"")</f>
        <v/>
      </c>
      <c r="H688" s="19">
        <f>IF(N(D688)&gt;0,RANK(D688,$D$31:$D$830),"")</f>
        <v/>
      </c>
    </row>
    <row r="689">
      <c r="A689" s="15" t="n">
        <v>659</v>
      </c>
      <c r="B689" s="16" t="inlineStr">
        <is>
          <t>3012345055895</t>
        </is>
      </c>
      <c r="C689" s="7" t="inlineStr">
        <is>
          <t>Piri-piri marinated chicken thighs, 400g</t>
        </is>
      </c>
      <c r="D689" s="17" t="n">
        <v>9757</v>
      </c>
      <c r="E689" s="18" t="n"/>
      <c r="G689" s="19">
        <f>IF(Data!AC663&gt;0,RANK(Data!AC663,Data!$AC$5:$AC$804),"")</f>
        <v/>
      </c>
      <c r="H689" s="19">
        <f>IF(N(D689)&gt;0,RANK(D689,$D$31:$D$830),"")</f>
        <v/>
      </c>
    </row>
    <row r="690">
      <c r="A690" s="15" t="n">
        <v>660</v>
      </c>
      <c r="B690" s="16" t="inlineStr">
        <is>
          <t>3012345216142</t>
        </is>
      </c>
      <c r="C690" s="7" t="inlineStr">
        <is>
          <t>Pork liver pâté, 2x85g</t>
        </is>
      </c>
      <c r="D690" s="17" t="n">
        <v>22699</v>
      </c>
      <c r="E690" s="18" t="n"/>
      <c r="G690" s="19">
        <f>IF(Data!AC664&gt;0,RANK(Data!AC664,Data!$AC$5:$AC$804),"")</f>
        <v/>
      </c>
      <c r="H690" s="19">
        <f>IF(N(D690)&gt;0,RANK(D690,$D$31:$D$830),"")</f>
        <v/>
      </c>
    </row>
    <row r="691">
      <c r="A691" s="15" t="n">
        <v>661</v>
      </c>
      <c r="B691" s="16" t="inlineStr">
        <is>
          <t>8712345993061</t>
        </is>
      </c>
      <c r="C691" s="7" t="inlineStr">
        <is>
          <t>Milano salami, 70g</t>
        </is>
      </c>
      <c r="D691" s="17" t="n">
        <v>54443</v>
      </c>
      <c r="E691" s="18" t="n"/>
      <c r="G691" s="19">
        <f>IF(Data!AC665&gt;0,RANK(Data!AC665,Data!$AC$5:$AC$804),"")</f>
        <v/>
      </c>
      <c r="H691" s="19">
        <f>IF(N(D691)&gt;0,RANK(D691,$D$31:$D$830),"")</f>
        <v/>
      </c>
    </row>
    <row r="692">
      <c r="A692" s="15" t="n">
        <v>662</v>
      </c>
      <c r="B692" s="16" t="inlineStr">
        <is>
          <t>4012345917260</t>
        </is>
      </c>
      <c r="C692" s="7" t="inlineStr">
        <is>
          <t>Quark, 250g</t>
        </is>
      </c>
      <c r="D692" s="17" t="n">
        <v>15184</v>
      </c>
      <c r="E692" s="18" t="n"/>
      <c r="G692" s="19">
        <f>IF(Data!AC666&gt;0,RANK(Data!AC666,Data!$AC$5:$AC$804),"")</f>
        <v/>
      </c>
      <c r="H692" s="19">
        <f>IF(N(D692)&gt;0,RANK(D692,$D$31:$D$830),"")</f>
        <v/>
      </c>
    </row>
    <row r="693">
      <c r="A693" s="15" t="n">
        <v>663</v>
      </c>
      <c r="B693" s="16" t="inlineStr">
        <is>
          <t>3012345823173</t>
        </is>
      </c>
      <c r="C693" s="7" t="inlineStr">
        <is>
          <t>AA batteries, 2pk</t>
        </is>
      </c>
      <c r="D693" s="17" t="n">
        <v>12567</v>
      </c>
      <c r="E693" s="18" t="n"/>
      <c r="G693" s="19">
        <f>IF(Data!AC667&gt;0,RANK(Data!AC667,Data!$AC$5:$AC$804),"")</f>
        <v/>
      </c>
      <c r="H693" s="19">
        <f>IF(N(D693)&gt;0,RANK(D693,$D$31:$D$830),"")</f>
        <v/>
      </c>
    </row>
    <row r="694">
      <c r="A694" s="15" t="n">
        <v>664</v>
      </c>
      <c r="B694" s="16" t="inlineStr">
        <is>
          <t>5012345358345</t>
        </is>
      </c>
      <c r="C694" s="7" t="inlineStr">
        <is>
          <t>Olive oil spread, 1kg</t>
        </is>
      </c>
      <c r="D694" s="17" t="n">
        <v>3726</v>
      </c>
      <c r="E694" s="18" t="n"/>
      <c r="G694" s="19">
        <f>IF(Data!AC668&gt;0,RANK(Data!AC668,Data!$AC$5:$AC$804),"")</f>
        <v/>
      </c>
      <c r="H694" s="19">
        <f>IF(N(D694)&gt;0,RANK(D694,$D$31:$D$830),"")</f>
        <v/>
      </c>
    </row>
    <row r="695">
      <c r="A695" s="15" t="n">
        <v>665</v>
      </c>
      <c r="B695" s="16" t="inlineStr">
        <is>
          <t>3012345665773</t>
        </is>
      </c>
      <c r="C695" s="7" t="inlineStr">
        <is>
          <t>Breaded haddock fillets, 10pk 280g</t>
        </is>
      </c>
      <c r="D695" s="17" t="n">
        <v>13299</v>
      </c>
      <c r="E695" s="18" t="n"/>
      <c r="G695" s="19">
        <f>IF(Data!AC669&gt;0,RANK(Data!AC669,Data!$AC$5:$AC$804),"")</f>
        <v/>
      </c>
      <c r="H695" s="19">
        <f>IF(N(D695)&gt;0,RANK(D695,$D$31:$D$830),"")</f>
        <v/>
      </c>
    </row>
    <row r="696">
      <c r="A696" s="15" t="n">
        <v>666</v>
      </c>
      <c r="B696" s="16" t="inlineStr">
        <is>
          <t>3012345325547</t>
        </is>
      </c>
      <c r="C696" s="7" t="inlineStr">
        <is>
          <t>Plant-based mince, 226g</t>
        </is>
      </c>
      <c r="D696" s="17" t="n">
        <v>16471</v>
      </c>
      <c r="E696" s="18" t="n"/>
      <c r="G696" s="19">
        <f>IF(Data!AC670&gt;0,RANK(Data!AC670,Data!$AC$5:$AC$804),"")</f>
        <v/>
      </c>
      <c r="H696" s="19">
        <f>IF(N(D696)&gt;0,RANK(D696,$D$31:$D$830),"")</f>
        <v/>
      </c>
    </row>
    <row r="697">
      <c r="A697" s="15" t="n">
        <v>667</v>
      </c>
      <c r="B697" s="16" t="inlineStr">
        <is>
          <t>3012345876629</t>
        </is>
      </c>
      <c r="C697" s="7" t="inlineStr">
        <is>
          <t>Cooked king prawns, 225g</t>
        </is>
      </c>
      <c r="D697" s="17" t="n">
        <v>16266</v>
      </c>
      <c r="E697" s="18" t="n"/>
      <c r="G697" s="19">
        <f>IF(Data!AC671&gt;0,RANK(Data!AC671,Data!$AC$5:$AC$804),"")</f>
        <v/>
      </c>
      <c r="H697" s="19">
        <f>IF(N(D697)&gt;0,RANK(D697,$D$31:$D$830),"")</f>
        <v/>
      </c>
    </row>
    <row r="698">
      <c r="A698" s="15" t="n">
        <v>668</v>
      </c>
      <c r="B698" s="16" t="inlineStr">
        <is>
          <t>4012345438659</t>
        </is>
      </c>
      <c r="C698" s="7" t="inlineStr">
        <is>
          <t>Smoked salmon, 100g</t>
        </is>
      </c>
      <c r="D698" s="17" t="n">
        <v>36197</v>
      </c>
      <c r="E698" s="18" t="n"/>
      <c r="G698" s="19">
        <f>IF(Data!AC672&gt;0,RANK(Data!AC672,Data!$AC$5:$AC$804),"")</f>
        <v/>
      </c>
      <c r="H698" s="19">
        <f>IF(N(D698)&gt;0,RANK(D698,$D$31:$D$830),"")</f>
        <v/>
      </c>
    </row>
    <row r="699">
      <c r="A699" s="15" t="n">
        <v>669</v>
      </c>
      <c r="B699" s="16" t="inlineStr">
        <is>
          <t>5012345362823</t>
        </is>
      </c>
      <c r="C699" s="7" t="inlineStr">
        <is>
          <t>Smooth peanut butter, 1kg</t>
        </is>
      </c>
      <c r="D699" s="17" t="n">
        <v>3606</v>
      </c>
      <c r="E699" s="18" t="n"/>
      <c r="G699" s="19">
        <f>IF(Data!AC673&gt;0,RANK(Data!AC673,Data!$AC$5:$AC$804),"")</f>
        <v/>
      </c>
      <c r="H699" s="19">
        <f>IF(N(D699)&gt;0,RANK(D699,$D$31:$D$830),"")</f>
        <v/>
      </c>
    </row>
    <row r="700">
      <c r="A700" s="15" t="n">
        <v>670</v>
      </c>
      <c r="B700" s="16" t="inlineStr">
        <is>
          <t>8712345916299</t>
        </is>
      </c>
      <c r="C700" s="7" t="inlineStr">
        <is>
          <t>Tomato ketchup, 460g</t>
        </is>
      </c>
      <c r="D700" s="17" t="n">
        <v>7822</v>
      </c>
      <c r="E700" s="18" t="n"/>
      <c r="G700" s="19">
        <f>IF(Data!AC674&gt;0,RANK(Data!AC674,Data!$AC$5:$AC$804),"")</f>
        <v/>
      </c>
      <c r="H700" s="19">
        <f>IF(N(D700)&gt;0,RANK(D700,$D$31:$D$830),"")</f>
        <v/>
      </c>
    </row>
    <row r="701">
      <c r="A701" s="15" t="n">
        <v>671</v>
      </c>
      <c r="B701" s="16" t="inlineStr">
        <is>
          <t>0012345136047</t>
        </is>
      </c>
      <c r="C701" s="7" t="inlineStr">
        <is>
          <t>Camembert, 125g</t>
        </is>
      </c>
      <c r="D701" s="17" t="n">
        <v>28352</v>
      </c>
      <c r="E701" s="18" t="n"/>
      <c r="G701" s="19">
        <f>IF(Data!AC675&gt;0,RANK(Data!AC675,Data!$AC$5:$AC$804),"")</f>
        <v/>
      </c>
      <c r="H701" s="19">
        <f>IF(N(D701)&gt;0,RANK(D701,$D$31:$D$830),"")</f>
        <v/>
      </c>
    </row>
    <row r="702">
      <c r="A702" s="15" t="n">
        <v>672</v>
      </c>
      <c r="B702" s="16" t="inlineStr">
        <is>
          <t>3012345738415</t>
        </is>
      </c>
      <c r="C702" s="7" t="inlineStr">
        <is>
          <t>Greek-style yoghurt, 450g</t>
        </is>
      </c>
      <c r="D702" s="17" t="n">
        <v>7805</v>
      </c>
      <c r="E702" s="18" t="n"/>
      <c r="G702" s="19">
        <f>IF(Data!AC676&gt;0,RANK(Data!AC676,Data!$AC$5:$AC$804),"")</f>
        <v/>
      </c>
      <c r="H702" s="19">
        <f>IF(N(D702)&gt;0,RANK(D702,$D$31:$D$830),"")</f>
        <v/>
      </c>
    </row>
    <row r="703">
      <c r="A703" s="15" t="n">
        <v>673</v>
      </c>
      <c r="B703" s="16" t="inlineStr">
        <is>
          <t>4012345192483</t>
        </is>
      </c>
      <c r="C703" s="7" t="inlineStr">
        <is>
          <t>Sunflower seeds, 150g</t>
        </is>
      </c>
      <c r="D703" s="17" t="n">
        <v>23325</v>
      </c>
      <c r="E703" s="18" t="n"/>
      <c r="G703" s="19">
        <f>IF(Data!AC677&gt;0,RANK(Data!AC677,Data!$AC$5:$AC$804),"")</f>
        <v/>
      </c>
      <c r="H703" s="19">
        <f>IF(N(D703)&gt;0,RANK(D703,$D$31:$D$830),"")</f>
        <v/>
      </c>
    </row>
    <row r="704">
      <c r="A704" s="15" t="n">
        <v>674</v>
      </c>
      <c r="B704" s="16" t="inlineStr">
        <is>
          <t>3012345402194</t>
        </is>
      </c>
      <c r="C704" s="7" t="inlineStr">
        <is>
          <t>Plant-based nuggets, 226g</t>
        </is>
      </c>
      <c r="D704" s="17" t="n">
        <v>15411</v>
      </c>
      <c r="E704" s="18" t="n"/>
      <c r="G704" s="19">
        <f>IF(Data!AC678&gt;0,RANK(Data!AC678,Data!$AC$5:$AC$804),"")</f>
        <v/>
      </c>
      <c r="H704" s="19">
        <f>IF(N(D704)&gt;0,RANK(D704,$D$31:$D$830),"")</f>
        <v/>
      </c>
    </row>
    <row r="705">
      <c r="A705" s="15" t="n">
        <v>675</v>
      </c>
      <c r="B705" s="16" t="inlineStr">
        <is>
          <t>5012345071312</t>
        </is>
      </c>
      <c r="C705" s="7" t="inlineStr">
        <is>
          <t>Mixed peppers</t>
        </is>
      </c>
      <c r="D705" s="17" t="n">
        <v>21435</v>
      </c>
      <c r="E705" s="18" t="n"/>
      <c r="G705" s="19">
        <f>IF(Data!AC679&gt;0,RANK(Data!AC679,Data!$AC$5:$AC$804),"")</f>
        <v/>
      </c>
      <c r="H705" s="19">
        <f>IF(N(D705)&gt;0,RANK(D705,$D$31:$D$830),"")</f>
        <v/>
      </c>
    </row>
    <row r="706">
      <c r="A706" s="15" t="n">
        <v>676</v>
      </c>
      <c r="B706" s="16" t="inlineStr">
        <is>
          <t>8712345337230</t>
        </is>
      </c>
      <c r="C706" s="7" t="inlineStr">
        <is>
          <t>Digestive biscuits, 300g</t>
        </is>
      </c>
      <c r="D706" s="17" t="n">
        <v>11316</v>
      </c>
      <c r="E706" s="18" t="n"/>
      <c r="G706" s="19">
        <f>IF(Data!AC680&gt;0,RANK(Data!AC680,Data!$AC$5:$AC$804),"")</f>
        <v/>
      </c>
      <c r="H706" s="19">
        <f>IF(N(D706)&gt;0,RANK(D706,$D$31:$D$830),"")</f>
        <v/>
      </c>
    </row>
    <row r="707">
      <c r="A707" s="15" t="n">
        <v>677</v>
      </c>
      <c r="B707" s="16" t="inlineStr">
        <is>
          <t>4012345070354</t>
        </is>
      </c>
      <c r="C707" s="7" t="inlineStr">
        <is>
          <t>Mature cheddar, 10sl 250g</t>
        </is>
      </c>
      <c r="D707" s="17" t="n">
        <v>13547</v>
      </c>
      <c r="E707" s="18" t="n"/>
      <c r="G707" s="19">
        <f>IF(Data!AC681&gt;0,RANK(Data!AC681,Data!$AC$5:$AC$804),"")</f>
        <v/>
      </c>
      <c r="H707" s="19">
        <f>IF(N(D707)&gt;0,RANK(D707,$D$31:$D$830),"")</f>
        <v/>
      </c>
    </row>
    <row r="708">
      <c r="A708" s="15" t="n">
        <v>678</v>
      </c>
      <c r="B708" s="16" t="inlineStr">
        <is>
          <t>3012345471862</t>
        </is>
      </c>
      <c r="C708" s="7" t="inlineStr">
        <is>
          <t>Whole coffee beans, 80pk 250g</t>
        </is>
      </c>
      <c r="D708" s="17" t="n">
        <v>13298</v>
      </c>
      <c r="E708" s="18" t="n"/>
      <c r="G708" s="19">
        <f>IF(Data!AC682&gt;0,RANK(Data!AC682,Data!$AC$5:$AC$804),"")</f>
        <v/>
      </c>
      <c r="H708" s="19">
        <f>IF(N(D708)&gt;0,RANK(D708,$D$31:$D$830),"")</f>
        <v/>
      </c>
    </row>
    <row r="709">
      <c r="A709" s="15" t="n">
        <v>679</v>
      </c>
      <c r="B709" s="16" t="inlineStr">
        <is>
          <t>3012345967334</t>
        </is>
      </c>
      <c r="C709" s="7" t="inlineStr">
        <is>
          <t>All-butter shortbread, 200g</t>
        </is>
      </c>
      <c r="D709" s="17" t="n">
        <v>16519</v>
      </c>
      <c r="E709" s="18" t="n"/>
      <c r="G709" s="19">
        <f>IF(Data!AC683&gt;0,RANK(Data!AC683,Data!$AC$5:$AC$804),"")</f>
        <v/>
      </c>
      <c r="H709" s="19">
        <f>IF(N(D709)&gt;0,RANK(D709,$D$31:$D$830),"")</f>
        <v/>
      </c>
    </row>
    <row r="710">
      <c r="A710" s="15" t="n">
        <v>680</v>
      </c>
      <c r="B710" s="16" t="inlineStr">
        <is>
          <t>5012345175638</t>
        </is>
      </c>
      <c r="C710" s="7" t="inlineStr">
        <is>
          <t>Cashew nuts, 200g</t>
        </is>
      </c>
      <c r="D710" s="17" t="n">
        <v>16514</v>
      </c>
      <c r="E710" s="18" t="n"/>
      <c r="G710" s="19">
        <f>IF(Data!AC684&gt;0,RANK(Data!AC684,Data!$AC$5:$AC$804),"")</f>
        <v/>
      </c>
      <c r="H710" s="19">
        <f>IF(N(D710)&gt;0,RANK(D710,$D$31:$D$830),"")</f>
        <v/>
      </c>
    </row>
    <row r="711">
      <c r="A711" s="15" t="n">
        <v>681</v>
      </c>
      <c r="B711" s="16" t="inlineStr">
        <is>
          <t>5012345385662</t>
        </is>
      </c>
      <c r="C711" s="7" t="inlineStr">
        <is>
          <t>Chocolate ice cream, 4x110ml</t>
        </is>
      </c>
      <c r="D711" s="17" t="n">
        <v>11726</v>
      </c>
      <c r="E711" s="18" t="n"/>
      <c r="G711" s="19">
        <f>IF(Data!AC685&gt;0,RANK(Data!AC685,Data!$AC$5:$AC$804),"")</f>
        <v/>
      </c>
      <c r="H711" s="19">
        <f>IF(N(D711)&gt;0,RANK(D711,$D$31:$D$830),"")</f>
        <v/>
      </c>
    </row>
    <row r="712">
      <c r="A712" s="15" t="n">
        <v>682</v>
      </c>
      <c r="B712" s="16" t="inlineStr">
        <is>
          <t>8712345165192</t>
        </is>
      </c>
      <c r="C712" s="7" t="inlineStr">
        <is>
          <t>Whole almonds, 200g</t>
        </is>
      </c>
      <c r="D712" s="17" t="n">
        <v>16370</v>
      </c>
      <c r="E712" s="18" t="n"/>
      <c r="G712" s="19">
        <f>IF(Data!AC686&gt;0,RANK(Data!AC686,Data!$AC$5:$AC$804),"")</f>
        <v/>
      </c>
      <c r="H712" s="19">
        <f>IF(N(D712)&gt;0,RANK(D712,$D$31:$D$830),"")</f>
        <v/>
      </c>
    </row>
    <row r="713">
      <c r="A713" s="15" t="n">
        <v>683</v>
      </c>
      <c r="B713" s="16" t="inlineStr">
        <is>
          <t>3012345634410</t>
        </is>
      </c>
      <c r="C713" s="7" t="inlineStr">
        <is>
          <t>Baked beans in tomato sauce, 410g</t>
        </is>
      </c>
      <c r="D713" s="17" t="n">
        <v>7972</v>
      </c>
      <c r="E713" s="18" t="n"/>
      <c r="G713" s="19">
        <f>IF(Data!AC687&gt;0,RANK(Data!AC687,Data!$AC$5:$AC$804),"")</f>
        <v/>
      </c>
      <c r="H713" s="19">
        <f>IF(N(D713)&gt;0,RANK(D713,$D$31:$D$830),"")</f>
        <v/>
      </c>
    </row>
    <row r="714">
      <c r="A714" s="15" t="n">
        <v>684</v>
      </c>
      <c r="B714" s="16" t="inlineStr">
        <is>
          <t>8712345090920</t>
        </is>
      </c>
      <c r="C714" s="7" t="inlineStr">
        <is>
          <t>Smoked tofu, 200g</t>
        </is>
      </c>
      <c r="D714" s="17" t="n">
        <v>16130</v>
      </c>
      <c r="E714" s="18" t="n"/>
      <c r="G714" s="19">
        <f>IF(Data!AC688&gt;0,RANK(Data!AC688,Data!$AC$5:$AC$804),"")</f>
        <v/>
      </c>
      <c r="H714" s="19">
        <f>IF(N(D714)&gt;0,RANK(D714,$D$31:$D$830),"")</f>
        <v/>
      </c>
    </row>
    <row r="715">
      <c r="A715" s="15" t="n">
        <v>685</v>
      </c>
      <c r="B715" s="16" t="inlineStr">
        <is>
          <t>4012345509809</t>
        </is>
      </c>
      <c r="C715" s="7" t="inlineStr">
        <is>
          <t>Plant-based burgers, 300g</t>
        </is>
      </c>
      <c r="D715" s="17" t="n">
        <v>10745</v>
      </c>
      <c r="E715" s="18" t="n"/>
      <c r="G715" s="19">
        <f>IF(Data!AC689&gt;0,RANK(Data!AC689,Data!$AC$5:$AC$804),"")</f>
        <v/>
      </c>
      <c r="H715" s="19">
        <f>IF(N(D715)&gt;0,RANK(D715,$D$31:$D$830),"")</f>
        <v/>
      </c>
    </row>
    <row r="716">
      <c r="A716" s="15" t="n">
        <v>686</v>
      </c>
      <c r="B716" s="16" t="inlineStr">
        <is>
          <t>4012345646757</t>
        </is>
      </c>
      <c r="C716" s="7" t="inlineStr">
        <is>
          <t>Cottage cheese, 250g</t>
        </is>
      </c>
      <c r="D716" s="17" t="n">
        <v>12774</v>
      </c>
      <c r="E716" s="18" t="n"/>
      <c r="G716" s="19">
        <f>IF(Data!AC690&gt;0,RANK(Data!AC690,Data!$AC$5:$AC$804),"")</f>
        <v/>
      </c>
      <c r="H716" s="19">
        <f>IF(N(D716)&gt;0,RANK(D716,$D$31:$D$830),"")</f>
        <v/>
      </c>
    </row>
    <row r="717">
      <c r="A717" s="15" t="n">
        <v>687</v>
      </c>
      <c r="B717" s="16" t="inlineStr">
        <is>
          <t>8712345886998</t>
        </is>
      </c>
      <c r="C717" s="7" t="inlineStr">
        <is>
          <t>Egg &amp; cress sandwich</t>
        </is>
      </c>
      <c r="D717" s="17" t="n">
        <v>17679</v>
      </c>
      <c r="E717" s="18" t="n"/>
      <c r="G717" s="19">
        <f>IF(Data!AC691&gt;0,RANK(Data!AC691,Data!$AC$5:$AC$804),"")</f>
        <v/>
      </c>
      <c r="H717" s="19">
        <f>IF(N(D717)&gt;0,RANK(D717,$D$31:$D$830),"")</f>
        <v/>
      </c>
    </row>
    <row r="718">
      <c r="A718" s="15" t="n">
        <v>688</v>
      </c>
      <c r="B718" s="16" t="inlineStr">
        <is>
          <t>8712345945572</t>
        </is>
      </c>
      <c r="C718" s="7" t="inlineStr">
        <is>
          <t>Chocolate chip cookies, 200g</t>
        </is>
      </c>
      <c r="D718" s="17" t="n">
        <v>15882</v>
      </c>
      <c r="E718" s="18" t="n"/>
      <c r="G718" s="19">
        <f>IF(Data!AC692&gt;0,RANK(Data!AC692,Data!$AC$5:$AC$804),"")</f>
        <v/>
      </c>
      <c r="H718" s="19">
        <f>IF(N(D718)&gt;0,RANK(D718,$D$31:$D$830),"")</f>
        <v/>
      </c>
    </row>
    <row r="719">
      <c r="A719" s="15" t="n">
        <v>689</v>
      </c>
      <c r="B719" s="16" t="inlineStr">
        <is>
          <t>8712345028473</t>
        </is>
      </c>
      <c r="C719" s="7" t="inlineStr">
        <is>
          <t>Cooked mussels, 150g</t>
        </is>
      </c>
      <c r="D719" s="17" t="n">
        <v>20470</v>
      </c>
      <c r="E719" s="18" t="n"/>
      <c r="G719" s="19">
        <f>IF(Data!AC693&gt;0,RANK(Data!AC693,Data!$AC$5:$AC$804),"")</f>
        <v/>
      </c>
      <c r="H719" s="19">
        <f>IF(N(D719)&gt;0,RANK(D719,$D$31:$D$830),"")</f>
        <v/>
      </c>
    </row>
    <row r="720">
      <c r="A720" s="15" t="n">
        <v>690</v>
      </c>
      <c r="B720" s="16" t="inlineStr">
        <is>
          <t>4012345913798</t>
        </is>
      </c>
      <c r="C720" s="7" t="inlineStr">
        <is>
          <t>Penne rigate, 500g</t>
        </is>
      </c>
      <c r="D720" s="17" t="n">
        <v>6122</v>
      </c>
      <c r="E720" s="18" t="n"/>
      <c r="G720" s="19">
        <f>IF(Data!AC694&gt;0,RANK(Data!AC694,Data!$AC$5:$AC$804),"")</f>
        <v/>
      </c>
      <c r="H720" s="19">
        <f>IF(N(D720)&gt;0,RANK(D720,$D$31:$D$830),"")</f>
        <v/>
      </c>
    </row>
    <row r="721">
      <c r="A721" s="15" t="n">
        <v>691</v>
      </c>
      <c r="B721" s="16" t="inlineStr">
        <is>
          <t>8712345679835</t>
        </is>
      </c>
      <c r="C721" s="7" t="inlineStr">
        <is>
          <t>Lamb mince, 400g</t>
        </is>
      </c>
      <c r="D721" s="17" t="n">
        <v>7588</v>
      </c>
      <c r="E721" s="18" t="n"/>
      <c r="G721" s="19">
        <f>IF(Data!AC695&gt;0,RANK(Data!AC695,Data!$AC$5:$AC$804),"")</f>
        <v/>
      </c>
      <c r="H721" s="19">
        <f>IF(N(D721)&gt;0,RANK(D721,$D$31:$D$830),"")</f>
        <v/>
      </c>
    </row>
    <row r="722">
      <c r="A722" s="15" t="n">
        <v>692</v>
      </c>
      <c r="B722" s="16" t="inlineStr">
        <is>
          <t>3012345470636</t>
        </is>
      </c>
      <c r="C722" s="7" t="inlineStr">
        <is>
          <t>Breaded scampi, 4pk 440g</t>
        </is>
      </c>
      <c r="D722" s="17" t="n">
        <v>6823</v>
      </c>
      <c r="E722" s="18" t="n"/>
      <c r="G722" s="19">
        <f>IF(Data!AC696&gt;0,RANK(Data!AC696,Data!$AC$5:$AC$804),"")</f>
        <v/>
      </c>
      <c r="H722" s="19">
        <f>IF(N(D722)&gt;0,RANK(D722,$D$31:$D$830),"")</f>
        <v/>
      </c>
    </row>
    <row r="723">
      <c r="A723" s="15" t="n">
        <v>693</v>
      </c>
      <c r="B723" s="16" t="inlineStr">
        <is>
          <t>5012345713557</t>
        </is>
      </c>
      <c r="C723" s="7" t="inlineStr">
        <is>
          <t>Mackerel fillets in tomato sauce, 125g</t>
        </is>
      </c>
      <c r="D723" s="17" t="n">
        <v>23976</v>
      </c>
      <c r="E723" s="18" t="n"/>
      <c r="G723" s="19">
        <f>IF(Data!AC697&gt;0,RANK(Data!AC697,Data!$AC$5:$AC$804),"")</f>
        <v/>
      </c>
      <c r="H723" s="19">
        <f>IF(N(D723)&gt;0,RANK(D723,$D$31:$D$830),"")</f>
        <v/>
      </c>
    </row>
    <row r="724">
      <c r="A724" s="15" t="n">
        <v>694</v>
      </c>
      <c r="B724" s="16" t="inlineStr">
        <is>
          <t>4012345274400</t>
        </is>
      </c>
      <c r="C724" s="7" t="inlineStr">
        <is>
          <t>Brioche rolls, 4pk 180g</t>
        </is>
      </c>
      <c r="D724" s="17" t="n">
        <v>16348</v>
      </c>
      <c r="E724" s="18" t="n"/>
      <c r="G724" s="19">
        <f>IF(Data!AC698&gt;0,RANK(Data!AC698,Data!$AC$5:$AC$804),"")</f>
        <v/>
      </c>
      <c r="H724" s="19">
        <f>IF(N(D724)&gt;0,RANK(D724,$D$31:$D$830),"")</f>
        <v/>
      </c>
    </row>
    <row r="725">
      <c r="A725" s="15" t="n">
        <v>695</v>
      </c>
      <c r="B725" s="16" t="inlineStr">
        <is>
          <t>8712345015398</t>
        </is>
      </c>
      <c r="C725" s="7" t="inlineStr">
        <is>
          <t>Chorizo slices, 70g</t>
        </is>
      </c>
      <c r="D725" s="17" t="n">
        <v>42024</v>
      </c>
      <c r="E725" s="18" t="n"/>
      <c r="G725" s="19">
        <f>IF(Data!AC699&gt;0,RANK(Data!AC699,Data!$AC$5:$AC$804),"")</f>
        <v/>
      </c>
      <c r="H725" s="19">
        <f>IF(N(D725)&gt;0,RANK(D725,$D$31:$D$830),"")</f>
        <v/>
      </c>
    </row>
    <row r="726">
      <c r="A726" s="15" t="n">
        <v>696</v>
      </c>
      <c r="B726" s="16" t="inlineStr">
        <is>
          <t>8712345338312</t>
        </is>
      </c>
      <c r="C726" s="7" t="inlineStr">
        <is>
          <t>Feta, 200g</t>
        </is>
      </c>
      <c r="D726" s="17" t="n">
        <v>14704</v>
      </c>
      <c r="E726" s="18" t="n"/>
      <c r="G726" s="19">
        <f>IF(Data!AC700&gt;0,RANK(Data!AC700,Data!$AC$5:$AC$804),"")</f>
        <v/>
      </c>
      <c r="H726" s="19">
        <f>IF(N(D726)&gt;0,RANK(D726,$D$31:$D$830),"")</f>
        <v/>
      </c>
    </row>
    <row r="727">
      <c r="A727" s="15" t="n">
        <v>697</v>
      </c>
      <c r="B727" s="16" t="inlineStr">
        <is>
          <t>8712345253837</t>
        </is>
      </c>
      <c r="C727" s="7" t="inlineStr">
        <is>
          <t>Turkey mince, 300g</t>
        </is>
      </c>
      <c r="D727" s="17" t="n">
        <v>9551</v>
      </c>
      <c r="E727" s="18" t="n"/>
      <c r="G727" s="19">
        <f>IF(Data!AC701&gt;0,RANK(Data!AC701,Data!$AC$5:$AC$804),"")</f>
        <v/>
      </c>
      <c r="H727" s="19">
        <f>IF(N(D727)&gt;0,RANK(D727,$D$31:$D$830),"")</f>
        <v/>
      </c>
    </row>
    <row r="728">
      <c r="A728" s="15" t="n">
        <v>698</v>
      </c>
      <c r="B728" s="16" t="inlineStr">
        <is>
          <t>8712345436384</t>
        </is>
      </c>
      <c r="C728" s="7" t="inlineStr">
        <is>
          <t>Quark, 180g</t>
        </is>
      </c>
      <c r="D728" s="17" t="n">
        <v>15847</v>
      </c>
      <c r="E728" s="18" t="n"/>
      <c r="G728" s="19">
        <f>IF(Data!AC702&gt;0,RANK(Data!AC702,Data!$AC$5:$AC$804),"")</f>
        <v/>
      </c>
      <c r="H728" s="19">
        <f>IF(N(D728)&gt;0,RANK(D728,$D$31:$D$830),"")</f>
        <v/>
      </c>
    </row>
    <row r="729">
      <c r="A729" s="15" t="n">
        <v>699</v>
      </c>
      <c r="B729" s="16" t="inlineStr">
        <is>
          <t>3012345128223</t>
        </is>
      </c>
      <c r="C729" s="7" t="inlineStr">
        <is>
          <t>Instant coffee, 80pk 250g</t>
        </is>
      </c>
      <c r="D729" s="17" t="n">
        <v>11360</v>
      </c>
      <c r="E729" s="18" t="n"/>
      <c r="G729" s="19">
        <f>IF(Data!AC703&gt;0,RANK(Data!AC703,Data!$AC$5:$AC$804),"")</f>
        <v/>
      </c>
      <c r="H729" s="19">
        <f>IF(N(D729)&gt;0,RANK(D729,$D$31:$D$830),"")</f>
        <v/>
      </c>
    </row>
    <row r="730">
      <c r="A730" s="15" t="n">
        <v>700</v>
      </c>
      <c r="B730" s="16" t="inlineStr">
        <is>
          <t>5012345668888</t>
        </is>
      </c>
      <c r="C730" s="7" t="inlineStr">
        <is>
          <t>Salted peanuts, 500g</t>
        </is>
      </c>
      <c r="D730" s="17" t="n">
        <v>5663</v>
      </c>
      <c r="E730" s="18" t="n"/>
      <c r="G730" s="19">
        <f>IF(Data!AC704&gt;0,RANK(Data!AC704,Data!$AC$5:$AC$804),"")</f>
        <v/>
      </c>
      <c r="H730" s="19">
        <f>IF(N(D730)&gt;0,RANK(D730,$D$31:$D$830),"")</f>
        <v/>
      </c>
    </row>
    <row r="731">
      <c r="A731" s="15" t="n">
        <v>701</v>
      </c>
      <c r="B731" s="16" t="inlineStr">
        <is>
          <t>3012345853545</t>
        </is>
      </c>
      <c r="C731" s="7" t="inlineStr">
        <is>
          <t>Aluminium foil, 4pk</t>
        </is>
      </c>
      <c r="D731" s="17" t="n">
        <v>5637</v>
      </c>
      <c r="E731" s="18" t="n"/>
      <c r="G731" s="19">
        <f>IF(Data!AC705&gt;0,RANK(Data!AC705,Data!$AC$5:$AC$804),"")</f>
        <v/>
      </c>
      <c r="H731" s="19">
        <f>IF(N(D731)&gt;0,RANK(D731,$D$31:$D$830),"")</f>
        <v/>
      </c>
    </row>
    <row r="732">
      <c r="A732" s="15" t="n">
        <v>702</v>
      </c>
      <c r="B732" s="16" t="inlineStr">
        <is>
          <t>8712345830281</t>
        </is>
      </c>
      <c r="C732" s="7" t="inlineStr">
        <is>
          <t>Chicken mayo sandwich, 170g</t>
        </is>
      </c>
      <c r="D732" s="17" t="n">
        <v>16542</v>
      </c>
      <c r="E732" s="18" t="n"/>
      <c r="G732" s="19">
        <f>IF(Data!AC706&gt;0,RANK(Data!AC706,Data!$AC$5:$AC$804),"")</f>
        <v/>
      </c>
      <c r="H732" s="19">
        <f>IF(N(D732)&gt;0,RANK(D732,$D$31:$D$830),"")</f>
        <v/>
      </c>
    </row>
    <row r="733">
      <c r="A733" s="15" t="n">
        <v>703</v>
      </c>
      <c r="B733" s="16" t="inlineStr">
        <is>
          <t>8712345591663</t>
        </is>
      </c>
      <c r="C733" s="7" t="inlineStr">
        <is>
          <t>Plant-based mince, 400g</t>
        </is>
      </c>
      <c r="D733" s="17" t="n">
        <v>7000</v>
      </c>
      <c r="E733" s="18" t="n"/>
      <c r="G733" s="19">
        <f>IF(Data!AC707&gt;0,RANK(Data!AC707,Data!$AC$5:$AC$804),"")</f>
        <v/>
      </c>
      <c r="H733" s="19">
        <f>IF(N(D733)&gt;0,RANK(D733,$D$31:$D$830),"")</f>
        <v/>
      </c>
    </row>
    <row r="734">
      <c r="A734" s="15" t="n">
        <v>704</v>
      </c>
      <c r="B734" s="16" t="inlineStr">
        <is>
          <t>3012345136068</t>
        </is>
      </c>
      <c r="C734" s="7" t="inlineStr">
        <is>
          <t>Tealights</t>
        </is>
      </c>
      <c r="D734" s="17" t="n">
        <v>13891</v>
      </c>
      <c r="E734" s="18" t="n"/>
      <c r="G734" s="19">
        <f>IF(Data!AC708&gt;0,RANK(Data!AC708,Data!$AC$5:$AC$804),"")</f>
        <v/>
      </c>
      <c r="H734" s="19">
        <f>IF(N(D734)&gt;0,RANK(D734,$D$31:$D$830),"")</f>
        <v/>
      </c>
    </row>
    <row r="735">
      <c r="A735" s="15" t="n">
        <v>705</v>
      </c>
      <c r="B735" s="16" t="inlineStr">
        <is>
          <t>4012345551655</t>
        </is>
      </c>
      <c r="C735" s="7" t="inlineStr">
        <is>
          <t>Bin bags, 50 L, 4pk</t>
        </is>
      </c>
      <c r="D735" s="17" t="n">
        <v>5397</v>
      </c>
      <c r="E735" s="18" t="n"/>
      <c r="G735" s="19">
        <f>IF(Data!AC709&gt;0,RANK(Data!AC709,Data!$AC$5:$AC$804),"")</f>
        <v/>
      </c>
      <c r="H735" s="19">
        <f>IF(N(D735)&gt;0,RANK(D735,$D$31:$D$830),"")</f>
        <v/>
      </c>
    </row>
    <row r="736">
      <c r="A736" s="15" t="n">
        <v>706</v>
      </c>
      <c r="B736" s="16" t="inlineStr">
        <is>
          <t>4012345205589</t>
        </is>
      </c>
      <c r="C736" s="7" t="inlineStr">
        <is>
          <t>Mixed vegetables, 500g</t>
        </is>
      </c>
      <c r="D736" s="17" t="n">
        <v>5377</v>
      </c>
      <c r="E736" s="18" t="n"/>
      <c r="G736" s="19">
        <f>IF(Data!AC710&gt;0,RANK(Data!AC710,Data!$AC$5:$AC$804),"")</f>
        <v/>
      </c>
      <c r="H736" s="19">
        <f>IF(N(D736)&gt;0,RANK(D736,$D$31:$D$830),"")</f>
        <v/>
      </c>
    </row>
    <row r="737">
      <c r="A737" s="15" t="n">
        <v>707</v>
      </c>
      <c r="B737" s="16" t="inlineStr">
        <is>
          <t>8712345197773</t>
        </is>
      </c>
      <c r="C737" s="7" t="inlineStr">
        <is>
          <t>Parmesan wedge, 400g</t>
        </is>
      </c>
      <c r="D737" s="17" t="n">
        <v>6687</v>
      </c>
      <c r="E737" s="18" t="n"/>
      <c r="G737" s="19">
        <f>IF(Data!AC711&gt;0,RANK(Data!AC711,Data!$AC$5:$AC$804),"")</f>
        <v/>
      </c>
      <c r="H737" s="19">
        <f>IF(N(D737)&gt;0,RANK(D737,$D$31:$D$830),"")</f>
        <v/>
      </c>
    </row>
    <row r="738">
      <c r="A738" s="15" t="n">
        <v>708</v>
      </c>
      <c r="B738" s="16" t="inlineStr">
        <is>
          <t>8712345751968</t>
        </is>
      </c>
      <c r="C738" s="7" t="inlineStr">
        <is>
          <t>Cheese &amp; pickle sandwich</t>
        </is>
      </c>
      <c r="D738" s="17" t="n">
        <v>14717</v>
      </c>
      <c r="E738" s="18" t="n"/>
      <c r="G738" s="19">
        <f>IF(Data!AC712&gt;0,RANK(Data!AC712,Data!$AC$5:$AC$804),"")</f>
        <v/>
      </c>
      <c r="H738" s="19">
        <f>IF(N(D738)&gt;0,RANK(D738,$D$31:$D$830),"")</f>
        <v/>
      </c>
    </row>
    <row r="739">
      <c r="A739" s="15" t="n">
        <v>709</v>
      </c>
      <c r="B739" s="16" t="inlineStr">
        <is>
          <t>3012345170307</t>
        </is>
      </c>
      <c r="C739" s="7" t="inlineStr">
        <is>
          <t>Tuna steak in olive oil, 125g</t>
        </is>
      </c>
      <c r="D739" s="17" t="n">
        <v>21114</v>
      </c>
      <c r="E739" s="18" t="n"/>
      <c r="G739" s="19">
        <f>IF(Data!AC713&gt;0,RANK(Data!AC713,Data!$AC$5:$AC$804),"")</f>
        <v/>
      </c>
      <c r="H739" s="19">
        <f>IF(N(D739)&gt;0,RANK(D739,$D$31:$D$830),"")</f>
        <v/>
      </c>
    </row>
    <row r="740">
      <c r="A740" s="15" t="n">
        <v>710</v>
      </c>
      <c r="B740" s="16" t="inlineStr">
        <is>
          <t>5012345155005</t>
        </is>
      </c>
      <c r="C740" s="7" t="inlineStr">
        <is>
          <t>Classic houmous, 200g</t>
        </is>
      </c>
      <c r="D740" s="17" t="n">
        <v>13175</v>
      </c>
      <c r="E740" s="18" t="n"/>
      <c r="G740" s="19">
        <f>IF(Data!AC714&gt;0,RANK(Data!AC714,Data!$AC$5:$AC$804),"")</f>
        <v/>
      </c>
      <c r="H740" s="19">
        <f>IF(N(D740)&gt;0,RANK(D740,$D$31:$D$830),"")</f>
        <v/>
      </c>
    </row>
    <row r="741">
      <c r="A741" s="15" t="n">
        <v>711</v>
      </c>
      <c r="B741" s="16" t="inlineStr">
        <is>
          <t>4012345774672</t>
        </is>
      </c>
      <c r="C741" s="7" t="inlineStr">
        <is>
          <t>Baby potatoes, 750g</t>
        </is>
      </c>
      <c r="D741" s="17" t="n">
        <v>3513</v>
      </c>
      <c r="E741" s="18" t="n"/>
      <c r="G741" s="19">
        <f>IF(Data!AC715&gt;0,RANK(Data!AC715,Data!$AC$5:$AC$804),"")</f>
        <v/>
      </c>
      <c r="H741" s="19">
        <f>IF(N(D741)&gt;0,RANK(D741,$D$31:$D$830),"")</f>
        <v/>
      </c>
    </row>
    <row r="742">
      <c r="A742" s="15" t="n">
        <v>712</v>
      </c>
      <c r="B742" s="16" t="inlineStr">
        <is>
          <t>8712345932268</t>
        </is>
      </c>
      <c r="C742" s="7" t="inlineStr">
        <is>
          <t>Self-raising flour, 500g</t>
        </is>
      </c>
      <c r="D742" s="17" t="n">
        <v>5200</v>
      </c>
      <c r="E742" s="18" t="n"/>
      <c r="G742" s="19">
        <f>IF(Data!AC716&gt;0,RANK(Data!AC716,Data!$AC$5:$AC$804),"")</f>
        <v/>
      </c>
      <c r="H742" s="19">
        <f>IF(N(D742)&gt;0,RANK(D742,$D$31:$D$830),"")</f>
        <v/>
      </c>
    </row>
    <row r="743">
      <c r="A743" s="15" t="n">
        <v>713</v>
      </c>
      <c r="B743" s="16" t="inlineStr">
        <is>
          <t>4012345133905</t>
        </is>
      </c>
      <c r="C743" s="7" t="inlineStr">
        <is>
          <t>Macaroni cheese, 400g</t>
        </is>
      </c>
      <c r="D743" s="17" t="n">
        <v>6487</v>
      </c>
      <c r="E743" s="18" t="n"/>
      <c r="G743" s="19">
        <f>IF(Data!AC717&gt;0,RANK(Data!AC717,Data!$AC$5:$AC$804),"")</f>
        <v/>
      </c>
      <c r="H743" s="19">
        <f>IF(N(D743)&gt;0,RANK(D743,$D$31:$D$830),"")</f>
        <v/>
      </c>
    </row>
    <row r="744">
      <c r="A744" s="15" t="n">
        <v>714</v>
      </c>
      <c r="B744" s="16" t="inlineStr">
        <is>
          <t>3012345945219</t>
        </is>
      </c>
      <c r="C744" s="7" t="inlineStr">
        <is>
          <t>Vanilla ice cream cones, 1.8l</t>
        </is>
      </c>
      <c r="D744" s="17" t="n">
        <v>2508</v>
      </c>
      <c r="E744" s="18" t="n"/>
      <c r="G744" s="19">
        <f>IF(Data!AC718&gt;0,RANK(Data!AC718,Data!$AC$5:$AC$804),"")</f>
        <v/>
      </c>
      <c r="H744" s="19">
        <f>IF(N(D744)&gt;0,RANK(D744,$D$31:$D$830),"")</f>
        <v/>
      </c>
    </row>
    <row r="745">
      <c r="A745" s="15" t="n">
        <v>715</v>
      </c>
      <c r="B745" s="16" t="inlineStr">
        <is>
          <t>5012345680170</t>
        </is>
      </c>
      <c r="C745" s="7" t="inlineStr">
        <is>
          <t>Ginger nut biscuits, 400g</t>
        </is>
      </c>
      <c r="D745" s="17" t="n">
        <v>6267</v>
      </c>
      <c r="E745" s="18" t="n"/>
      <c r="G745" s="19">
        <f>IF(Data!AC719&gt;0,RANK(Data!AC719,Data!$AC$5:$AC$804),"")</f>
        <v/>
      </c>
      <c r="H745" s="19">
        <f>IF(N(D745)&gt;0,RANK(D745,$D$31:$D$830),"")</f>
        <v/>
      </c>
    </row>
    <row r="746">
      <c r="A746" s="15" t="n">
        <v>716</v>
      </c>
      <c r="B746" s="16" t="inlineStr">
        <is>
          <t>5012345015279</t>
        </is>
      </c>
      <c r="C746" s="7" t="inlineStr">
        <is>
          <t>Turkey breast slices, 100g</t>
        </is>
      </c>
      <c r="D746" s="17" t="n">
        <v>24956</v>
      </c>
      <c r="E746" s="18" t="n"/>
      <c r="G746" s="19">
        <f>IF(Data!AC720&gt;0,RANK(Data!AC720,Data!$AC$5:$AC$804),"")</f>
        <v/>
      </c>
      <c r="H746" s="19">
        <f>IF(N(D746)&gt;0,RANK(D746,$D$31:$D$830),"")</f>
        <v/>
      </c>
    </row>
    <row r="747">
      <c r="A747" s="15" t="n">
        <v>717</v>
      </c>
      <c r="B747" s="16" t="inlineStr">
        <is>
          <t>8712345982102</t>
        </is>
      </c>
      <c r="C747" s="7" t="inlineStr">
        <is>
          <t>Green lentils, 500g</t>
        </is>
      </c>
      <c r="D747" s="17" t="n">
        <v>4958</v>
      </c>
      <c r="E747" s="18" t="n"/>
      <c r="G747" s="19">
        <f>IF(Data!AC721&gt;0,RANK(Data!AC721,Data!$AC$5:$AC$804),"")</f>
        <v/>
      </c>
      <c r="H747" s="19">
        <f>IF(N(D747)&gt;0,RANK(D747,$D$31:$D$830),"")</f>
        <v/>
      </c>
    </row>
    <row r="748">
      <c r="A748" s="15" t="n">
        <v>718</v>
      </c>
      <c r="B748" s="16" t="inlineStr">
        <is>
          <t>3012345892384</t>
        </is>
      </c>
      <c r="C748" s="7" t="inlineStr">
        <is>
          <t>Cashew nuts, 100g</t>
        </is>
      </c>
      <c r="D748" s="17" t="n">
        <v>24496</v>
      </c>
      <c r="E748" s="18" t="n"/>
      <c r="G748" s="19">
        <f>IF(Data!AC722&gt;0,RANK(Data!AC722,Data!$AC$5:$AC$804),"")</f>
        <v/>
      </c>
      <c r="H748" s="19">
        <f>IF(N(D748)&gt;0,RANK(D748,$D$31:$D$830),"")</f>
        <v/>
      </c>
    </row>
    <row r="749">
      <c r="A749" s="15" t="n">
        <v>719</v>
      </c>
      <c r="B749" s="16" t="inlineStr">
        <is>
          <t>8712345372811</t>
        </is>
      </c>
      <c r="C749" s="7" t="inlineStr">
        <is>
          <t>Blended whisky, 1l</t>
        </is>
      </c>
      <c r="D749" s="17" t="n">
        <v>2429</v>
      </c>
      <c r="E749" s="18" t="n"/>
      <c r="G749" s="19">
        <f>IF(Data!AC723&gt;0,RANK(Data!AC723,Data!$AC$5:$AC$804),"")</f>
        <v/>
      </c>
      <c r="H749" s="19">
        <f>IF(N(D749)&gt;0,RANK(D749,$D$31:$D$830),"")</f>
        <v/>
      </c>
    </row>
    <row r="750">
      <c r="A750" s="15" t="n">
        <v>720</v>
      </c>
      <c r="B750" s="16" t="inlineStr">
        <is>
          <t>5012345255620</t>
        </is>
      </c>
      <c r="C750" s="7" t="inlineStr">
        <is>
          <t>Blended whisky, 70cl</t>
        </is>
      </c>
      <c r="D750" s="17" t="n">
        <v>3425</v>
      </c>
      <c r="E750" s="18" t="n"/>
      <c r="G750" s="19">
        <f>IF(Data!AC724&gt;0,RANK(Data!AC724,Data!$AC$5:$AC$804),"")</f>
        <v/>
      </c>
      <c r="H750" s="19">
        <f>IF(N(D750)&gt;0,RANK(D750,$D$31:$D$830),"")</f>
        <v/>
      </c>
    </row>
    <row r="751">
      <c r="A751" s="15" t="n">
        <v>721</v>
      </c>
      <c r="B751" s="16" t="inlineStr">
        <is>
          <t>3012345838603</t>
        </is>
      </c>
      <c r="C751" s="7" t="inlineStr">
        <is>
          <t>Green lentils, 500g</t>
        </is>
      </c>
      <c r="D751" s="17" t="n">
        <v>4788</v>
      </c>
      <c r="E751" s="18" t="n"/>
      <c r="G751" s="19">
        <f>IF(Data!AC725&gt;0,RANK(Data!AC725,Data!$AC$5:$AC$804),"")</f>
        <v/>
      </c>
      <c r="H751" s="19">
        <f>IF(N(D751)&gt;0,RANK(D751,$D$31:$D$830),"")</f>
        <v/>
      </c>
    </row>
    <row r="752">
      <c r="A752" s="15" t="n">
        <v>722</v>
      </c>
      <c r="B752" s="16" t="inlineStr">
        <is>
          <t>3012345314992</t>
        </is>
      </c>
      <c r="C752" s="7" t="inlineStr">
        <is>
          <t>Lamb leg steaks, 500g</t>
        </is>
      </c>
      <c r="D752" s="17" t="n">
        <v>4784</v>
      </c>
      <c r="E752" s="18" t="n"/>
      <c r="G752" s="19">
        <f>IF(Data!AC726&gt;0,RANK(Data!AC726,Data!$AC$5:$AC$804),"")</f>
        <v/>
      </c>
      <c r="H752" s="19">
        <f>IF(N(D752)&gt;0,RANK(D752,$D$31:$D$830),"")</f>
        <v/>
      </c>
    </row>
    <row r="753">
      <c r="A753" s="15" t="n">
        <v>723</v>
      </c>
      <c r="B753" s="16" t="inlineStr">
        <is>
          <t>4012345753233</t>
        </is>
      </c>
      <c r="C753" s="7" t="inlineStr">
        <is>
          <t>Plain soft cheese, 250g</t>
        </is>
      </c>
      <c r="D753" s="17" t="n">
        <v>9413</v>
      </c>
      <c r="E753" s="18" t="n"/>
      <c r="G753" s="19">
        <f>IF(Data!AC727&gt;0,RANK(Data!AC727,Data!$AC$5:$AC$804),"")</f>
        <v/>
      </c>
      <c r="H753" s="19">
        <f>IF(N(D753)&gt;0,RANK(D753,$D$31:$D$830),"")</f>
        <v/>
      </c>
    </row>
    <row r="754">
      <c r="A754" s="15" t="n">
        <v>724</v>
      </c>
      <c r="B754" s="16" t="inlineStr">
        <is>
          <t>5012345352473</t>
        </is>
      </c>
      <c r="C754" s="7" t="inlineStr">
        <is>
          <t>Firm tofu, 280g</t>
        </is>
      </c>
      <c r="D754" s="17" t="n">
        <v>8400</v>
      </c>
      <c r="E754" s="18" t="n"/>
      <c r="G754" s="19">
        <f>IF(Data!AC728&gt;0,RANK(Data!AC728,Data!$AC$5:$AC$804),"")</f>
        <v/>
      </c>
      <c r="H754" s="19">
        <f>IF(N(D754)&gt;0,RANK(D754,$D$31:$D$830),"")</f>
        <v/>
      </c>
    </row>
    <row r="755">
      <c r="A755" s="15" t="n">
        <v>725</v>
      </c>
      <c r="B755" s="16" t="inlineStr">
        <is>
          <t>4012345824742</t>
        </is>
      </c>
      <c r="C755" s="7" t="inlineStr">
        <is>
          <t>Turkey mince, 500g</t>
        </is>
      </c>
      <c r="D755" s="17" t="n">
        <v>4628</v>
      </c>
      <c r="E755" s="18" t="n"/>
      <c r="G755" s="19">
        <f>IF(Data!AC729&gt;0,RANK(Data!AC729,Data!$AC$5:$AC$804),"")</f>
        <v/>
      </c>
      <c r="H755" s="19">
        <f>IF(N(D755)&gt;0,RANK(D755,$D$31:$D$830),"")</f>
        <v/>
      </c>
    </row>
    <row r="756">
      <c r="A756" s="15" t="n">
        <v>726</v>
      </c>
      <c r="B756" s="16" t="inlineStr">
        <is>
          <t>3012345878289</t>
        </is>
      </c>
      <c r="C756" s="7" t="inlineStr">
        <is>
          <t>Egg lasagne sheets, 500g</t>
        </is>
      </c>
      <c r="D756" s="17" t="n">
        <v>4575</v>
      </c>
      <c r="E756" s="18" t="n"/>
      <c r="G756" s="19">
        <f>IF(Data!AC730&gt;0,RANK(Data!AC730,Data!$AC$5:$AC$804),"")</f>
        <v/>
      </c>
      <c r="H756" s="19">
        <f>IF(N(D756)&gt;0,RANK(D756,$D$31:$D$830),"")</f>
        <v/>
      </c>
    </row>
    <row r="757">
      <c r="A757" s="15" t="n">
        <v>727</v>
      </c>
      <c r="B757" s="16" t="inlineStr">
        <is>
          <t>4012345674439</t>
        </is>
      </c>
      <c r="C757" s="7" t="inlineStr">
        <is>
          <t>Chocolate chip cookies, 200g</t>
        </is>
      </c>
      <c r="D757" s="17" t="n">
        <v>11191</v>
      </c>
      <c r="E757" s="18" t="n"/>
      <c r="G757" s="19">
        <f>IF(Data!AC731&gt;0,RANK(Data!AC731,Data!$AC$5:$AC$804),"")</f>
        <v/>
      </c>
      <c r="H757" s="19">
        <f>IF(N(D757)&gt;0,RANK(D757,$D$31:$D$830),"")</f>
        <v/>
      </c>
    </row>
    <row r="758">
      <c r="A758" s="15" t="n">
        <v>728</v>
      </c>
      <c r="B758" s="16" t="inlineStr">
        <is>
          <t>3012345835619</t>
        </is>
      </c>
      <c r="C758" s="7" t="inlineStr">
        <is>
          <t>Whole coffee beans, 227g</t>
        </is>
      </c>
      <c r="D758" s="17" t="n">
        <v>9849</v>
      </c>
      <c r="E758" s="18" t="n"/>
      <c r="G758" s="19">
        <f>IF(Data!AC732&gt;0,RANK(Data!AC732,Data!$AC$5:$AC$804),"")</f>
        <v/>
      </c>
      <c r="H758" s="19">
        <f>IF(N(D758)&gt;0,RANK(D758,$D$31:$D$830),"")</f>
        <v/>
      </c>
    </row>
    <row r="759">
      <c r="A759" s="15" t="n">
        <v>729</v>
      </c>
      <c r="B759" s="16" t="inlineStr">
        <is>
          <t>5012345947181</t>
        </is>
      </c>
      <c r="C759" s="7" t="inlineStr">
        <is>
          <t>Egg tagliatelle, 500g</t>
        </is>
      </c>
      <c r="D759" s="17" t="n">
        <v>4407</v>
      </c>
      <c r="E759" s="18" t="n"/>
      <c r="G759" s="19">
        <f>IF(Data!AC733&gt;0,RANK(Data!AC733,Data!$AC$5:$AC$804),"")</f>
        <v/>
      </c>
      <c r="H759" s="19">
        <f>IF(N(D759)&gt;0,RANK(D759,$D$31:$D$830),"")</f>
        <v/>
      </c>
    </row>
    <row r="760">
      <c r="A760" s="15" t="n">
        <v>730</v>
      </c>
      <c r="B760" s="16" t="inlineStr">
        <is>
          <t>8712345499532</t>
        </is>
      </c>
      <c r="C760" s="7" t="inlineStr">
        <is>
          <t>Bin bags, 50 L</t>
        </is>
      </c>
      <c r="D760" s="17" t="n">
        <v>10971</v>
      </c>
      <c r="E760" s="18" t="n"/>
      <c r="G760" s="19">
        <f>IF(Data!AC734&gt;0,RANK(Data!AC734,Data!$AC$5:$AC$804),"")</f>
        <v/>
      </c>
      <c r="H760" s="19">
        <f>IF(N(D760)&gt;0,RANK(D760,$D$31:$D$830),"")</f>
        <v/>
      </c>
    </row>
    <row r="761">
      <c r="A761" s="15" t="n">
        <v>731</v>
      </c>
      <c r="B761" s="16" t="inlineStr">
        <is>
          <t>0012345722004</t>
        </is>
      </c>
      <c r="C761" s="7" t="inlineStr">
        <is>
          <t>Milano salami, 200g</t>
        </is>
      </c>
      <c r="D761" s="17" t="n">
        <v>10929</v>
      </c>
      <c r="E761" s="18" t="n"/>
      <c r="G761" s="19">
        <f>IF(Data!AC735&gt;0,RANK(Data!AC735,Data!$AC$5:$AC$804),"")</f>
        <v/>
      </c>
      <c r="H761" s="19">
        <f>IF(N(D761)&gt;0,RANK(D761,$D$31:$D$830),"")</f>
        <v/>
      </c>
    </row>
    <row r="762">
      <c r="A762" s="15" t="n">
        <v>732</v>
      </c>
      <c r="B762" s="16" t="inlineStr">
        <is>
          <t>5012345012742</t>
        </is>
      </c>
      <c r="C762" s="7" t="inlineStr">
        <is>
          <t>Chorizo slices, 100g</t>
        </is>
      </c>
      <c r="D762" s="17" t="n">
        <v>21267</v>
      </c>
      <c r="E762" s="18" t="n"/>
      <c r="G762" s="19">
        <f>IF(Data!AC736&gt;0,RANK(Data!AC736,Data!$AC$5:$AC$804),"")</f>
        <v/>
      </c>
      <c r="H762" s="19">
        <f>IF(N(D762)&gt;0,RANK(D762,$D$31:$D$830),"")</f>
        <v/>
      </c>
    </row>
    <row r="763">
      <c r="A763" s="15" t="n">
        <v>733</v>
      </c>
      <c r="B763" s="16" t="inlineStr">
        <is>
          <t>4012345933673</t>
        </is>
      </c>
      <c r="C763" s="7" t="inlineStr">
        <is>
          <t>Dark chocolate with orange, 100g</t>
        </is>
      </c>
      <c r="D763" s="17" t="n">
        <v>20716</v>
      </c>
      <c r="E763" s="18" t="n"/>
      <c r="G763" s="19">
        <f>IF(Data!AC737&gt;0,RANK(Data!AC737,Data!$AC$5:$AC$804),"")</f>
        <v/>
      </c>
      <c r="H763" s="19">
        <f>IF(N(D763)&gt;0,RANK(D763,$D$31:$D$830),"")</f>
        <v/>
      </c>
    </row>
    <row r="764">
      <c r="A764" s="15" t="n">
        <v>734</v>
      </c>
      <c r="B764" s="16" t="inlineStr">
        <is>
          <t>4012345834109</t>
        </is>
      </c>
      <c r="C764" s="7" t="inlineStr">
        <is>
          <t>Milano salami, 100g</t>
        </is>
      </c>
      <c r="D764" s="17" t="n">
        <v>19940</v>
      </c>
      <c r="E764" s="18" t="n"/>
      <c r="G764" s="19">
        <f>IF(Data!AC738&gt;0,RANK(Data!AC738,Data!$AC$5:$AC$804),"")</f>
        <v/>
      </c>
      <c r="H764" s="19">
        <f>IF(N(D764)&gt;0,RANK(D764,$D$31:$D$830),"")</f>
        <v/>
      </c>
    </row>
    <row r="765">
      <c r="A765" s="15" t="n">
        <v>735</v>
      </c>
      <c r="B765" s="16" t="inlineStr">
        <is>
          <t>8712345538514</t>
        </is>
      </c>
      <c r="C765" s="7" t="inlineStr">
        <is>
          <t>Quark, 300g</t>
        </is>
      </c>
      <c r="D765" s="17" t="n">
        <v>6577</v>
      </c>
      <c r="E765" s="18" t="n"/>
      <c r="G765" s="19">
        <f>IF(Data!AC739&gt;0,RANK(Data!AC739,Data!$AC$5:$AC$804),"")</f>
        <v/>
      </c>
      <c r="H765" s="19">
        <f>IF(N(D765)&gt;0,RANK(D765,$D$31:$D$830),"")</f>
        <v/>
      </c>
    </row>
    <row r="766">
      <c r="A766" s="15" t="n">
        <v>736</v>
      </c>
      <c r="B766" s="16" t="inlineStr">
        <is>
          <t>0012345672675</t>
        </is>
      </c>
      <c r="C766" s="7" t="inlineStr">
        <is>
          <t>Chocolate fudge cake, 400g</t>
        </is>
      </c>
      <c r="D766" s="17" t="n">
        <v>4660</v>
      </c>
      <c r="E766" s="18" t="n"/>
      <c r="G766" s="19">
        <f>IF(Data!AC740&gt;0,RANK(Data!AC740,Data!$AC$5:$AC$804),"")</f>
        <v/>
      </c>
      <c r="H766" s="19">
        <f>IF(N(D766)&gt;0,RANK(D766,$D$31:$D$830),"")</f>
        <v/>
      </c>
    </row>
    <row r="767">
      <c r="A767" s="15" t="n">
        <v>737</v>
      </c>
      <c r="B767" s="16" t="inlineStr">
        <is>
          <t>4012345548290</t>
        </is>
      </c>
      <c r="C767" s="7" t="inlineStr">
        <is>
          <t>Tempeh, 200g</t>
        </is>
      </c>
      <c r="D767" s="17" t="n">
        <v>9263</v>
      </c>
      <c r="E767" s="18" t="n"/>
      <c r="G767" s="19">
        <f>IF(Data!AC741&gt;0,RANK(Data!AC741,Data!$AC$5:$AC$804),"")</f>
        <v/>
      </c>
      <c r="H767" s="19">
        <f>IF(N(D767)&gt;0,RANK(D767,$D$31:$D$830),"")</f>
        <v/>
      </c>
    </row>
    <row r="768">
      <c r="A768" s="15" t="n">
        <v>738</v>
      </c>
      <c r="B768" s="16" t="inlineStr">
        <is>
          <t>3012345311694</t>
        </is>
      </c>
      <c r="C768" s="7" t="inlineStr">
        <is>
          <t>Smooth peanut butter, 340g</t>
        </is>
      </c>
      <c r="D768" s="17" t="n">
        <v>5384</v>
      </c>
      <c r="E768" s="18" t="n"/>
      <c r="G768" s="19">
        <f>IF(Data!AC742&gt;0,RANK(Data!AC742,Data!$AC$5:$AC$804),"")</f>
        <v/>
      </c>
      <c r="H768" s="19">
        <f>IF(N(D768)&gt;0,RANK(D768,$D$31:$D$830),"")</f>
        <v/>
      </c>
    </row>
    <row r="769">
      <c r="A769" s="15" t="n">
        <v>739</v>
      </c>
      <c r="B769" s="16" t="inlineStr">
        <is>
          <t>5012345442020</t>
        </is>
      </c>
      <c r="C769" s="7" t="inlineStr">
        <is>
          <t>Chicken mayo sandwich</t>
        </is>
      </c>
      <c r="D769" s="17" t="n">
        <v>9943</v>
      </c>
      <c r="E769" s="18" t="n"/>
      <c r="G769" s="19">
        <f>IF(Data!AC743&gt;0,RANK(Data!AC743,Data!$AC$5:$AC$804),"")</f>
        <v/>
      </c>
      <c r="H769" s="19">
        <f>IF(N(D769)&gt;0,RANK(D769,$D$31:$D$830),"")</f>
        <v/>
      </c>
    </row>
    <row r="770">
      <c r="A770" s="15" t="n">
        <v>740</v>
      </c>
      <c r="B770" s="16" t="inlineStr">
        <is>
          <t>8712345904869</t>
        </is>
      </c>
      <c r="C770" s="7" t="inlineStr">
        <is>
          <t>Medium roast ground coffee, 227g</t>
        </is>
      </c>
      <c r="D770" s="17" t="n">
        <v>7851</v>
      </c>
      <c r="E770" s="18" t="n"/>
      <c r="G770" s="19">
        <f>IF(Data!AC744&gt;0,RANK(Data!AC744,Data!$AC$5:$AC$804),"")</f>
        <v/>
      </c>
      <c r="H770" s="19">
        <f>IF(N(D770)&gt;0,RANK(D770,$D$31:$D$830),"")</f>
        <v/>
      </c>
    </row>
    <row r="771">
      <c r="A771" s="15" t="n">
        <v>741</v>
      </c>
      <c r="B771" s="16" t="inlineStr">
        <is>
          <t>8712345557928</t>
        </is>
      </c>
      <c r="C771" s="7" t="inlineStr">
        <is>
          <t>Pepperoni slices, 70g</t>
        </is>
      </c>
      <c r="D771" s="17" t="n">
        <v>25079</v>
      </c>
      <c r="E771" s="18" t="n"/>
      <c r="G771" s="19">
        <f>IF(Data!AC745&gt;0,RANK(Data!AC745,Data!$AC$5:$AC$804),"")</f>
        <v/>
      </c>
      <c r="H771" s="19">
        <f>IF(N(D771)&gt;0,RANK(D771,$D$31:$D$830),"")</f>
        <v/>
      </c>
    </row>
    <row r="772">
      <c r="A772" s="15" t="n">
        <v>742</v>
      </c>
      <c r="B772" s="16" t="inlineStr">
        <is>
          <t>8712345377458</t>
        </is>
      </c>
      <c r="C772" s="7" t="inlineStr">
        <is>
          <t>Sour cream &amp; onion crisps, 6pk 150g</t>
        </is>
      </c>
      <c r="D772" s="17" t="n">
        <v>11670</v>
      </c>
      <c r="E772" s="18" t="n"/>
      <c r="G772" s="19">
        <f>IF(Data!AC746&gt;0,RANK(Data!AC746,Data!$AC$5:$AC$804),"")</f>
        <v/>
      </c>
      <c r="H772" s="19">
        <f>IF(N(D772)&gt;0,RANK(D772,$D$31:$D$830),"")</f>
        <v/>
      </c>
    </row>
    <row r="773">
      <c r="A773" s="15" t="n">
        <v>743</v>
      </c>
      <c r="B773" s="16" t="inlineStr">
        <is>
          <t>5012345688879</t>
        </is>
      </c>
      <c r="C773" s="7" t="inlineStr">
        <is>
          <t>Tealights, 2pk</t>
        </is>
      </c>
      <c r="D773" s="17" t="n">
        <v>5828</v>
      </c>
      <c r="E773" s="18" t="n"/>
      <c r="G773" s="19">
        <f>IF(Data!AC747&gt;0,RANK(Data!AC747,Data!$AC$5:$AC$804),"")</f>
        <v/>
      </c>
      <c r="H773" s="19">
        <f>IF(N(D773)&gt;0,RANK(D773,$D$31:$D$830),"")</f>
        <v/>
      </c>
    </row>
    <row r="774">
      <c r="A774" s="15" t="n">
        <v>744</v>
      </c>
      <c r="B774" s="16" t="inlineStr">
        <is>
          <t>8712345851774</t>
        </is>
      </c>
      <c r="C774" s="7" t="inlineStr">
        <is>
          <t>Pork chipolatas, 6pk</t>
        </is>
      </c>
      <c r="D774" s="17" t="n">
        <v>4349</v>
      </c>
      <c r="E774" s="18" t="n"/>
      <c r="G774" s="19">
        <f>IF(Data!AC748&gt;0,RANK(Data!AC748,Data!$AC$5:$AC$804),"")</f>
        <v/>
      </c>
      <c r="H774" s="19">
        <f>IF(N(D774)&gt;0,RANK(D774,$D$31:$D$830),"")</f>
        <v/>
      </c>
    </row>
    <row r="775">
      <c r="A775" s="15" t="n">
        <v>745</v>
      </c>
      <c r="B775" s="16" t="inlineStr">
        <is>
          <t>4012345785937</t>
        </is>
      </c>
      <c r="C775" s="7" t="inlineStr">
        <is>
          <t>Whole almonds, 100g</t>
        </is>
      </c>
      <c r="D775" s="17" t="n">
        <v>17120</v>
      </c>
      <c r="E775" s="18" t="n"/>
      <c r="G775" s="19">
        <f>IF(Data!AC749&gt;0,RANK(Data!AC749,Data!$AC$5:$AC$804),"")</f>
        <v/>
      </c>
      <c r="H775" s="19">
        <f>IF(N(D775)&gt;0,RANK(D775,$D$31:$D$830),"")</f>
        <v/>
      </c>
    </row>
    <row r="776">
      <c r="A776" s="15" t="n">
        <v>746</v>
      </c>
      <c r="B776" s="16" t="inlineStr">
        <is>
          <t>4012345281668</t>
        </is>
      </c>
      <c r="C776" s="7" t="inlineStr">
        <is>
          <t>Leaf spinach, 750g</t>
        </is>
      </c>
      <c r="D776" s="17" t="n">
        <v>2163</v>
      </c>
      <c r="E776" s="18" t="n"/>
      <c r="G776" s="19">
        <f>IF(Data!AC750&gt;0,RANK(Data!AC750,Data!$AC$5:$AC$804),"")</f>
        <v/>
      </c>
      <c r="H776" s="19">
        <f>IF(N(D776)&gt;0,RANK(D776,$D$31:$D$830),"")</f>
        <v/>
      </c>
    </row>
    <row r="777">
      <c r="A777" s="15" t="n">
        <v>747</v>
      </c>
      <c r="B777" s="16" t="inlineStr">
        <is>
          <t>5012345198972</t>
        </is>
      </c>
      <c r="C777" s="7" t="inlineStr">
        <is>
          <t>Mild cheddar, 200g</t>
        </is>
      </c>
      <c r="D777" s="17" t="n">
        <v>8110</v>
      </c>
      <c r="E777" s="18" t="n"/>
      <c r="G777" s="19">
        <f>IF(Data!AC751&gt;0,RANK(Data!AC751,Data!$AC$5:$AC$804),"")</f>
        <v/>
      </c>
      <c r="H777" s="19">
        <f>IF(N(D777)&gt;0,RANK(D777,$D$31:$D$830),"")</f>
        <v/>
      </c>
    </row>
    <row r="778">
      <c r="A778" s="15" t="n">
        <v>748</v>
      </c>
      <c r="B778" s="16" t="inlineStr">
        <is>
          <t>8712345464387</t>
        </is>
      </c>
      <c r="C778" s="7" t="inlineStr">
        <is>
          <t>Salted peanuts, 100g</t>
        </is>
      </c>
      <c r="D778" s="17" t="n">
        <v>16037</v>
      </c>
      <c r="E778" s="18" t="n"/>
      <c r="G778" s="19">
        <f>IF(Data!AC752&gt;0,RANK(Data!AC752,Data!$AC$5:$AC$804),"")</f>
        <v/>
      </c>
      <c r="H778" s="19">
        <f>IF(N(D778)&gt;0,RANK(D778,$D$31:$D$830),"")</f>
        <v/>
      </c>
    </row>
    <row r="779">
      <c r="A779" s="15" t="n">
        <v>749</v>
      </c>
      <c r="B779" s="16" t="inlineStr">
        <is>
          <t>5012345110189</t>
        </is>
      </c>
      <c r="C779" s="7" t="inlineStr">
        <is>
          <t>Tomato ketchup, 200g</t>
        </is>
      </c>
      <c r="D779" s="17" t="n">
        <v>7946</v>
      </c>
      <c r="E779" s="18" t="n"/>
      <c r="G779" s="19">
        <f>IF(Data!AC753&gt;0,RANK(Data!AC753,Data!$AC$5:$AC$804),"")</f>
        <v/>
      </c>
      <c r="H779" s="19">
        <f>IF(N(D779)&gt;0,RANK(D779,$D$31:$D$830),"")</f>
        <v/>
      </c>
    </row>
    <row r="780">
      <c r="A780" s="15" t="n">
        <v>750</v>
      </c>
      <c r="B780" s="16" t="inlineStr">
        <is>
          <t>8712345209193</t>
        </is>
      </c>
      <c r="C780" s="7" t="inlineStr">
        <is>
          <t>Pepperoni slices, 100g</t>
        </is>
      </c>
      <c r="D780" s="17" t="n">
        <v>15800</v>
      </c>
      <c r="E780" s="18" t="n"/>
      <c r="G780" s="19">
        <f>IF(Data!AC754&gt;0,RANK(Data!AC754,Data!$AC$5:$AC$804),"")</f>
        <v/>
      </c>
      <c r="H780" s="19">
        <f>IF(N(D780)&gt;0,RANK(D780,$D$31:$D$830),"")</f>
        <v/>
      </c>
    </row>
    <row r="781">
      <c r="A781" s="15" t="n">
        <v>751</v>
      </c>
      <c r="B781" s="16" t="inlineStr">
        <is>
          <t>3012345993951</t>
        </is>
      </c>
      <c r="C781" s="7" t="inlineStr">
        <is>
          <t>Mackerel fillets in tomato sauce, 4x110g</t>
        </is>
      </c>
      <c r="D781" s="17" t="n">
        <v>3555</v>
      </c>
      <c r="E781" s="18" t="n"/>
      <c r="G781" s="19">
        <f>IF(Data!AC755&gt;0,RANK(Data!AC755,Data!$AC$5:$AC$804),"")</f>
        <v/>
      </c>
      <c r="H781" s="19">
        <f>IF(N(D781)&gt;0,RANK(D781,$D$31:$D$830),"")</f>
        <v/>
      </c>
    </row>
    <row r="782">
      <c r="A782" s="15" t="n">
        <v>752</v>
      </c>
      <c r="B782" s="16" t="inlineStr">
        <is>
          <t>5012345995830</t>
        </is>
      </c>
      <c r="C782" s="7" t="inlineStr">
        <is>
          <t>Turkey mince, 400g</t>
        </is>
      </c>
      <c r="D782" s="17" t="n">
        <v>3905</v>
      </c>
      <c r="E782" s="18" t="n"/>
      <c r="G782" s="19">
        <f>IF(Data!AC756&gt;0,RANK(Data!AC756,Data!$AC$5:$AC$804),"")</f>
        <v/>
      </c>
      <c r="H782" s="19">
        <f>IF(N(D782)&gt;0,RANK(D782,$D$31:$D$830),"")</f>
        <v/>
      </c>
    </row>
    <row r="783">
      <c r="A783" s="15" t="n">
        <v>753</v>
      </c>
      <c r="B783" s="16" t="inlineStr">
        <is>
          <t>8712345818494</t>
        </is>
      </c>
      <c r="C783" s="7" t="inlineStr">
        <is>
          <t>Yellow split peas, 500g</t>
        </is>
      </c>
      <c r="D783" s="17" t="n">
        <v>3116</v>
      </c>
      <c r="E783" s="18" t="n"/>
      <c r="G783" s="19">
        <f>IF(Data!AC757&gt;0,RANK(Data!AC757,Data!$AC$5:$AC$804),"")</f>
        <v/>
      </c>
      <c r="H783" s="19">
        <f>IF(N(D783)&gt;0,RANK(D783,$D$31:$D$830),"")</f>
        <v/>
      </c>
    </row>
    <row r="784">
      <c r="A784" s="15" t="n">
        <v>754</v>
      </c>
      <c r="B784" s="16" t="inlineStr">
        <is>
          <t>8712345136239</t>
        </is>
      </c>
      <c r="C784" s="7" t="inlineStr">
        <is>
          <t>Vegetable chilli with rice, 400g</t>
        </is>
      </c>
      <c r="D784" s="17" t="n">
        <v>3884</v>
      </c>
      <c r="E784" s="18" t="n"/>
      <c r="G784" s="19">
        <f>IF(Data!AC758&gt;0,RANK(Data!AC758,Data!$AC$5:$AC$804),"")</f>
        <v/>
      </c>
      <c r="H784" s="19">
        <f>IF(N(D784)&gt;0,RANK(D784,$D$31:$D$830),"")</f>
        <v/>
      </c>
    </row>
    <row r="785">
      <c r="A785" s="15" t="n">
        <v>755</v>
      </c>
      <c r="B785" s="16" t="inlineStr">
        <is>
          <t>8712345317010</t>
        </is>
      </c>
      <c r="C785" s="7" t="inlineStr">
        <is>
          <t>Oat &amp; raisin bars, 5x35g</t>
        </is>
      </c>
      <c r="D785" s="17" t="n">
        <v>8680</v>
      </c>
      <c r="E785" s="18" t="n"/>
      <c r="G785" s="19">
        <f>IF(Data!AC759&gt;0,RANK(Data!AC759,Data!$AC$5:$AC$804),"")</f>
        <v/>
      </c>
      <c r="H785" s="19">
        <f>IF(N(D785)&gt;0,RANK(D785,$D$31:$D$830),"")</f>
        <v/>
      </c>
    </row>
    <row r="786">
      <c r="A786" s="15" t="n">
        <v>756</v>
      </c>
      <c r="B786" s="16" t="inlineStr">
        <is>
          <t>4012345424133</t>
        </is>
      </c>
      <c r="C786" s="7" t="inlineStr">
        <is>
          <t>Cheese &amp; onion crisps, 6pk 150g</t>
        </is>
      </c>
      <c r="D786" s="17" t="n">
        <v>10073</v>
      </c>
      <c r="E786" s="18" t="n"/>
      <c r="G786" s="19">
        <f>IF(Data!AC760&gt;0,RANK(Data!AC760,Data!$AC$5:$AC$804),"")</f>
        <v/>
      </c>
      <c r="H786" s="19">
        <f>IF(N(D786)&gt;0,RANK(D786,$D$31:$D$830),"")</f>
        <v/>
      </c>
    </row>
    <row r="787">
      <c r="A787" s="15" t="n">
        <v>757</v>
      </c>
      <c r="B787" s="16" t="inlineStr">
        <is>
          <t>4012345017243</t>
        </is>
      </c>
      <c r="C787" s="7" t="inlineStr">
        <is>
          <t>Smoked salmon trimmings, 100g</t>
        </is>
      </c>
      <c r="D787" s="17" t="n">
        <v>14458</v>
      </c>
      <c r="E787" s="18" t="n"/>
      <c r="G787" s="19">
        <f>IF(Data!AC761&gt;0,RANK(Data!AC761,Data!$AC$5:$AC$804),"")</f>
        <v/>
      </c>
      <c r="H787" s="19">
        <f>IF(N(D787)&gt;0,RANK(D787,$D$31:$D$830),"")</f>
        <v/>
      </c>
    </row>
    <row r="788">
      <c r="A788" s="15" t="n">
        <v>758</v>
      </c>
      <c r="B788" s="16" t="inlineStr">
        <is>
          <t>8712345783174</t>
        </is>
      </c>
      <c r="C788" s="7" t="inlineStr">
        <is>
          <t>Vanilla protein shake, 330ml</t>
        </is>
      </c>
      <c r="D788" s="17" t="n">
        <v>4219</v>
      </c>
      <c r="E788" s="18" t="n"/>
      <c r="G788" s="19">
        <f>IF(Data!AC762&gt;0,RANK(Data!AC762,Data!$AC$5:$AC$804),"")</f>
        <v/>
      </c>
      <c r="H788" s="19">
        <f>IF(N(D788)&gt;0,RANK(D788,$D$31:$D$830),"")</f>
        <v/>
      </c>
    </row>
    <row r="789">
      <c r="A789" s="15" t="n">
        <v>759</v>
      </c>
      <c r="B789" s="16" t="inlineStr">
        <is>
          <t>5012345474786</t>
        </is>
      </c>
      <c r="C789" s="7" t="inlineStr">
        <is>
          <t>70% dark chocolate, 100g</t>
        </is>
      </c>
      <c r="D789" s="17" t="n">
        <v>14181</v>
      </c>
      <c r="E789" s="18" t="n"/>
      <c r="G789" s="19">
        <f>IF(Data!AC763&gt;0,RANK(Data!AC763,Data!$AC$5:$AC$804),"")</f>
        <v/>
      </c>
      <c r="H789" s="19">
        <f>IF(N(D789)&gt;0,RANK(D789,$D$31:$D$830),"")</f>
        <v/>
      </c>
    </row>
    <row r="790">
      <c r="A790" s="15" t="n">
        <v>760</v>
      </c>
      <c r="B790" s="16" t="inlineStr">
        <is>
          <t>4012345639735</t>
        </is>
      </c>
      <c r="C790" s="7" t="inlineStr">
        <is>
          <t>Sunflower seeds, 150g</t>
        </is>
      </c>
      <c r="D790" s="17" t="n">
        <v>9254</v>
      </c>
      <c r="E790" s="18" t="n"/>
      <c r="G790" s="19">
        <f>IF(Data!AC764&gt;0,RANK(Data!AC764,Data!$AC$5:$AC$804),"")</f>
        <v/>
      </c>
      <c r="H790" s="19">
        <f>IF(N(D790)&gt;0,RANK(D790,$D$31:$D$830),"")</f>
        <v/>
      </c>
    </row>
    <row r="791">
      <c r="A791" s="15" t="n">
        <v>761</v>
      </c>
      <c r="B791" s="16" t="inlineStr">
        <is>
          <t>8712345036478</t>
        </is>
      </c>
      <c r="C791" s="7" t="inlineStr">
        <is>
          <t>Birthday candles, 4pk</t>
        </is>
      </c>
      <c r="D791" s="17" t="n">
        <v>2733</v>
      </c>
      <c r="E791" s="18" t="n"/>
      <c r="G791" s="19">
        <f>IF(Data!AC765&gt;0,RANK(Data!AC765,Data!$AC$5:$AC$804),"")</f>
        <v/>
      </c>
      <c r="H791" s="19">
        <f>IF(N(D791)&gt;0,RANK(D791,$D$31:$D$830),"")</f>
        <v/>
      </c>
    </row>
    <row r="792">
      <c r="A792" s="15" t="n">
        <v>762</v>
      </c>
      <c r="B792" s="16" t="inlineStr">
        <is>
          <t>3012345141727</t>
        </is>
      </c>
      <c r="C792" s="7" t="inlineStr">
        <is>
          <t>Salmon sushi selection, 200g</t>
        </is>
      </c>
      <c r="D792" s="17" t="n">
        <v>6749</v>
      </c>
      <c r="E792" s="18" t="n"/>
      <c r="G792" s="19">
        <f>IF(Data!AC766&gt;0,RANK(Data!AC766,Data!$AC$5:$AC$804),"")</f>
        <v/>
      </c>
      <c r="H792" s="19">
        <f>IF(N(D792)&gt;0,RANK(D792,$D$31:$D$830),"")</f>
        <v/>
      </c>
    </row>
    <row r="793">
      <c r="A793" s="15" t="n">
        <v>763</v>
      </c>
      <c r="B793" s="16" t="inlineStr">
        <is>
          <t>5012345105321</t>
        </is>
      </c>
      <c r="C793" s="7" t="inlineStr">
        <is>
          <t>Tempeh, 400g</t>
        </is>
      </c>
      <c r="D793" s="17" t="n">
        <v>3271</v>
      </c>
      <c r="E793" s="18" t="n"/>
      <c r="G793" s="19">
        <f>IF(Data!AC767&gt;0,RANK(Data!AC767,Data!$AC$5:$AC$804),"")</f>
        <v/>
      </c>
      <c r="H793" s="19">
        <f>IF(N(D793)&gt;0,RANK(D793,$D$31:$D$830),"")</f>
        <v/>
      </c>
    </row>
    <row r="794">
      <c r="A794" s="15" t="n">
        <v>764</v>
      </c>
      <c r="B794" s="16" t="inlineStr">
        <is>
          <t>4012345734041</t>
        </is>
      </c>
      <c r="C794" s="7" t="inlineStr">
        <is>
          <t>Coconut yoghurt alternative, 4x125g</t>
        </is>
      </c>
      <c r="D794" s="17" t="n">
        <v>2602</v>
      </c>
      <c r="E794" s="18" t="n"/>
      <c r="G794" s="19">
        <f>IF(Data!AC768&gt;0,RANK(Data!AC768,Data!$AC$5:$AC$804),"")</f>
        <v/>
      </c>
      <c r="H794" s="19">
        <f>IF(N(D794)&gt;0,RANK(D794,$D$31:$D$830),"")</f>
        <v/>
      </c>
    </row>
    <row r="795">
      <c r="A795" s="15" t="n">
        <v>765</v>
      </c>
      <c r="B795" s="16" t="inlineStr">
        <is>
          <t>8712345918200</t>
        </is>
      </c>
      <c r="C795" s="7" t="inlineStr">
        <is>
          <t>Cashew nuts, 100g</t>
        </is>
      </c>
      <c r="D795" s="17" t="n">
        <v>12937</v>
      </c>
      <c r="E795" s="18" t="n"/>
      <c r="G795" s="19">
        <f>IF(Data!AC769&gt;0,RANK(Data!AC769,Data!$AC$5:$AC$804),"")</f>
        <v/>
      </c>
      <c r="H795" s="19">
        <f>IF(N(D795)&gt;0,RANK(D795,$D$31:$D$830),"")</f>
        <v/>
      </c>
    </row>
    <row r="796">
      <c r="A796" s="15" t="n">
        <v>766</v>
      </c>
      <c r="B796" s="16" t="inlineStr">
        <is>
          <t>3012345386654</t>
        </is>
      </c>
      <c r="C796" s="7" t="inlineStr">
        <is>
          <t>Baby spinach</t>
        </is>
      </c>
      <c r="D796" s="17" t="n">
        <v>6468</v>
      </c>
      <c r="E796" s="18" t="n"/>
      <c r="G796" s="19">
        <f>IF(Data!AC770&gt;0,RANK(Data!AC770,Data!$AC$5:$AC$804),"")</f>
        <v/>
      </c>
      <c r="H796" s="19">
        <f>IF(N(D796)&gt;0,RANK(D796,$D$31:$D$830),"")</f>
        <v/>
      </c>
    </row>
    <row r="797">
      <c r="A797" s="15" t="n">
        <v>767</v>
      </c>
      <c r="B797" s="16" t="inlineStr">
        <is>
          <t>5012345479453</t>
        </is>
      </c>
      <c r="C797" s="7" t="inlineStr">
        <is>
          <t>Skinless salmon fillets, 240g</t>
        </is>
      </c>
      <c r="D797" s="17" t="n">
        <v>5295</v>
      </c>
      <c r="E797" s="18" t="n"/>
      <c r="G797" s="19">
        <f>IF(Data!AC771&gt;0,RANK(Data!AC771,Data!$AC$5:$AC$804),"")</f>
        <v/>
      </c>
      <c r="H797" s="19">
        <f>IF(N(D797)&gt;0,RANK(D797,$D$31:$D$830),"")</f>
        <v/>
      </c>
    </row>
    <row r="798">
      <c r="A798" s="15" t="n">
        <v>768</v>
      </c>
      <c r="B798" s="16" t="inlineStr">
        <is>
          <t>3012345357746</t>
        </is>
      </c>
      <c r="C798" s="7" t="inlineStr">
        <is>
          <t>Milk chocolate bar, 4x40g</t>
        </is>
      </c>
      <c r="D798" s="17" t="n">
        <v>7595</v>
      </c>
      <c r="E798" s="18" t="n"/>
      <c r="G798" s="19">
        <f>IF(Data!AC772&gt;0,RANK(Data!AC772,Data!$AC$5:$AC$804),"")</f>
        <v/>
      </c>
      <c r="H798" s="19">
        <f>IF(N(D798)&gt;0,RANK(D798,$D$31:$D$830),"")</f>
        <v/>
      </c>
    </row>
    <row r="799">
      <c r="A799" s="15" t="n">
        <v>769</v>
      </c>
      <c r="B799" s="16" t="inlineStr">
        <is>
          <t>8712345518806</t>
        </is>
      </c>
      <c r="C799" s="7" t="inlineStr">
        <is>
          <t>Vegan cheddar-style block, 10sl 180g</t>
        </is>
      </c>
      <c r="D799" s="17" t="n">
        <v>6548</v>
      </c>
      <c r="E799" s="18" t="n"/>
      <c r="G799" s="19">
        <f>IF(Data!AC773&gt;0,RANK(Data!AC773,Data!$AC$5:$AC$804),"")</f>
        <v/>
      </c>
      <c r="H799" s="19">
        <f>IF(N(D799)&gt;0,RANK(D799,$D$31:$D$830),"")</f>
        <v/>
      </c>
    </row>
    <row r="800">
      <c r="A800" s="15" t="n">
        <v>770</v>
      </c>
      <c r="B800" s="16" t="inlineStr">
        <is>
          <t>0012345072130</t>
        </is>
      </c>
      <c r="C800" s="7" t="inlineStr">
        <is>
          <t>Paper napkins, 4pk</t>
        </is>
      </c>
      <c r="D800" s="17" t="n">
        <v>2303</v>
      </c>
      <c r="E800" s="18" t="n"/>
      <c r="G800" s="19">
        <f>IF(Data!AC774&gt;0,RANK(Data!AC774,Data!$AC$5:$AC$804),"")</f>
        <v/>
      </c>
      <c r="H800" s="19">
        <f>IF(N(D800)&gt;0,RANK(D800,$D$31:$D$830),"")</f>
        <v/>
      </c>
    </row>
    <row r="801">
      <c r="A801" s="15" t="n">
        <v>771</v>
      </c>
      <c r="B801" s="16" t="inlineStr">
        <is>
          <t>8712345301415</t>
        </is>
      </c>
      <c r="C801" s="7" t="inlineStr">
        <is>
          <t>Pumpkin seeds, 300g</t>
        </is>
      </c>
      <c r="D801" s="17" t="n">
        <v>3803</v>
      </c>
      <c r="E801" s="18" t="n"/>
      <c r="G801" s="19">
        <f>IF(Data!AC775&gt;0,RANK(Data!AC775,Data!$AC$5:$AC$804),"")</f>
        <v/>
      </c>
      <c r="H801" s="19">
        <f>IF(N(D801)&gt;0,RANK(D801,$D$31:$D$830),"")</f>
        <v/>
      </c>
    </row>
    <row r="802">
      <c r="A802" s="15" t="n">
        <v>772</v>
      </c>
      <c r="B802" s="16" t="inlineStr">
        <is>
          <t>5012345970639</t>
        </is>
      </c>
      <c r="C802" s="7" t="inlineStr">
        <is>
          <t>Cooked king prawns, 150g</t>
        </is>
      </c>
      <c r="D802" s="17" t="n">
        <v>7425</v>
      </c>
      <c r="E802" s="18" t="n"/>
      <c r="G802" s="19">
        <f>IF(Data!AC776&gt;0,RANK(Data!AC776,Data!$AC$5:$AC$804),"")</f>
        <v/>
      </c>
      <c r="H802" s="19">
        <f>IF(N(D802)&gt;0,RANK(D802,$D$31:$D$830),"")</f>
        <v/>
      </c>
    </row>
    <row r="803">
      <c r="A803" s="15" t="n">
        <v>773</v>
      </c>
      <c r="B803" s="16" t="inlineStr">
        <is>
          <t>5012345633503</t>
        </is>
      </c>
      <c r="C803" s="7" t="inlineStr">
        <is>
          <t>Oat &amp; raisin bars, 4x30g</t>
        </is>
      </c>
      <c r="D803" s="17" t="n">
        <v>9083</v>
      </c>
      <c r="E803" s="18" t="n"/>
      <c r="G803" s="19">
        <f>IF(Data!AC777&gt;0,RANK(Data!AC777,Data!$AC$5:$AC$804),"")</f>
        <v/>
      </c>
      <c r="H803" s="19">
        <f>IF(N(D803)&gt;0,RANK(D803,$D$31:$D$830),"")</f>
        <v/>
      </c>
    </row>
    <row r="804">
      <c r="A804" s="15" t="n">
        <v>774</v>
      </c>
      <c r="B804" s="16" t="inlineStr">
        <is>
          <t>8712345971250</t>
        </is>
      </c>
      <c r="C804" s="7" t="inlineStr">
        <is>
          <t>Vegan cheese-style slices, 10sl 180g</t>
        </is>
      </c>
      <c r="D804" s="17" t="n">
        <v>5303</v>
      </c>
      <c r="E804" s="18" t="n"/>
      <c r="G804" s="19">
        <f>IF(Data!AC778&gt;0,RANK(Data!AC778,Data!$AC$5:$AC$804),"")</f>
        <v/>
      </c>
      <c r="H804" s="19">
        <f>IF(N(D804)&gt;0,RANK(D804,$D$31:$D$830),"")</f>
        <v/>
      </c>
    </row>
    <row r="805">
      <c r="A805" s="15" t="n">
        <v>775</v>
      </c>
      <c r="B805" s="16" t="inlineStr">
        <is>
          <t>3012345498791</t>
        </is>
      </c>
      <c r="C805" s="7" t="inlineStr">
        <is>
          <t>Chicken stock cubes, 12pk 120g</t>
        </is>
      </c>
      <c r="D805" s="17" t="n">
        <v>7919</v>
      </c>
      <c r="E805" s="18" t="n"/>
      <c r="G805" s="19">
        <f>IF(Data!AC779&gt;0,RANK(Data!AC779,Data!$AC$5:$AC$804),"")</f>
        <v/>
      </c>
      <c r="H805" s="19">
        <f>IF(N(D805)&gt;0,RANK(D805,$D$31:$D$830),"")</f>
        <v/>
      </c>
    </row>
    <row r="806">
      <c r="A806" s="15" t="n">
        <v>776</v>
      </c>
      <c r="B806" s="16" t="inlineStr">
        <is>
          <t>4012345622447</t>
        </is>
      </c>
      <c r="C806" s="7" t="inlineStr">
        <is>
          <t>Raw king prawns, 150g</t>
        </is>
      </c>
      <c r="D806" s="17" t="n">
        <v>6127</v>
      </c>
      <c r="E806" s="18" t="n"/>
      <c r="G806" s="19">
        <f>IF(Data!AC780&gt;0,RANK(Data!AC780,Data!$AC$5:$AC$804),"")</f>
        <v/>
      </c>
      <c r="H806" s="19">
        <f>IF(N(D806)&gt;0,RANK(D806,$D$31:$D$830),"")</f>
        <v/>
      </c>
    </row>
    <row r="807">
      <c r="A807" s="15" t="n">
        <v>777</v>
      </c>
      <c r="B807" s="16" t="inlineStr">
        <is>
          <t>5012345657288</t>
        </is>
      </c>
      <c r="C807" s="7" t="inlineStr">
        <is>
          <t>Aluminium foil</t>
        </is>
      </c>
      <c r="D807" s="17" t="n">
        <v>4594</v>
      </c>
      <c r="E807" s="18" t="n"/>
      <c r="G807" s="19">
        <f>IF(Data!AC781&gt;0,RANK(Data!AC781,Data!$AC$5:$AC$804),"")</f>
        <v/>
      </c>
      <c r="H807" s="19">
        <f>IF(N(D807)&gt;0,RANK(D807,$D$31:$D$830),"")</f>
        <v/>
      </c>
    </row>
    <row r="808">
      <c r="A808" s="15" t="n">
        <v>778</v>
      </c>
      <c r="B808" s="16" t="inlineStr">
        <is>
          <t>5012345589305</t>
        </is>
      </c>
      <c r="C808" s="7" t="inlineStr">
        <is>
          <t>Pork liver pâté, 170g</t>
        </is>
      </c>
      <c r="D808" s="17" t="n">
        <v>5278</v>
      </c>
      <c r="E808" s="18" t="n"/>
      <c r="G808" s="19">
        <f>IF(Data!AC782&gt;0,RANK(Data!AC782,Data!$AC$5:$AC$804),"")</f>
        <v/>
      </c>
      <c r="H808" s="19">
        <f>IF(N(D808)&gt;0,RANK(D808,$D$31:$D$830),"")</f>
        <v/>
      </c>
    </row>
    <row r="809">
      <c r="A809" s="15" t="n">
        <v>779</v>
      </c>
      <c r="B809" s="16" t="inlineStr">
        <is>
          <t>5012345421032</t>
        </is>
      </c>
      <c r="C809" s="7" t="inlineStr">
        <is>
          <t>Vegetable stock cubes, 8pk 80g</t>
        </is>
      </c>
      <c r="D809" s="17" t="n">
        <v>11155</v>
      </c>
      <c r="E809" s="18" t="n"/>
      <c r="G809" s="19">
        <f>IF(Data!AC783&gt;0,RANK(Data!AC783,Data!$AC$5:$AC$804),"")</f>
        <v/>
      </c>
      <c r="H809" s="19">
        <f>IF(N(D809)&gt;0,RANK(D809,$D$31:$D$830),"")</f>
        <v/>
      </c>
    </row>
    <row r="810">
      <c r="A810" s="15" t="n">
        <v>780</v>
      </c>
      <c r="B810" s="16" t="inlineStr">
        <is>
          <t>8712345431464</t>
        </is>
      </c>
      <c r="C810" s="7" t="inlineStr">
        <is>
          <t>Chicken stock cubes, 8pk 80g</t>
        </is>
      </c>
      <c r="D810" s="17" t="n">
        <v>11049</v>
      </c>
      <c r="E810" s="18" t="n"/>
      <c r="G810" s="19">
        <f>IF(Data!AC784&gt;0,RANK(Data!AC784,Data!$AC$5:$AC$804),"")</f>
        <v/>
      </c>
      <c r="H810" s="19">
        <f>IF(N(D810)&gt;0,RANK(D810,$D$31:$D$830),"")</f>
        <v/>
      </c>
    </row>
    <row r="811">
      <c r="A811" s="15" t="n">
        <v>781</v>
      </c>
      <c r="B811" s="16" t="inlineStr">
        <is>
          <t>4012345204438</t>
        </is>
      </c>
      <c r="C811" s="7" t="inlineStr">
        <is>
          <t>Soft cheese with garlic &amp; herbs, 150g</t>
        </is>
      </c>
      <c r="D811" s="17" t="n">
        <v>5704</v>
      </c>
      <c r="E811" s="18" t="n"/>
      <c r="G811" s="19">
        <f>IF(Data!AC785&gt;0,RANK(Data!AC785,Data!$AC$5:$AC$804),"")</f>
        <v/>
      </c>
      <c r="H811" s="19">
        <f>IF(N(D811)&gt;0,RANK(D811,$D$31:$D$830),"")</f>
        <v/>
      </c>
    </row>
    <row r="812">
      <c r="A812" s="15" t="n">
        <v>782</v>
      </c>
      <c r="B812" s="16" t="inlineStr">
        <is>
          <t>0712345097736</t>
        </is>
      </c>
      <c r="C812" s="7" t="inlineStr">
        <is>
          <t>70% dark chocolate, 100g</t>
        </is>
      </c>
      <c r="D812" s="17" t="n">
        <v>8271</v>
      </c>
      <c r="E812" s="18" t="n"/>
      <c r="G812" s="19">
        <f>IF(Data!AC786&gt;0,RANK(Data!AC786,Data!$AC$5:$AC$804),"")</f>
        <v/>
      </c>
      <c r="H812" s="19">
        <f>IF(N(D812)&gt;0,RANK(D812,$D$31:$D$830),"")</f>
        <v/>
      </c>
    </row>
    <row r="813">
      <c r="A813" s="15" t="n">
        <v>783</v>
      </c>
      <c r="B813" s="16" t="inlineStr">
        <is>
          <t>3012345039857</t>
        </is>
      </c>
      <c r="C813" s="7" t="inlineStr">
        <is>
          <t>Smoked salmon trimmings, 200g</t>
        </is>
      </c>
      <c r="D813" s="17" t="n">
        <v>4004</v>
      </c>
      <c r="E813" s="18" t="n"/>
      <c r="G813" s="19">
        <f>IF(Data!AC787&gt;0,RANK(Data!AC787,Data!$AC$5:$AC$804),"")</f>
        <v/>
      </c>
      <c r="H813" s="19">
        <f>IF(N(D813)&gt;0,RANK(D813,$D$31:$D$830),"")</f>
        <v/>
      </c>
    </row>
    <row r="814">
      <c r="A814" s="15" t="n">
        <v>784</v>
      </c>
      <c r="B814" s="16" t="inlineStr">
        <is>
          <t>5012345786554</t>
        </is>
      </c>
      <c r="C814" s="7" t="inlineStr">
        <is>
          <t>Birthday candles</t>
        </is>
      </c>
      <c r="D814" s="17" t="n">
        <v>3842</v>
      </c>
      <c r="E814" s="18" t="n"/>
      <c r="G814" s="19">
        <f>IF(Data!AC788&gt;0,RANK(Data!AC788,Data!$AC$5:$AC$804),"")</f>
        <v/>
      </c>
      <c r="H814" s="19">
        <f>IF(N(D814)&gt;0,RANK(D814,$D$31:$D$830),"")</f>
        <v/>
      </c>
    </row>
    <row r="815">
      <c r="A815" s="15" t="n">
        <v>785</v>
      </c>
      <c r="B815" s="16" t="inlineStr">
        <is>
          <t>5012345243795</t>
        </is>
      </c>
      <c r="C815" s="7" t="inlineStr">
        <is>
          <t>Chia seeds, 300g</t>
        </is>
      </c>
      <c r="D815" s="17" t="n">
        <v>2419</v>
      </c>
      <c r="E815" s="18" t="n"/>
      <c r="G815" s="19">
        <f>IF(Data!AC789&gt;0,RANK(Data!AC789,Data!$AC$5:$AC$804),"")</f>
        <v/>
      </c>
      <c r="H815" s="19">
        <f>IF(N(D815)&gt;0,RANK(D815,$D$31:$D$830),"")</f>
        <v/>
      </c>
    </row>
    <row r="816">
      <c r="A816" s="15" t="n">
        <v>786</v>
      </c>
      <c r="B816" s="16" t="inlineStr">
        <is>
          <t>3012345819282</t>
        </is>
      </c>
      <c r="C816" s="7" t="inlineStr">
        <is>
          <t>Vegan cheese-style slices, 200g</t>
        </is>
      </c>
      <c r="D816" s="17" t="n">
        <v>3372</v>
      </c>
      <c r="E816" s="18" t="n"/>
      <c r="G816" s="19">
        <f>IF(Data!AC790&gt;0,RANK(Data!AC790,Data!$AC$5:$AC$804),"")</f>
        <v/>
      </c>
      <c r="H816" s="19">
        <f>IF(N(D816)&gt;0,RANK(D816,$D$31:$D$830),"")</f>
        <v/>
      </c>
    </row>
    <row r="817">
      <c r="A817" s="15" t="n">
        <v>787</v>
      </c>
      <c r="B817" s="16" t="inlineStr">
        <is>
          <t>5012345973166</t>
        </is>
      </c>
      <c r="C817" s="7" t="inlineStr">
        <is>
          <t>Prawn sushi rolls, 200g</t>
        </is>
      </c>
      <c r="D817" s="17" t="n">
        <v>2698</v>
      </c>
      <c r="E817" s="18" t="n"/>
      <c r="G817" s="19">
        <f>IF(Data!AC791&gt;0,RANK(Data!AC791,Data!$AC$5:$AC$804),"")</f>
        <v/>
      </c>
      <c r="H817" s="19">
        <f>IF(N(D817)&gt;0,RANK(D817,$D$31:$D$830),"")</f>
        <v/>
      </c>
    </row>
    <row r="818">
      <c r="A818" s="15" t="n">
        <v>788</v>
      </c>
      <c r="B818" s="16" t="inlineStr">
        <is>
          <t>3012345334464</t>
        </is>
      </c>
      <c r="C818" s="7" t="inlineStr">
        <is>
          <t>Duck pâté with orange, 170g</t>
        </is>
      </c>
      <c r="D818" s="17" t="n">
        <v>3100</v>
      </c>
      <c r="E818" s="18" t="n"/>
      <c r="G818" s="19">
        <f>IF(Data!AC792&gt;0,RANK(Data!AC792,Data!$AC$5:$AC$804),"")</f>
        <v/>
      </c>
      <c r="H818" s="19">
        <f>IF(N(D818)&gt;0,RANK(D818,$D$31:$D$830),"")</f>
        <v/>
      </c>
    </row>
    <row r="819">
      <c r="A819" s="15" t="n">
        <v>789</v>
      </c>
      <c r="B819" s="16" t="inlineStr">
        <is>
          <t>3012345623988</t>
        </is>
      </c>
      <c r="C819" s="7" t="inlineStr">
        <is>
          <t>Smoked paprika, 50g</t>
        </is>
      </c>
      <c r="D819" s="17" t="n">
        <v>8894</v>
      </c>
      <c r="E819" s="18" t="n"/>
      <c r="G819" s="19">
        <f>IF(Data!AC793&gt;0,RANK(Data!AC793,Data!$AC$5:$AC$804),"")</f>
        <v/>
      </c>
      <c r="H819" s="19">
        <f>IF(N(D819)&gt;0,RANK(D819,$D$31:$D$830),"")</f>
        <v/>
      </c>
    </row>
    <row r="820">
      <c r="A820" s="15" t="n">
        <v>790</v>
      </c>
      <c r="B820" s="16" t="inlineStr">
        <is>
          <t>8712345215484</t>
        </is>
      </c>
      <c r="C820" s="7" t="inlineStr">
        <is>
          <t>Chia seeds, 150g</t>
        </is>
      </c>
      <c r="D820" s="17" t="n">
        <v>1997</v>
      </c>
      <c r="E820" s="18" t="n"/>
      <c r="G820" s="19">
        <f>IF(Data!AC794&gt;0,RANK(Data!AC794,Data!$AC$5:$AC$804),"")</f>
        <v/>
      </c>
      <c r="H820" s="19">
        <f>IF(N(D820)&gt;0,RANK(D820,$D$31:$D$830),"")</f>
        <v/>
      </c>
    </row>
    <row r="821">
      <c r="A821" s="15" t="n">
        <v>791</v>
      </c>
      <c r="B821" s="16" t="inlineStr">
        <is>
          <t>4012345189018</t>
        </is>
      </c>
      <c r="C821" s="7" t="inlineStr">
        <is>
          <t>Ground black pepper, 100g</t>
        </is>
      </c>
      <c r="D821" s="17" t="n">
        <v>2863</v>
      </c>
      <c r="E821" s="18" t="n"/>
      <c r="G821" s="19">
        <f>IF(Data!AC795&gt;0,RANK(Data!AC795,Data!$AC$5:$AC$804),"")</f>
        <v/>
      </c>
      <c r="H821" s="19">
        <f>IF(N(D821)&gt;0,RANK(D821,$D$31:$D$830),"")</f>
        <v/>
      </c>
    </row>
    <row r="822">
      <c r="A822" s="15" t="n">
        <v>792</v>
      </c>
      <c r="B822" s="16" t="inlineStr">
        <is>
          <t>5012345069982</t>
        </is>
      </c>
      <c r="C822" s="7" t="inlineStr">
        <is>
          <t>Ground cumin, 40g</t>
        </is>
      </c>
      <c r="D822" s="17" t="n">
        <v>6163</v>
      </c>
      <c r="E822" s="18" t="n"/>
      <c r="G822" s="19">
        <f>IF(Data!AC796&gt;0,RANK(Data!AC796,Data!$AC$5:$AC$804),"")</f>
        <v/>
      </c>
      <c r="H822" s="19">
        <f>IF(N(D822)&gt;0,RANK(D822,$D$31:$D$830),"")</f>
        <v/>
      </c>
    </row>
    <row r="823">
      <c r="A823" s="15" t="n">
        <v>793</v>
      </c>
      <c r="B823" s="16" t="inlineStr">
        <is>
          <t>4012345457650</t>
        </is>
      </c>
      <c r="C823" s="7" t="inlineStr">
        <is>
          <t>Mixed dried herbs, 100g</t>
        </is>
      </c>
      <c r="D823" s="17" t="n">
        <v>2445</v>
      </c>
      <c r="E823" s="18" t="n"/>
      <c r="G823" s="19">
        <f>IF(Data!AC797&gt;0,RANK(Data!AC797,Data!$AC$5:$AC$804),"")</f>
        <v/>
      </c>
      <c r="H823" s="19">
        <f>IF(N(D823)&gt;0,RANK(D823,$D$31:$D$830),"")</f>
        <v/>
      </c>
    </row>
    <row r="824">
      <c r="A824" s="15" t="n">
        <v>794</v>
      </c>
      <c r="B824" s="16" t="inlineStr">
        <is>
          <t>3012345913850</t>
        </is>
      </c>
      <c r="C824" s="7" t="inlineStr">
        <is>
          <t>Vegetable stock cubes, 12pk 120g</t>
        </is>
      </c>
      <c r="D824" s="17" t="n">
        <v>1824</v>
      </c>
      <c r="E824" s="18" t="n"/>
      <c r="G824" s="19">
        <f>IF(Data!AC798&gt;0,RANK(Data!AC798,Data!$AC$5:$AC$804),"")</f>
        <v/>
      </c>
      <c r="H824" s="19">
        <f>IF(N(D824)&gt;0,RANK(D824,$D$31:$D$830),"")</f>
        <v/>
      </c>
    </row>
    <row r="825">
      <c r="A825" s="15" t="n">
        <v>795</v>
      </c>
      <c r="B825" s="16" t="inlineStr">
        <is>
          <t>4012345947250</t>
        </is>
      </c>
      <c r="C825" s="7" t="inlineStr">
        <is>
          <t>Mixed dried herbs, 50g</t>
        </is>
      </c>
      <c r="D825" s="17" t="n">
        <v>3553</v>
      </c>
      <c r="E825" s="18" t="n"/>
      <c r="G825" s="19">
        <f>IF(Data!AC799&gt;0,RANK(Data!AC799,Data!$AC$5:$AC$804),"")</f>
        <v/>
      </c>
      <c r="H825" s="19">
        <f>IF(N(D825)&gt;0,RANK(D825,$D$31:$D$830),"")</f>
        <v/>
      </c>
    </row>
    <row r="826">
      <c r="A826" s="15" t="n">
        <v>796</v>
      </c>
      <c r="B826" s="16" t="inlineStr">
        <is>
          <t>8712345785680</t>
        </is>
      </c>
      <c r="C826" s="7" t="inlineStr">
        <is>
          <t>Mixed dried herbs, 100g</t>
        </is>
      </c>
      <c r="D826" s="17" t="n">
        <v>1638</v>
      </c>
      <c r="E826" s="18" t="n"/>
      <c r="G826" s="19">
        <f>IF(Data!AC800&gt;0,RANK(Data!AC800,Data!$AC$5:$AC$804),"")</f>
        <v/>
      </c>
      <c r="H826" s="19">
        <f>IF(N(D826)&gt;0,RANK(D826,$D$31:$D$830),"")</f>
        <v/>
      </c>
    </row>
    <row r="827">
      <c r="A827" s="15" t="n">
        <v>797</v>
      </c>
      <c r="B827" s="16" t="inlineStr">
        <is>
          <t>3012345175678</t>
        </is>
      </c>
      <c r="C827" s="7" t="inlineStr">
        <is>
          <t>Ground black pepper, 40g</t>
        </is>
      </c>
      <c r="D827" s="17" t="n">
        <v>2411</v>
      </c>
      <c r="E827" s="18" t="n"/>
      <c r="G827" s="19">
        <f>IF(Data!AC801&gt;0,RANK(Data!AC801,Data!$AC$5:$AC$804),"")</f>
        <v/>
      </c>
      <c r="H827" s="19">
        <f>IF(N(D827)&gt;0,RANK(D827,$D$31:$D$830),"")</f>
        <v/>
      </c>
    </row>
    <row r="828">
      <c r="A828" s="15" t="n">
        <v>798</v>
      </c>
      <c r="B828" s="16" t="inlineStr">
        <is>
          <t>4012345184044</t>
        </is>
      </c>
      <c r="C828" s="7" t="inlineStr">
        <is>
          <t>Fusilli, 500g</t>
        </is>
      </c>
      <c r="D828" s="17" t="n">
        <v>0</v>
      </c>
      <c r="E828" s="18" t="n"/>
      <c r="G828" s="19">
        <f>IF(Data!AC802&gt;0,RANK(Data!AC802,Data!$AC$5:$AC$804),"")</f>
        <v/>
      </c>
      <c r="H828" s="19">
        <f>IF(N(D828)&gt;0,RANK(D828,$D$31:$D$830),"")</f>
        <v/>
      </c>
    </row>
    <row r="829">
      <c r="A829" s="15" t="n">
        <v>799</v>
      </c>
      <c r="B829" s="16" t="inlineStr">
        <is>
          <t>8712345783761</t>
        </is>
      </c>
      <c r="C829" s="7" t="inlineStr">
        <is>
          <t>Milk chocolate bar, 200g</t>
        </is>
      </c>
      <c r="D829" s="17" t="n">
        <v>0</v>
      </c>
      <c r="E829" s="18" t="n"/>
      <c r="G829" s="19">
        <f>IF(Data!AC803&gt;0,RANK(Data!AC803,Data!$AC$5:$AC$804),"")</f>
        <v/>
      </c>
      <c r="H829" s="19">
        <f>IF(N(D829)&gt;0,RANK(D829,$D$31:$D$830),"")</f>
        <v/>
      </c>
    </row>
    <row r="830">
      <c r="A830" s="15" t="n">
        <v>800</v>
      </c>
      <c r="B830" s="16" t="inlineStr">
        <is>
          <t>3012345006033</t>
        </is>
      </c>
      <c r="C830" s="7" t="inlineStr">
        <is>
          <t>Beef mince, 5% fat, 1kg</t>
        </is>
      </c>
      <c r="D830" s="17" t="n">
        <v>0</v>
      </c>
      <c r="E830" s="18" t="n"/>
      <c r="G830" s="19">
        <f>IF(Data!AC804&gt;0,RANK(Data!AC804,Data!$AC$5:$AC$804),"")</f>
        <v/>
      </c>
      <c r="H830" s="19">
        <f>IF(N(D830)&gt;0,RANK(D830,$D$31:$D$830),"")</f>
        <v/>
      </c>
    </row>
  </sheetData>
  <mergeCells count="16">
    <mergeCell ref="A3:H3"/>
    <mergeCell ref="B7:F7"/>
    <mergeCell ref="B12:F12"/>
    <mergeCell ref="C20:F26"/>
    <mergeCell ref="A29:H29"/>
    <mergeCell ref="B16:F16"/>
    <mergeCell ref="B15:F15"/>
    <mergeCell ref="B18:F18"/>
    <mergeCell ref="B5:F5"/>
    <mergeCell ref="A28:H28"/>
    <mergeCell ref="B14:F14"/>
    <mergeCell ref="B20:B26"/>
    <mergeCell ref="C1:F2"/>
    <mergeCell ref="B17:F17"/>
    <mergeCell ref="B9:F9"/>
    <mergeCell ref="B13:F13"/>
  </mergeCells>
  <dataValidations count="1">
    <dataValidation sqref="D31:E830" showDropDown="0" showInputMessage="0" showErrorMessage="1" allowBlank="1" error="A volume is a number, zero or more." type="decimal" operator="greaterThanOrEqual">
      <formula1>0</formula1>
    </dataValidation>
  </dataValidations>
  <hyperlinks>
    <hyperlink ref="A12" location="'WWF'!A1" display="WWF"/>
    <hyperlink ref="A13" location="'Protein Tracker'!A1" display="Protein Tracker"/>
    <hyperlink ref="A14" location="'By family'!A1" display="By family"/>
    <hyperlink ref="A15" location="'By department'!A1" display="By department"/>
    <hyperlink ref="A16" location="'By brand'!A1" display="By brand"/>
    <hyperlink ref="A17" location="'Top and flop'!A1" display="Top and flop"/>
    <hyperlink ref="A18" location="'Data'!A1" display="Data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2" customWidth="1" min="3" max="3"/>
    <col width="10" customWidth="1" min="4" max="4"/>
    <col width="13" customWidth="1" min="5" max="5"/>
    <col width="15" customWidth="1" min="6" max="6"/>
    <col width="12" customWidth="1" min="7" max="7"/>
    <col width="3" customWidth="1" min="8" max="8"/>
    <col width="14" customWidth="1" min="9" max="9"/>
    <col width="12" customWidth="1" min="10" max="10"/>
  </cols>
  <sheetData>
    <row r="1" ht="25.5" customHeight="1">
      <c r="A1" s="20" t="inlineStr">
        <is>
          <t xml:space="preserve">  WWF — PLANET-BASED DIETS · APPENDIX D FORMAT REPORT</t>
        </is>
      </c>
    </row>
    <row r="3">
      <c r="A3" s="21" t="inlineStr">
        <is>
          <t>METHODOLOGY</t>
        </is>
      </c>
      <c r="B3" s="7" t="inlineStr">
        <is>
          <t>WWF Planet-Based Diets</t>
        </is>
      </c>
    </row>
    <row r="4">
      <c r="A4" s="21" t="inlineStr">
        <is>
          <t>INPUT DATA</t>
        </is>
      </c>
      <c r="B4" s="7" t="inlineStr">
        <is>
          <t>Harbour Market catalogue (fictitious), 800 products, volumes entered on the Welcome tab</t>
        </is>
      </c>
    </row>
    <row r="5">
      <c r="A5" s="21" t="inlineStr">
        <is>
          <t>STEP</t>
        </is>
      </c>
      <c r="B5" s="7" t="inlineStr">
        <is>
          <t>Step 1 — product level</t>
        </is>
      </c>
    </row>
    <row r="8">
      <c r="A8" s="5" t="inlineStr">
        <is>
          <t>Plant share of protein foods</t>
        </is>
      </c>
      <c r="C8" s="22">
        <f>C53</f>
        <v/>
      </c>
    </row>
    <row r="9">
      <c r="A9" s="23" t="inlineStr">
        <is>
          <t>on WWF Food Group 1, in dairy equivalents</t>
        </is>
      </c>
    </row>
    <row r="11">
      <c r="A11" s="5" t="inlineStr">
        <is>
          <t>Plant share of the whole diet</t>
        </is>
      </c>
      <c r="C11" s="22">
        <f>C59</f>
        <v/>
      </c>
    </row>
    <row r="12">
      <c r="A12" s="23" t="inlineStr">
        <is>
          <t>on every whole product in the WWF scope</t>
        </is>
      </c>
    </row>
    <row r="15" ht="25.5" customHeight="1">
      <c r="A15" s="24" t="inlineStr">
        <is>
          <t xml:space="preserve">  WHOLE PRODUCTS</t>
        </is>
      </c>
    </row>
    <row r="17" ht="30" customHeight="1">
      <c r="A17" s="11" t="inlineStr">
        <is>
          <t>Three units, three readings. Dairy equivalents are the unit the WWF methodology imposes; protein is what this study is about. They do not rank food groups in the same order.</t>
        </is>
      </c>
    </row>
    <row r="18">
      <c r="B18" s="25" t="inlineStr">
        <is>
          <t>Dairy equivalents — Harbour Market</t>
        </is>
      </c>
      <c r="F18" s="25" t="inlineStr">
        <is>
          <t>Product mass — Harbour Market</t>
        </is>
      </c>
      <c r="I18" s="25" t="inlineStr">
        <is>
          <t>Protein — Harbour Market</t>
        </is>
      </c>
    </row>
    <row r="19" ht="30" customHeight="1">
      <c r="A19" s="12" t="n"/>
      <c r="B19" s="13" t="inlineStr">
        <is>
          <t>Mass (t)</t>
        </is>
      </c>
      <c r="C19" s="13" t="inlineStr">
        <is>
          <t>Share</t>
        </is>
      </c>
      <c r="D19" s="13" t="inlineStr">
        <is>
          <t>PHD</t>
        </is>
      </c>
      <c r="E19" s="14" t="n"/>
      <c r="F19" s="13" t="inlineStr">
        <is>
          <t>Mass (t)</t>
        </is>
      </c>
      <c r="G19" s="13" t="inlineStr">
        <is>
          <t>Share</t>
        </is>
      </c>
      <c r="H19" s="14" t="n"/>
      <c r="I19" s="13" t="inlineStr">
        <is>
          <t>Protein (t)</t>
        </is>
      </c>
      <c r="J19" s="13" t="inlineStr">
        <is>
          <t>Share</t>
        </is>
      </c>
    </row>
    <row r="20">
      <c r="A20" s="26" t="inlineStr">
        <is>
          <t>FOOD GROUP 1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</row>
    <row r="21">
      <c r="A21" s="28" t="inlineStr">
        <is>
          <t>Plant-Based</t>
        </is>
      </c>
      <c r="B21" s="29">
        <f>SUMIFS(Data!$AI$5:$AI$804,Data!$R$5:$R$804,"whole",Data!$S$5:$S$804,"FG1",Data!$U$5:$U$804,"plant")</f>
        <v/>
      </c>
      <c r="C21" s="30">
        <f>IFERROR(B21/B$51,0)</f>
        <v/>
      </c>
      <c r="D21" s="31" t="n">
        <v>0.1</v>
      </c>
      <c r="F21" s="29">
        <f>SUMIFS(Data!$AH$5:$AH$804,Data!$R$5:$R$804,"whole",Data!$S$5:$S$804,"FG1",Data!$U$5:$U$804,"plant")</f>
        <v/>
      </c>
      <c r="G21" s="30">
        <f>IFERROR(F21/F$51,0)</f>
        <v/>
      </c>
      <c r="I21" s="29">
        <f>SUMIFS(Data!$AE$5:$AE$804,Data!$R$5:$R$804,"whole",Data!$S$5:$S$804,"FG1",Data!$U$5:$U$804,"plant")/1000</f>
        <v/>
      </c>
      <c r="J21" s="30">
        <f>IFERROR(I21/I$51,0)</f>
        <v/>
      </c>
    </row>
    <row r="22">
      <c r="A22" s="7" t="inlineStr">
        <is>
          <t xml:space="preserve">    Pulses</t>
        </is>
      </c>
      <c r="B22" s="29">
        <f>SUMIFS(Data!$AI$5:$AI$804,Data!$R$5:$R$804,"whole",Data!$S$5:$S$804,"FG1",Data!$T$5:$T$804,"Pulses")</f>
        <v/>
      </c>
      <c r="C22" s="30">
        <f>IFERROR(B22/B$51,0)</f>
        <v/>
      </c>
      <c r="D22" s="31" t="inlineStr">
        <is>
          <t>—</t>
        </is>
      </c>
      <c r="F22" s="29">
        <f>SUMIFS(Data!$AH$5:$AH$804,Data!$R$5:$R$804,"whole",Data!$S$5:$S$804,"FG1",Data!$T$5:$T$804,"Pulses")</f>
        <v/>
      </c>
      <c r="G22" s="30">
        <f>IFERROR(F22/F$51,0)</f>
        <v/>
      </c>
      <c r="I22" s="29">
        <f>SUMIFS(Data!$AE$5:$AE$804,Data!$R$5:$R$804,"whole",Data!$S$5:$S$804,"FG1",Data!$T$5:$T$804,"Pulses")/1000</f>
        <v/>
      </c>
      <c r="J22" s="30">
        <f>IFERROR(I22/I$51,0)</f>
        <v/>
      </c>
    </row>
    <row r="23">
      <c r="A23" s="7" t="inlineStr">
        <is>
          <t xml:space="preserve">    Nuts</t>
        </is>
      </c>
      <c r="B23" s="29">
        <f>SUMIFS(Data!$AI$5:$AI$804,Data!$R$5:$R$804,"whole",Data!$S$5:$S$804,"FG1",Data!$T$5:$T$804,"Nuts")</f>
        <v/>
      </c>
      <c r="C23" s="30">
        <f>IFERROR(B23/B$51,0)</f>
        <v/>
      </c>
      <c r="D23" s="31" t="inlineStr">
        <is>
          <t>—</t>
        </is>
      </c>
      <c r="F23" s="29">
        <f>SUMIFS(Data!$AH$5:$AH$804,Data!$R$5:$R$804,"whole",Data!$S$5:$S$804,"FG1",Data!$T$5:$T$804,"Nuts")</f>
        <v/>
      </c>
      <c r="G23" s="30">
        <f>IFERROR(F23/F$51,0)</f>
        <v/>
      </c>
      <c r="I23" s="29">
        <f>SUMIFS(Data!$AE$5:$AE$804,Data!$R$5:$R$804,"whole",Data!$S$5:$S$804,"FG1",Data!$T$5:$T$804,"Nuts")/1000</f>
        <v/>
      </c>
      <c r="J23" s="30">
        <f>IFERROR(I23/I$51,0)</f>
        <v/>
      </c>
    </row>
    <row r="24">
      <c r="A24" s="7" t="inlineStr">
        <is>
          <t xml:space="preserve">    Seeds</t>
        </is>
      </c>
      <c r="B24" s="29">
        <f>SUMIFS(Data!$AI$5:$AI$804,Data!$R$5:$R$804,"whole",Data!$S$5:$S$804,"FG1",Data!$T$5:$T$804,"Seeds")</f>
        <v/>
      </c>
      <c r="C24" s="30">
        <f>IFERROR(B24/B$51,0)</f>
        <v/>
      </c>
      <c r="D24" s="31" t="inlineStr">
        <is>
          <t>—</t>
        </is>
      </c>
      <c r="F24" s="29">
        <f>SUMIFS(Data!$AH$5:$AH$804,Data!$R$5:$R$804,"whole",Data!$S$5:$S$804,"FG1",Data!$T$5:$T$804,"Seeds")</f>
        <v/>
      </c>
      <c r="G24" s="30">
        <f>IFERROR(F24/F$51,0)</f>
        <v/>
      </c>
      <c r="I24" s="29">
        <f>SUMIFS(Data!$AE$5:$AE$804,Data!$R$5:$R$804,"whole",Data!$S$5:$S$804,"FG1",Data!$T$5:$T$804,"Seeds")/1000</f>
        <v/>
      </c>
      <c r="J24" s="30">
        <f>IFERROR(I24/I$51,0)</f>
        <v/>
      </c>
    </row>
    <row r="25">
      <c r="A25" s="7" t="inlineStr">
        <is>
          <t xml:space="preserve">    Alternative Products</t>
        </is>
      </c>
      <c r="B25" s="29">
        <f>SUMIFS(Data!$AI$5:$AI$804,Data!$R$5:$R$804,"whole",Data!$S$5:$S$804,"FG1",Data!$T$5:$T$804,"Alternative products")</f>
        <v/>
      </c>
      <c r="C25" s="30">
        <f>IFERROR(B25/B$51,0)</f>
        <v/>
      </c>
      <c r="D25" s="31" t="inlineStr">
        <is>
          <t>—</t>
        </is>
      </c>
      <c r="F25" s="29">
        <f>SUMIFS(Data!$AH$5:$AH$804,Data!$R$5:$R$804,"whole",Data!$S$5:$S$804,"FG1",Data!$T$5:$T$804,"Alternative products")</f>
        <v/>
      </c>
      <c r="G25" s="30">
        <f>IFERROR(F25/F$51,0)</f>
        <v/>
      </c>
      <c r="I25" s="29">
        <f>SUMIFS(Data!$AE$5:$AE$804,Data!$R$5:$R$804,"whole",Data!$S$5:$S$804,"FG1",Data!$T$5:$T$804,"Alternative products")/1000</f>
        <v/>
      </c>
      <c r="J25" s="30">
        <f>IFERROR(I25/I$51,0)</f>
        <v/>
      </c>
    </row>
    <row r="26">
      <c r="A26" s="7" t="inlineStr">
        <is>
          <t xml:space="preserve">    Tofu, tempeh &amp; seitan</t>
        </is>
      </c>
      <c r="B26" s="29">
        <f>SUMIFS(Data!$AI$5:$AI$804,Data!$R$5:$R$804,"whole",Data!$S$5:$S$804,"FG1",Data!$T$5:$T$804,"Tofu, tempeh &amp; seitan")</f>
        <v/>
      </c>
      <c r="C26" s="30">
        <f>IFERROR(B26/B$51,0)</f>
        <v/>
      </c>
      <c r="D26" s="31" t="inlineStr">
        <is>
          <t>—</t>
        </is>
      </c>
      <c r="F26" s="29">
        <f>SUMIFS(Data!$AH$5:$AH$804,Data!$R$5:$R$804,"whole",Data!$S$5:$S$804,"FG1",Data!$T$5:$T$804,"Tofu, tempeh &amp; seitan")</f>
        <v/>
      </c>
      <c r="G26" s="30">
        <f>IFERROR(F26/F$51,0)</f>
        <v/>
      </c>
      <c r="I26" s="29">
        <f>SUMIFS(Data!$AE$5:$AE$804,Data!$R$5:$R$804,"whole",Data!$S$5:$S$804,"FG1",Data!$T$5:$T$804,"Tofu, tempeh &amp; seitan")/1000</f>
        <v/>
      </c>
      <c r="J26" s="30">
        <f>IFERROR(I26/I$51,0)</f>
        <v/>
      </c>
    </row>
    <row r="27">
      <c r="A27" s="28" t="inlineStr">
        <is>
          <t>Animal-Based</t>
        </is>
      </c>
      <c r="B27" s="29">
        <f>SUMIFS(Data!$AI$5:$AI$804,Data!$R$5:$R$804,"whole",Data!$S$5:$S$804,"FG1",Data!$U$5:$U$804,"animal")</f>
        <v/>
      </c>
      <c r="C27" s="30">
        <f>IFERROR(B27/B$51,0)</f>
        <v/>
      </c>
      <c r="D27" s="31" t="n">
        <v>0.06</v>
      </c>
      <c r="F27" s="29">
        <f>SUMIFS(Data!$AH$5:$AH$804,Data!$R$5:$R$804,"whole",Data!$S$5:$S$804,"FG1",Data!$U$5:$U$804,"animal")</f>
        <v/>
      </c>
      <c r="G27" s="30">
        <f>IFERROR(F27/F$51,0)</f>
        <v/>
      </c>
      <c r="I27" s="29">
        <f>SUMIFS(Data!$AE$5:$AE$804,Data!$R$5:$R$804,"whole",Data!$S$5:$S$804,"FG1",Data!$U$5:$U$804,"animal")/1000</f>
        <v/>
      </c>
      <c r="J27" s="30">
        <f>IFERROR(I27/I$51,0)</f>
        <v/>
      </c>
    </row>
    <row r="28">
      <c r="A28" s="7" t="inlineStr">
        <is>
          <t xml:space="preserve">    Red meat</t>
        </is>
      </c>
      <c r="B28" s="29">
        <f>SUMIFS(Data!$AI$5:$AI$804,Data!$R$5:$R$804,"whole",Data!$S$5:$S$804,"FG1",Data!$T$5:$T$804,"Red meat")</f>
        <v/>
      </c>
      <c r="C28" s="30">
        <f>IFERROR(B28/B$51,0)</f>
        <v/>
      </c>
      <c r="D28" s="31" t="inlineStr">
        <is>
          <t>—</t>
        </is>
      </c>
      <c r="F28" s="29">
        <f>SUMIFS(Data!$AH$5:$AH$804,Data!$R$5:$R$804,"whole",Data!$S$5:$S$804,"FG1",Data!$T$5:$T$804,"Red meat")</f>
        <v/>
      </c>
      <c r="G28" s="30">
        <f>IFERROR(F28/F$51,0)</f>
        <v/>
      </c>
      <c r="I28" s="29">
        <f>SUMIFS(Data!$AE$5:$AE$804,Data!$R$5:$R$804,"whole",Data!$S$5:$S$804,"FG1",Data!$T$5:$T$804,"Red meat")/1000</f>
        <v/>
      </c>
      <c r="J28" s="30">
        <f>IFERROR(I28/I$51,0)</f>
        <v/>
      </c>
    </row>
    <row r="29">
      <c r="A29" s="7" t="inlineStr">
        <is>
          <t xml:space="preserve">    Poultry</t>
        </is>
      </c>
      <c r="B29" s="29">
        <f>SUMIFS(Data!$AI$5:$AI$804,Data!$R$5:$R$804,"whole",Data!$S$5:$S$804,"FG1",Data!$T$5:$T$804,"Poultry")</f>
        <v/>
      </c>
      <c r="C29" s="30">
        <f>IFERROR(B29/B$51,0)</f>
        <v/>
      </c>
      <c r="D29" s="31" t="inlineStr">
        <is>
          <t>—</t>
        </is>
      </c>
      <c r="F29" s="29">
        <f>SUMIFS(Data!$AH$5:$AH$804,Data!$R$5:$R$804,"whole",Data!$S$5:$S$804,"FG1",Data!$T$5:$T$804,"Poultry")</f>
        <v/>
      </c>
      <c r="G29" s="30">
        <f>IFERROR(F29/F$51,0)</f>
        <v/>
      </c>
      <c r="I29" s="29">
        <f>SUMIFS(Data!$AE$5:$AE$804,Data!$R$5:$R$804,"whole",Data!$S$5:$S$804,"FG1",Data!$T$5:$T$804,"Poultry")/1000</f>
        <v/>
      </c>
      <c r="J29" s="30">
        <f>IFERROR(I29/I$51,0)</f>
        <v/>
      </c>
    </row>
    <row r="30">
      <c r="A30" s="7" t="inlineStr">
        <is>
          <t xml:space="preserve">    Fish &amp; Shellfish</t>
        </is>
      </c>
      <c r="B30" s="29">
        <f>SUMIFS(Data!$AI$5:$AI$804,Data!$R$5:$R$804,"whole",Data!$S$5:$S$804,"FG1",Data!$T$5:$T$804,"Fish &amp; shellfish")</f>
        <v/>
      </c>
      <c r="C30" s="30">
        <f>IFERROR(B30/B$51,0)</f>
        <v/>
      </c>
      <c r="D30" s="31" t="inlineStr">
        <is>
          <t>—</t>
        </is>
      </c>
      <c r="F30" s="29">
        <f>SUMIFS(Data!$AH$5:$AH$804,Data!$R$5:$R$804,"whole",Data!$S$5:$S$804,"FG1",Data!$T$5:$T$804,"Fish &amp; shellfish")</f>
        <v/>
      </c>
      <c r="G30" s="30">
        <f>IFERROR(F30/F$51,0)</f>
        <v/>
      </c>
      <c r="I30" s="29">
        <f>SUMIFS(Data!$AE$5:$AE$804,Data!$R$5:$R$804,"whole",Data!$S$5:$S$804,"FG1",Data!$T$5:$T$804,"Fish &amp; shellfish")/1000</f>
        <v/>
      </c>
      <c r="J30" s="30">
        <f>IFERROR(I30/I$51,0)</f>
        <v/>
      </c>
    </row>
    <row r="31">
      <c r="A31" s="7" t="inlineStr">
        <is>
          <t xml:space="preserve">    Eggs</t>
        </is>
      </c>
      <c r="B31" s="29">
        <f>SUMIFS(Data!$AI$5:$AI$804,Data!$R$5:$R$804,"whole",Data!$S$5:$S$804,"FG1",Data!$T$5:$T$804,"Eggs")</f>
        <v/>
      </c>
      <c r="C31" s="30">
        <f>IFERROR(B31/B$51,0)</f>
        <v/>
      </c>
      <c r="D31" s="31" t="inlineStr">
        <is>
          <t>—</t>
        </is>
      </c>
      <c r="F31" s="29">
        <f>SUMIFS(Data!$AH$5:$AH$804,Data!$R$5:$R$804,"whole",Data!$S$5:$S$804,"FG1",Data!$T$5:$T$804,"Eggs")</f>
        <v/>
      </c>
      <c r="G31" s="30">
        <f>IFERROR(F31/F$51,0)</f>
        <v/>
      </c>
      <c r="I31" s="29">
        <f>SUMIFS(Data!$AE$5:$AE$804,Data!$R$5:$R$804,"whole",Data!$S$5:$S$804,"FG1",Data!$T$5:$T$804,"Eggs")/1000</f>
        <v/>
      </c>
      <c r="J31" s="30">
        <f>IFERROR(I31/I$51,0)</f>
        <v/>
      </c>
    </row>
    <row r="32">
      <c r="A32" s="7" t="inlineStr">
        <is>
          <t xml:space="preserve">    Other (e.g. snails)</t>
        </is>
      </c>
      <c r="B32" s="29">
        <f>SUMIFS(Data!$AI$5:$AI$804,Data!$R$5:$R$804,"whole",Data!$S$5:$S$804,"FG1",Data!$T$5:$T$804,"Other animal")</f>
        <v/>
      </c>
      <c r="C32" s="30">
        <f>IFERROR(B32/B$51,0)</f>
        <v/>
      </c>
      <c r="D32" s="31" t="inlineStr">
        <is>
          <t>—</t>
        </is>
      </c>
      <c r="F32" s="29">
        <f>SUMIFS(Data!$AH$5:$AH$804,Data!$R$5:$R$804,"whole",Data!$S$5:$S$804,"FG1",Data!$T$5:$T$804,"Other animal")</f>
        <v/>
      </c>
      <c r="G32" s="30">
        <f>IFERROR(F32/F$51,0)</f>
        <v/>
      </c>
      <c r="I32" s="29">
        <f>SUMIFS(Data!$AE$5:$AE$804,Data!$R$5:$R$804,"whole",Data!$S$5:$S$804,"FG1",Data!$T$5:$T$804,"Other animal")/1000</f>
        <v/>
      </c>
      <c r="J32" s="30">
        <f>IFERROR(I32/I$51,0)</f>
        <v/>
      </c>
    </row>
    <row r="33">
      <c r="A33" s="26" t="inlineStr">
        <is>
          <t>FOOD GROUP 2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</row>
    <row r="34">
      <c r="A34" s="28" t="inlineStr">
        <is>
          <t>Dairy</t>
        </is>
      </c>
      <c r="B34" s="29">
        <f>SUMIFS(Data!$AI$5:$AI$804,Data!$R$5:$R$804,"whole",Data!$S$5:$S$804,"FG2",Data!$U$5:$U$804,"animal")</f>
        <v/>
      </c>
      <c r="C34" s="30">
        <f>IFERROR(B34/B$51,0)</f>
        <v/>
      </c>
      <c r="D34" s="31" t="n">
        <v>0.19</v>
      </c>
      <c r="F34" s="29">
        <f>SUMIFS(Data!$AH$5:$AH$804,Data!$R$5:$R$804,"whole",Data!$S$5:$S$804,"FG2",Data!$U$5:$U$804,"animal")</f>
        <v/>
      </c>
      <c r="G34" s="30">
        <f>IFERROR(F34/F$51,0)</f>
        <v/>
      </c>
      <c r="I34" s="29">
        <f>SUMIFS(Data!$AE$5:$AE$804,Data!$R$5:$R$804,"whole",Data!$S$5:$S$804,"FG2",Data!$U$5:$U$804,"animal")/1000</f>
        <v/>
      </c>
      <c r="J34" s="30">
        <f>IFERROR(I34/I$51,0)</f>
        <v/>
      </c>
    </row>
    <row r="35">
      <c r="A35" s="28" t="inlineStr">
        <is>
          <t>Dairy Alternatives</t>
        </is>
      </c>
      <c r="B35" s="29">
        <f>SUMIFS(Data!$AI$5:$AI$804,Data!$R$5:$R$804,"whole",Data!$S$5:$S$804,"FG2",Data!$U$5:$U$804,"plant")</f>
        <v/>
      </c>
      <c r="C35" s="30">
        <f>IFERROR(B35/B$51,0)</f>
        <v/>
      </c>
      <c r="D35" s="31" t="inlineStr">
        <is>
          <t>N/A</t>
        </is>
      </c>
      <c r="F35" s="29">
        <f>SUMIFS(Data!$AH$5:$AH$804,Data!$R$5:$R$804,"whole",Data!$S$5:$S$804,"FG2",Data!$U$5:$U$804,"plant")</f>
        <v/>
      </c>
      <c r="G35" s="30">
        <f>IFERROR(F35/F$51,0)</f>
        <v/>
      </c>
      <c r="I35" s="29">
        <f>SUMIFS(Data!$AE$5:$AE$804,Data!$R$5:$R$804,"whole",Data!$S$5:$S$804,"FG2",Data!$U$5:$U$804,"plant")/1000</f>
        <v/>
      </c>
      <c r="J35" s="30">
        <f>IFERROR(I35/I$51,0)</f>
        <v/>
      </c>
    </row>
    <row r="36">
      <c r="A36" s="26" t="inlineStr">
        <is>
          <t>FOOD GROUP 3</t>
        </is>
      </c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</row>
    <row r="37">
      <c r="A37" s="28" t="inlineStr">
        <is>
          <t>Animal-Based Fats</t>
        </is>
      </c>
      <c r="B37" s="29">
        <f>SUMIFS(Data!$AI$5:$AI$804,Data!$R$5:$R$804,"whole",Data!$S$5:$S$804,"FG3",Data!$U$5:$U$804,"animal")</f>
        <v/>
      </c>
      <c r="C37" s="30">
        <f>IFERROR(B37/B$51,0)</f>
        <v/>
      </c>
      <c r="D37" s="31" t="n">
        <v>0.01</v>
      </c>
      <c r="F37" s="29">
        <f>SUMIFS(Data!$AH$5:$AH$804,Data!$R$5:$R$804,"whole",Data!$S$5:$S$804,"FG3",Data!$U$5:$U$804,"animal")</f>
        <v/>
      </c>
      <c r="G37" s="30">
        <f>IFERROR(F37/F$51,0)</f>
        <v/>
      </c>
      <c r="I37" s="29">
        <f>SUMIFS(Data!$AE$5:$AE$804,Data!$R$5:$R$804,"whole",Data!$S$5:$S$804,"FG3",Data!$U$5:$U$804,"animal")/1000</f>
        <v/>
      </c>
      <c r="J37" s="30">
        <f>IFERROR(I37/I$51,0)</f>
        <v/>
      </c>
    </row>
    <row r="38">
      <c r="A38" s="28" t="inlineStr">
        <is>
          <t>Plant-Based Fats</t>
        </is>
      </c>
      <c r="B38" s="29">
        <f>SUMIFS(Data!$AI$5:$AI$804,Data!$R$5:$R$804,"whole",Data!$S$5:$S$804,"FG3",Data!$U$5:$U$804,"plant")</f>
        <v/>
      </c>
      <c r="C38" s="30">
        <f>IFERROR(B38/B$51,0)</f>
        <v/>
      </c>
      <c r="D38" s="31" t="n">
        <v>0.03</v>
      </c>
      <c r="F38" s="29">
        <f>SUMIFS(Data!$AH$5:$AH$804,Data!$R$5:$R$804,"whole",Data!$S$5:$S$804,"FG3",Data!$U$5:$U$804,"plant")</f>
        <v/>
      </c>
      <c r="G38" s="30">
        <f>IFERROR(F38/F$51,0)</f>
        <v/>
      </c>
      <c r="I38" s="29">
        <f>SUMIFS(Data!$AE$5:$AE$804,Data!$R$5:$R$804,"whole",Data!$S$5:$S$804,"FG3",Data!$U$5:$U$804,"plant")/1000</f>
        <v/>
      </c>
      <c r="J38" s="30">
        <f>IFERROR(I38/I$51,0)</f>
        <v/>
      </c>
    </row>
    <row r="39">
      <c r="A39" s="26" t="inlineStr">
        <is>
          <t>FOOD GROUP 4</t>
        </is>
      </c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</row>
    <row r="40">
      <c r="A40" s="28" t="inlineStr">
        <is>
          <t>Fruits &amp; Vegetables</t>
        </is>
      </c>
      <c r="B40" s="29">
        <f>SUMIFS(Data!$AI$5:$AI$804,Data!$R$5:$R$804,"whole",Data!$S$5:$S$804,"FG4")</f>
        <v/>
      </c>
      <c r="C40" s="30">
        <f>IFERROR(B40/B$51,0)</f>
        <v/>
      </c>
      <c r="D40" s="31" t="n">
        <v>0.38</v>
      </c>
      <c r="F40" s="29">
        <f>SUMIFS(Data!$AH$5:$AH$804,Data!$R$5:$R$804,"whole",Data!$S$5:$S$804,"FG4")</f>
        <v/>
      </c>
      <c r="G40" s="30">
        <f>IFERROR(F40/F$51,0)</f>
        <v/>
      </c>
      <c r="I40" s="29">
        <f>SUMIFS(Data!$AE$5:$AE$804,Data!$R$5:$R$804,"whole",Data!$S$5:$S$804,"FG4")/1000</f>
        <v/>
      </c>
      <c r="J40" s="30">
        <f>IFERROR(I40/I$51,0)</f>
        <v/>
      </c>
    </row>
    <row r="41">
      <c r="A41" s="26" t="inlineStr">
        <is>
          <t>FOOD GROUP 5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</row>
    <row r="42">
      <c r="A42" s="28" t="inlineStr">
        <is>
          <t>Whole Grains</t>
        </is>
      </c>
      <c r="B42" s="29">
        <f>SUMIFS(Data!$AI$5:$AI$804,Data!$R$5:$R$804,"whole",Data!$S$5:$S$804,"FG5",Data!$T$5:$T$804,"Whole grain")</f>
        <v/>
      </c>
      <c r="C42" s="30">
        <f>IFERROR(B42/B$51,0)</f>
        <v/>
      </c>
      <c r="D42" s="31" t="n">
        <v>0.18</v>
      </c>
      <c r="F42" s="29">
        <f>SUMIFS(Data!$AH$5:$AH$804,Data!$R$5:$R$804,"whole",Data!$S$5:$S$804,"FG5",Data!$T$5:$T$804,"Whole grain")</f>
        <v/>
      </c>
      <c r="G42" s="30">
        <f>IFERROR(F42/F$51,0)</f>
        <v/>
      </c>
      <c r="I42" s="29">
        <f>SUMIFS(Data!$AE$5:$AE$804,Data!$R$5:$R$804,"whole",Data!$S$5:$S$804,"FG5",Data!$T$5:$T$804,"Whole grain")/1000</f>
        <v/>
      </c>
      <c r="J42" s="30">
        <f>IFERROR(I42/I$51,0)</f>
        <v/>
      </c>
    </row>
    <row r="43">
      <c r="A43" s="28" t="inlineStr">
        <is>
          <t>Refined Grains</t>
        </is>
      </c>
      <c r="B43" s="29">
        <f>SUMIFS(Data!$AI$5:$AI$804,Data!$R$5:$R$804,"whole",Data!$S$5:$S$804,"FG5",Data!$T$5:$T$804,"Refined grain")</f>
        <v/>
      </c>
      <c r="C43" s="30">
        <f>IFERROR(B43/B$51,0)</f>
        <v/>
      </c>
      <c r="D43" s="31" t="n">
        <v>0</v>
      </c>
      <c r="F43" s="29">
        <f>SUMIFS(Data!$AH$5:$AH$804,Data!$R$5:$R$804,"whole",Data!$S$5:$S$804,"FG5",Data!$T$5:$T$804,"Refined grain")</f>
        <v/>
      </c>
      <c r="G43" s="30">
        <f>IFERROR(F43/F$51,0)</f>
        <v/>
      </c>
      <c r="I43" s="29">
        <f>SUMIFS(Data!$AE$5:$AE$804,Data!$R$5:$R$804,"whole",Data!$S$5:$S$804,"FG5",Data!$T$5:$T$804,"Refined grain")/1000</f>
        <v/>
      </c>
      <c r="J43" s="30">
        <f>IFERROR(I43/I$51,0)</f>
        <v/>
      </c>
    </row>
    <row r="44">
      <c r="A44" s="26" t="inlineStr">
        <is>
          <t>FOOD GROUP 6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</row>
    <row r="45">
      <c r="A45" s="28" t="inlineStr">
        <is>
          <t>Starchy Vegetables</t>
        </is>
      </c>
      <c r="B45" s="29">
        <f>SUMIFS(Data!$AI$5:$AI$804,Data!$R$5:$R$804,"whole",Data!$S$5:$S$804,"FG6")</f>
        <v/>
      </c>
      <c r="C45" s="30">
        <f>IFERROR(B45/B$51,0)</f>
        <v/>
      </c>
      <c r="D45" s="31" t="n">
        <v>0.04</v>
      </c>
      <c r="F45" s="29">
        <f>SUMIFS(Data!$AH$5:$AH$804,Data!$R$5:$R$804,"whole",Data!$S$5:$S$804,"FG6")</f>
        <v/>
      </c>
      <c r="G45" s="30">
        <f>IFERROR(F45/F$51,0)</f>
        <v/>
      </c>
      <c r="I45" s="29">
        <f>SUMIFS(Data!$AE$5:$AE$804,Data!$R$5:$R$804,"whole",Data!$S$5:$S$804,"FG6")/1000</f>
        <v/>
      </c>
      <c r="J45" s="30">
        <f>IFERROR(I45/I$51,0)</f>
        <v/>
      </c>
    </row>
    <row r="46">
      <c r="A46" s="26" t="inlineStr">
        <is>
          <t>FOOD GROUP 7</t>
        </is>
      </c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</row>
    <row r="47">
      <c r="A47" s="28" t="inlineStr">
        <is>
          <t>Plant-Based</t>
        </is>
      </c>
      <c r="B47" s="29">
        <f>SUMIFS(Data!$AI$5:$AI$804,Data!$R$5:$R$804,"whole",Data!$S$5:$S$804,"FG7",Data!$U$5:$U$804,"plant")</f>
        <v/>
      </c>
      <c r="C47" s="30">
        <f>IFERROR(B47/B$51,0)</f>
        <v/>
      </c>
      <c r="D47" s="31" t="inlineStr">
        <is>
          <t>N/A</t>
        </is>
      </c>
      <c r="F47" s="29">
        <f>SUMIFS(Data!$AH$5:$AH$804,Data!$R$5:$R$804,"whole",Data!$S$5:$S$804,"FG7",Data!$U$5:$U$804,"plant")</f>
        <v/>
      </c>
      <c r="G47" s="30">
        <f>IFERROR(F47/F$51,0)</f>
        <v/>
      </c>
      <c r="I47" s="29">
        <f>SUMIFS(Data!$AE$5:$AE$804,Data!$R$5:$R$804,"whole",Data!$S$5:$S$804,"FG7",Data!$U$5:$U$804,"plant")/1000</f>
        <v/>
      </c>
      <c r="J47" s="30">
        <f>IFERROR(I47/I$51,0)</f>
        <v/>
      </c>
    </row>
    <row r="48">
      <c r="A48" s="28" t="inlineStr">
        <is>
          <t>Animal-Based</t>
        </is>
      </c>
      <c r="B48" s="29">
        <f>SUMIFS(Data!$AI$5:$AI$804,Data!$R$5:$R$804,"whole",Data!$S$5:$S$804,"FG7",Data!$U$5:$U$804,"animal")</f>
        <v/>
      </c>
      <c r="C48" s="30">
        <f>IFERROR(B48/B$51,0)</f>
        <v/>
      </c>
      <c r="D48" s="31" t="inlineStr">
        <is>
          <t>N/A</t>
        </is>
      </c>
      <c r="F48" s="29">
        <f>SUMIFS(Data!$AH$5:$AH$804,Data!$R$5:$R$804,"whole",Data!$S$5:$S$804,"FG7",Data!$U$5:$U$804,"animal")</f>
        <v/>
      </c>
      <c r="G48" s="30">
        <f>IFERROR(F48/F$51,0)</f>
        <v/>
      </c>
      <c r="I48" s="29">
        <f>SUMIFS(Data!$AE$5:$AE$804,Data!$R$5:$R$804,"whole",Data!$S$5:$S$804,"FG7",Data!$U$5:$U$804,"animal")/1000</f>
        <v/>
      </c>
      <c r="J48" s="30">
        <f>IFERROR(I48/I$51,0)</f>
        <v/>
      </c>
    </row>
    <row r="49">
      <c r="A49" s="7" t="inlineStr">
        <is>
          <t>Undetermined origin</t>
        </is>
      </c>
      <c r="B49" s="29">
        <f>SUMIFS(Data!$AI$5:$AI$804,Data!$R$5:$R$804,"whole")-SUMIFS(Data!$AI$5:$AI$804,Data!$R$5:$R$804,"whole",Data!$U$5:$U$804,"plant")-SUMIFS(Data!$AI$5:$AI$804,Data!$R$5:$R$804,"whole",Data!$U$5:$U$804,"animal")</f>
        <v/>
      </c>
      <c r="C49" s="30">
        <f>IFERROR(B49/B$51,0)</f>
        <v/>
      </c>
      <c r="D49" s="32" t="inlineStr">
        <is>
          <t>—</t>
        </is>
      </c>
      <c r="F49" s="29">
        <f>SUMIFS(Data!$AH$5:$AH$804,Data!$R$5:$R$804,"whole")-SUMIFS(Data!$AH$5:$AH$804,Data!$R$5:$R$804,"whole",Data!$U$5:$U$804,"plant")-SUMIFS(Data!$AH$5:$AH$804,Data!$R$5:$R$804,"whole",Data!$U$5:$U$804,"animal")</f>
        <v/>
      </c>
      <c r="G49" s="30">
        <f>IFERROR(F49/F$51,0)</f>
        <v/>
      </c>
      <c r="I49" s="29">
        <f>SUMIFS(Data!$AE$5:$AE$804,Data!$R$5:$R$804,"whole")/1000-SUMIFS(Data!$AE$5:$AE$804,Data!$R$5:$R$804,"whole",Data!$U$5:$U$804,"plant")/1000-SUMIFS(Data!$AE$5:$AE$804,Data!$R$5:$R$804,"whole",Data!$U$5:$U$804,"animal")/1000</f>
        <v/>
      </c>
      <c r="J49" s="30">
        <f>IFERROR(I49/I$51,0)</f>
        <v/>
      </c>
    </row>
    <row r="50">
      <c r="A50" s="7" t="inlineStr">
        <is>
          <t>Undetermined sub-group</t>
        </is>
      </c>
      <c r="B50" s="29">
        <f>SUMIFS(Data!$AI$5:$AI$804,Data!$R$5:$R$804,"whole",Data!$S$5:$S$804,"FG1")+SUMIFS(Data!$AI$5:$AI$804,Data!$R$5:$R$804,"whole",Data!$S$5:$S$804,"FG5")-SUM(B22:B26)-SUM(B28:B32)-B42-B43</f>
        <v/>
      </c>
      <c r="C50" s="30">
        <f>IFERROR(B50/B$51,0)</f>
        <v/>
      </c>
      <c r="D50" s="32" t="inlineStr">
        <is>
          <t>—</t>
        </is>
      </c>
      <c r="F50" s="29">
        <f>SUMIFS(Data!$AH$5:$AH$804,Data!$R$5:$R$804,"whole",Data!$S$5:$S$804,"FG1")+SUMIFS(Data!$AH$5:$AH$804,Data!$R$5:$R$804,"whole",Data!$S$5:$S$804,"FG5")-SUM(F22:F26)-SUM(F28:F32)-F42-F43</f>
        <v/>
      </c>
      <c r="G50" s="30">
        <f>IFERROR(F50/F$51,0)</f>
        <v/>
      </c>
      <c r="I50" s="29">
        <f>SUMIFS(Data!$AE$5:$AE$804,Data!$R$5:$R$804,"whole",Data!$S$5:$S$804,"FG1")/1000+SUMIFS(Data!$AE$5:$AE$804,Data!$R$5:$R$804,"whole",Data!$S$5:$S$804,"FG5")/1000-SUM(I22:I26)-SUM(I28:I32)-I42-I43</f>
        <v/>
      </c>
      <c r="J50" s="30">
        <f>IFERROR(I50/I$51,0)</f>
        <v/>
      </c>
    </row>
    <row r="51">
      <c r="A51" s="28" t="inlineStr">
        <is>
          <t>Total — whole products</t>
        </is>
      </c>
      <c r="B51" s="33">
        <f>SUMIFS(Data!$AI$5:$AI$804,Data!$R$5:$R$804,"whole")</f>
        <v/>
      </c>
      <c r="C51" s="34">
        <f>IFERROR(B51/B$51,0)</f>
        <v/>
      </c>
      <c r="F51" s="33">
        <f>SUMIFS(Data!$AH$5:$AH$804,Data!$R$5:$R$804,"whole")</f>
        <v/>
      </c>
      <c r="G51" s="34">
        <f>IFERROR(F51/F$51,0)</f>
        <v/>
      </c>
      <c r="I51" s="33">
        <f>SUMIFS(Data!$AE$5:$AE$804,Data!$R$5:$R$804,"whole")/1000</f>
        <v/>
      </c>
      <c r="J51" s="34">
        <f>IFERROR(I51/I$51,0)</f>
        <v/>
      </c>
    </row>
    <row r="52">
      <c r="A52" s="26" t="inlineStr">
        <is>
          <t>FOOD GROUP 1 PROPORTION BY SOURCE</t>
        </is>
      </c>
      <c r="B52" s="27" t="n"/>
      <c r="C52" s="27" t="n"/>
      <c r="D52" s="27" t="n"/>
    </row>
    <row r="53">
      <c r="A53" s="7" t="inlineStr">
        <is>
          <t xml:space="preserve">    Plant</t>
        </is>
      </c>
      <c r="C53" s="35">
        <f>IFERROR(B21/(B21+B27),0)</f>
        <v/>
      </c>
      <c r="D53" s="31" t="n">
        <v>0.6</v>
      </c>
    </row>
    <row r="54">
      <c r="A54" s="7" t="inlineStr">
        <is>
          <t xml:space="preserve">    Animal</t>
        </is>
      </c>
      <c r="C54" s="35">
        <f>IFERROR(B27/(B21+B27),0)</f>
        <v/>
      </c>
      <c r="D54" s="31" t="n">
        <v>0.4</v>
      </c>
    </row>
    <row r="55">
      <c r="A55" s="26" t="inlineStr">
        <is>
          <t>FOOD GROUP 2 PROPORTION BY SOURCE</t>
        </is>
      </c>
      <c r="B55" s="27" t="n"/>
      <c r="C55" s="27" t="n"/>
      <c r="D55" s="27" t="n"/>
    </row>
    <row r="56">
      <c r="A56" s="7" t="inlineStr">
        <is>
          <t xml:space="preserve">    Plant</t>
        </is>
      </c>
      <c r="C56" s="35">
        <f>IFERROR(B35/(B34+B35),0)</f>
        <v/>
      </c>
      <c r="D56" s="31" t="inlineStr">
        <is>
          <t>N/A</t>
        </is>
      </c>
    </row>
    <row r="57">
      <c r="A57" s="7" t="inlineStr">
        <is>
          <t xml:space="preserve">    Animal</t>
        </is>
      </c>
      <c r="C57" s="35">
        <f>IFERROR(B34/(B34+B35),0)</f>
        <v/>
      </c>
      <c r="D57" s="31" t="inlineStr">
        <is>
          <t>N/A</t>
        </is>
      </c>
    </row>
    <row r="58">
      <c r="A58" s="26" t="inlineStr">
        <is>
          <t>WHOLE DIET PROPORTION BY SOURCE</t>
        </is>
      </c>
      <c r="B58" s="27" t="n"/>
      <c r="C58" s="27" t="n"/>
      <c r="D58" s="27" t="n"/>
    </row>
    <row r="59">
      <c r="A59" s="7" t="inlineStr">
        <is>
          <t xml:space="preserve">    Plant</t>
        </is>
      </c>
      <c r="C59" s="35">
        <f>IFERROR(SUM(B21,B35,B38,B40,B42,B43,B45,B47)/(SUM(B21,B35,B38,B40,B42,B43,B45,B47)+SUM(B27,B34,B37,B48)),0)</f>
        <v/>
      </c>
      <c r="D59" s="31" t="n">
        <v>0.74</v>
      </c>
    </row>
    <row r="60">
      <c r="A60" s="7" t="inlineStr">
        <is>
          <t xml:space="preserve">    Animal</t>
        </is>
      </c>
      <c r="C60" s="35">
        <f>IFERROR(1-C59,0)</f>
        <v/>
      </c>
      <c r="D60" s="31" t="n">
        <v>0.26</v>
      </c>
    </row>
    <row r="62" ht="25.5" customHeight="1">
      <c r="A62" s="24" t="inlineStr">
        <is>
          <t xml:space="preserve">  COMPOSITE PRODUCTS</t>
        </is>
      </c>
    </row>
    <row r="64">
      <c r="A64" s="5" t="inlineStr">
        <is>
          <t>Share of composites in measured sales</t>
        </is>
      </c>
      <c r="C64" s="36">
        <f>IFERROR(SUMIFS(Data!$AH$5:$AH$804,Data!$R$5:$R$804,"composite")/(SUMIFS(Data!$AH$5:$AH$804,Data!$R$5:$R$804,"composite")+SUMIFS(Data!$AH$5:$AH$804,Data!$R$5:$R$804,"whole")),0)</f>
        <v/>
      </c>
    </row>
    <row r="66" ht="30" customHeight="1">
      <c r="A66" s="12" t="inlineStr">
        <is>
          <t>COMPOSITION</t>
        </is>
      </c>
      <c r="B66" s="13" t="inlineStr">
        <is>
          <t>Mass (t)</t>
        </is>
      </c>
      <c r="C66" s="13" t="inlineStr">
        <is>
          <t>Share</t>
        </is>
      </c>
    </row>
    <row r="67">
      <c r="A67" s="7" t="inlineStr">
        <is>
          <t>Meat-based</t>
        </is>
      </c>
      <c r="B67" s="29">
        <f>SUMIFS(Data!$AH$5:$AH$804,Data!$R$5:$R$804,"composite",Data!$V$5:$V$804,"meat-based")</f>
        <v/>
      </c>
      <c r="C67" s="30">
        <f>IFERROR(B67/B$71,0)</f>
        <v/>
      </c>
    </row>
    <row r="68">
      <c r="A68" s="7" t="inlineStr">
        <is>
          <t>Seafood-based</t>
        </is>
      </c>
      <c r="B68" s="29">
        <f>SUMIFS(Data!$AH$5:$AH$804,Data!$R$5:$R$804,"composite",Data!$V$5:$V$804,"seafood-based")</f>
        <v/>
      </c>
      <c r="C68" s="30">
        <f>IFERROR(B68/B$71,0)</f>
        <v/>
      </c>
    </row>
    <row r="69">
      <c r="A69" s="7" t="inlineStr">
        <is>
          <t>Vegetarian</t>
        </is>
      </c>
      <c r="B69" s="29">
        <f>SUMIFS(Data!$AH$5:$AH$804,Data!$R$5:$R$804,"composite",Data!$V$5:$V$804,"vegetarian")</f>
        <v/>
      </c>
      <c r="C69" s="30">
        <f>IFERROR(B69/B$71,0)</f>
        <v/>
      </c>
    </row>
    <row r="70">
      <c r="A70" s="7" t="inlineStr">
        <is>
          <t>Vegan</t>
        </is>
      </c>
      <c r="B70" s="29">
        <f>SUMIFS(Data!$AH$5:$AH$804,Data!$R$5:$R$804,"composite",Data!$V$5:$V$804,"vegan")</f>
        <v/>
      </c>
      <c r="C70" s="30">
        <f>IFERROR(B70/B$71,0)</f>
        <v/>
      </c>
    </row>
    <row r="71">
      <c r="A71" s="28" t="inlineStr">
        <is>
          <t>Total</t>
        </is>
      </c>
      <c r="B71" s="33">
        <f>SUM(B67:B70)</f>
        <v/>
      </c>
      <c r="C71" s="34">
        <f>SUM(C67:C70)</f>
        <v/>
      </c>
    </row>
    <row r="74" ht="26" customHeight="1">
      <c r="A74" s="37" t="inlineStr">
        <is>
          <t>PHD column: the Planetary Health Diet proportions as printed in the “PHD” column of Appendix D. A dash marks a row for which Appendix D gives no target.</t>
        </is>
      </c>
    </row>
    <row r="75" ht="26" customHeight="1">
      <c r="A75" s="37" t="inlineStr">
        <is>
          <t>Appendix B dairy equivalents are applied: 25 cheeses at a factor of 1:10, everything else at 1:1. The product-mass column gives the mass actually sold, without the conversion; the gap between the two columns is the conversion itself.</t>
        </is>
      </c>
    </row>
    <row r="76" ht="26" customHeight="1">
      <c r="A76" s="37" t="inlineStr">
        <is>
          <t>Composites are counted at the full weight of the product, as the “composite product level” approach of step 1 prescribes.</t>
        </is>
      </c>
    </row>
    <row r="79" ht="25.5" customHeight="1">
      <c r="A79" s="24" t="inlineStr">
        <is>
          <t xml:space="preserve">  THE SAME BREAKDOWN, IN PROTEIN</t>
        </is>
      </c>
    </row>
    <row r="81" ht="26" customHeight="1">
      <c r="A81" s="11" t="inlineStr">
        <is>
          <t>Appendix D reasons in tonnes of product. The table below takes the seven food groups again, in tonnes of protein.</t>
        </is>
      </c>
    </row>
    <row r="82" ht="26" customHeight="1">
      <c r="A82" s="11" t="inlineStr">
        <is>
          <t>Mass and protein columns are in PRODUCT mass: the dairy equivalents of Appendix B do not apply here. They turn a weight of cheese into a weight of milk, which means nothing for protein: it is the same on both sides.</t>
        </is>
      </c>
    </row>
    <row r="83" ht="26" customHeight="1">
      <c r="A83" s="11" t="inlineStr">
        <is>
          <t>Plant and animal shares are computed on WEIGHT, as the WWF methodology asks. The share of protein is read on the Protein Tracker tab, whose unit it is.</t>
        </is>
      </c>
    </row>
    <row r="85" ht="30" customHeight="1">
      <c r="A85" s="12" t="inlineStr">
        <is>
          <t>Food group</t>
        </is>
      </c>
      <c r="B85" s="13" t="inlineStr">
        <is>
          <t>Mass (t)</t>
        </is>
      </c>
      <c r="C85" s="13" t="inlineStr">
        <is>
          <t>Protein (t)</t>
        </is>
      </c>
      <c r="D85" s="13" t="inlineStr">
        <is>
          <t>Plant protein (t)</t>
        </is>
      </c>
      <c r="E85" s="13" t="inlineStr">
        <is>
          <t>Animal protein (t)</t>
        </is>
      </c>
      <c r="F85" s="13" t="inlineStr">
        <is>
          <t>Plant share (weight)</t>
        </is>
      </c>
      <c r="G85" s="13" t="inlineStr">
        <is>
          <t>Animal share (weight)</t>
        </is>
      </c>
    </row>
    <row r="86">
      <c r="A86" s="7" t="inlineStr">
        <is>
          <t>FG1 · Protein foods</t>
        </is>
      </c>
      <c r="B86" s="29">
        <f>SUMIFS(Data!$AD$5:$AD$804,Data!$R$5:$R$804,"whole",Data!$S$5:$S$804,"FG1")/1000</f>
        <v/>
      </c>
      <c r="C86" s="29">
        <f>SUMIFS(Data!$AE$5:$AE$804,Data!$R$5:$R$804,"whole",Data!$S$5:$S$804,"FG1")/1000</f>
        <v/>
      </c>
      <c r="D86" s="29">
        <f>SUMIFS(Data!$AF$5:$AF$804,Data!$R$5:$R$804,"whole",Data!$S$5:$S$804,"FG1")/1000</f>
        <v/>
      </c>
      <c r="E86" s="29">
        <f>SUMIFS(Data!$AG$5:$AG$804,Data!$R$5:$R$804,"whole",Data!$S$5:$S$804,"FG1")/1000</f>
        <v/>
      </c>
      <c r="F86" s="30">
        <f>IFERROR((SUMIFS(Data!$AD$5:$AD$804,Data!$R$5:$R$804,"whole",Data!$S$5:$S$804,"FG1",Data!$U$5:$U$804,"plant")/1000)/B86,0)</f>
        <v/>
      </c>
      <c r="G86" s="30">
        <f>IFERROR((SUMIFS(Data!$AD$5:$AD$804,Data!$R$5:$R$804,"whole",Data!$S$5:$S$804,"FG1",Data!$U$5:$U$804,"animal")/1000)/B86,0)</f>
        <v/>
      </c>
    </row>
    <row r="87">
      <c r="A87" s="7" t="inlineStr">
        <is>
          <t>FG2 · Dairy and alternatives</t>
        </is>
      </c>
      <c r="B87" s="29">
        <f>SUMIFS(Data!$AD$5:$AD$804,Data!$R$5:$R$804,"whole",Data!$S$5:$S$804,"FG2")/1000</f>
        <v/>
      </c>
      <c r="C87" s="29">
        <f>SUMIFS(Data!$AE$5:$AE$804,Data!$R$5:$R$804,"whole",Data!$S$5:$S$804,"FG2")/1000</f>
        <v/>
      </c>
      <c r="D87" s="29">
        <f>SUMIFS(Data!$AF$5:$AF$804,Data!$R$5:$R$804,"whole",Data!$S$5:$S$804,"FG2")/1000</f>
        <v/>
      </c>
      <c r="E87" s="29">
        <f>SUMIFS(Data!$AG$5:$AG$804,Data!$R$5:$R$804,"whole",Data!$S$5:$S$804,"FG2")/1000</f>
        <v/>
      </c>
      <c r="F87" s="30">
        <f>IFERROR((SUMIFS(Data!$AD$5:$AD$804,Data!$R$5:$R$804,"whole",Data!$S$5:$S$804,"FG2",Data!$U$5:$U$804,"plant")/1000)/B87,0)</f>
        <v/>
      </c>
      <c r="G87" s="30">
        <f>IFERROR((SUMIFS(Data!$AD$5:$AD$804,Data!$R$5:$R$804,"whole",Data!$S$5:$S$804,"FG2",Data!$U$5:$U$804,"animal")/1000)/B87,0)</f>
        <v/>
      </c>
    </row>
    <row r="88">
      <c r="A88" s="7" t="inlineStr">
        <is>
          <t>FG3 · Fats</t>
        </is>
      </c>
      <c r="B88" s="29">
        <f>SUMIFS(Data!$AD$5:$AD$804,Data!$R$5:$R$804,"whole",Data!$S$5:$S$804,"FG3")/1000</f>
        <v/>
      </c>
      <c r="C88" s="29">
        <f>SUMIFS(Data!$AE$5:$AE$804,Data!$R$5:$R$804,"whole",Data!$S$5:$S$804,"FG3")/1000</f>
        <v/>
      </c>
      <c r="D88" s="29">
        <f>SUMIFS(Data!$AF$5:$AF$804,Data!$R$5:$R$804,"whole",Data!$S$5:$S$804,"FG3")/1000</f>
        <v/>
      </c>
      <c r="E88" s="29">
        <f>SUMIFS(Data!$AG$5:$AG$804,Data!$R$5:$R$804,"whole",Data!$S$5:$S$804,"FG3")/1000</f>
        <v/>
      </c>
      <c r="F88" s="30">
        <f>IFERROR((SUMIFS(Data!$AD$5:$AD$804,Data!$R$5:$R$804,"whole",Data!$S$5:$S$804,"FG3",Data!$U$5:$U$804,"plant")/1000)/B88,0)</f>
        <v/>
      </c>
      <c r="G88" s="30">
        <f>IFERROR((SUMIFS(Data!$AD$5:$AD$804,Data!$R$5:$R$804,"whole",Data!$S$5:$S$804,"FG3",Data!$U$5:$U$804,"animal")/1000)/B88,0)</f>
        <v/>
      </c>
    </row>
    <row r="89">
      <c r="A89" s="7" t="inlineStr">
        <is>
          <t>FG4 · Fruit and vegetables</t>
        </is>
      </c>
      <c r="B89" s="29">
        <f>SUMIFS(Data!$AD$5:$AD$804,Data!$R$5:$R$804,"whole",Data!$S$5:$S$804,"FG4")/1000</f>
        <v/>
      </c>
      <c r="C89" s="29">
        <f>SUMIFS(Data!$AE$5:$AE$804,Data!$R$5:$R$804,"whole",Data!$S$5:$S$804,"FG4")/1000</f>
        <v/>
      </c>
      <c r="D89" s="29">
        <f>SUMIFS(Data!$AF$5:$AF$804,Data!$R$5:$R$804,"whole",Data!$S$5:$S$804,"FG4")/1000</f>
        <v/>
      </c>
      <c r="E89" s="29">
        <f>SUMIFS(Data!$AG$5:$AG$804,Data!$R$5:$R$804,"whole",Data!$S$5:$S$804,"FG4")/1000</f>
        <v/>
      </c>
      <c r="F89" s="30">
        <f>IFERROR((SUMIFS(Data!$AD$5:$AD$804,Data!$R$5:$R$804,"whole",Data!$S$5:$S$804,"FG4",Data!$U$5:$U$804,"plant")/1000)/B89,0)</f>
        <v/>
      </c>
      <c r="G89" s="30">
        <f>IFERROR((SUMIFS(Data!$AD$5:$AD$804,Data!$R$5:$R$804,"whole",Data!$S$5:$S$804,"FG4",Data!$U$5:$U$804,"animal")/1000)/B89,0)</f>
        <v/>
      </c>
    </row>
    <row r="90">
      <c r="A90" s="7" t="inlineStr">
        <is>
          <t>FG5 · Grains</t>
        </is>
      </c>
      <c r="B90" s="29">
        <f>SUMIFS(Data!$AD$5:$AD$804,Data!$R$5:$R$804,"whole",Data!$S$5:$S$804,"FG5")/1000</f>
        <v/>
      </c>
      <c r="C90" s="29">
        <f>SUMIFS(Data!$AE$5:$AE$804,Data!$R$5:$R$804,"whole",Data!$S$5:$S$804,"FG5")/1000</f>
        <v/>
      </c>
      <c r="D90" s="29">
        <f>SUMIFS(Data!$AF$5:$AF$804,Data!$R$5:$R$804,"whole",Data!$S$5:$S$804,"FG5")/1000</f>
        <v/>
      </c>
      <c r="E90" s="29">
        <f>SUMIFS(Data!$AG$5:$AG$804,Data!$R$5:$R$804,"whole",Data!$S$5:$S$804,"FG5")/1000</f>
        <v/>
      </c>
      <c r="F90" s="30">
        <f>IFERROR((SUMIFS(Data!$AD$5:$AD$804,Data!$R$5:$R$804,"whole",Data!$S$5:$S$804,"FG5",Data!$U$5:$U$804,"plant")/1000)/B90,0)</f>
        <v/>
      </c>
      <c r="G90" s="30">
        <f>IFERROR((SUMIFS(Data!$AD$5:$AD$804,Data!$R$5:$R$804,"whole",Data!$S$5:$S$804,"FG5",Data!$U$5:$U$804,"animal")/1000)/B90,0)</f>
        <v/>
      </c>
    </row>
    <row r="91">
      <c r="A91" s="7" t="inlineStr">
        <is>
          <t>FG6 · Starchy vegetables</t>
        </is>
      </c>
      <c r="B91" s="29">
        <f>SUMIFS(Data!$AD$5:$AD$804,Data!$R$5:$R$804,"whole",Data!$S$5:$S$804,"FG6")/1000</f>
        <v/>
      </c>
      <c r="C91" s="29">
        <f>SUMIFS(Data!$AE$5:$AE$804,Data!$R$5:$R$804,"whole",Data!$S$5:$S$804,"FG6")/1000</f>
        <v/>
      </c>
      <c r="D91" s="29">
        <f>SUMIFS(Data!$AF$5:$AF$804,Data!$R$5:$R$804,"whole",Data!$S$5:$S$804,"FG6")/1000</f>
        <v/>
      </c>
      <c r="E91" s="29">
        <f>SUMIFS(Data!$AG$5:$AG$804,Data!$R$5:$R$804,"whole",Data!$S$5:$S$804,"FG6")/1000</f>
        <v/>
      </c>
      <c r="F91" s="30">
        <f>IFERROR((SUMIFS(Data!$AD$5:$AD$804,Data!$R$5:$R$804,"whole",Data!$S$5:$S$804,"FG6",Data!$U$5:$U$804,"plant")/1000)/B91,0)</f>
        <v/>
      </c>
      <c r="G91" s="30">
        <f>IFERROR((SUMIFS(Data!$AD$5:$AD$804,Data!$R$5:$R$804,"whole",Data!$S$5:$S$804,"FG6",Data!$U$5:$U$804,"animal")/1000)/B91,0)</f>
        <v/>
      </c>
    </row>
    <row r="92">
      <c r="A92" s="7" t="inlineStr">
        <is>
          <t>FG7 · Discretionary</t>
        </is>
      </c>
      <c r="B92" s="29">
        <f>SUMIFS(Data!$AD$5:$AD$804,Data!$R$5:$R$804,"whole",Data!$S$5:$S$804,"FG7")/1000</f>
        <v/>
      </c>
      <c r="C92" s="29">
        <f>SUMIFS(Data!$AE$5:$AE$804,Data!$R$5:$R$804,"whole",Data!$S$5:$S$804,"FG7")/1000</f>
        <v/>
      </c>
      <c r="D92" s="29">
        <f>SUMIFS(Data!$AF$5:$AF$804,Data!$R$5:$R$804,"whole",Data!$S$5:$S$804,"FG7")/1000</f>
        <v/>
      </c>
      <c r="E92" s="29">
        <f>SUMIFS(Data!$AG$5:$AG$804,Data!$R$5:$R$804,"whole",Data!$S$5:$S$804,"FG7")/1000</f>
        <v/>
      </c>
      <c r="F92" s="30">
        <f>IFERROR((SUMIFS(Data!$AD$5:$AD$804,Data!$R$5:$R$804,"whole",Data!$S$5:$S$804,"FG7",Data!$U$5:$U$804,"plant")/1000)/B92,0)</f>
        <v/>
      </c>
      <c r="G92" s="30">
        <f>IFERROR((SUMIFS(Data!$AD$5:$AD$804,Data!$R$5:$R$804,"whole",Data!$S$5:$S$804,"FG7",Data!$U$5:$U$804,"animal")/1000)/B92,0)</f>
        <v/>
      </c>
    </row>
    <row r="93">
      <c r="A93" s="28" t="inlineStr">
        <is>
          <t>Total</t>
        </is>
      </c>
      <c r="B93" s="33">
        <f>SUM(B86,B87,B88,B89,B90,B91,B92)</f>
        <v/>
      </c>
      <c r="C93" s="33">
        <f>SUM(C86,C87,C88,C89,C90,C91,C92)</f>
        <v/>
      </c>
      <c r="D93" s="33">
        <f>SUM(D86,D87,D88,D89,D90,D91,D92)</f>
        <v/>
      </c>
      <c r="E93" s="33">
        <f>SUM(E86,E87,E88,E89,E90,E91,E92)</f>
        <v/>
      </c>
      <c r="F93" s="34">
        <f>IFERROR((SUMIFS(Data!$AD$5:$AD$804,Data!$R$5:$R$804,"whole",Data!$U$5:$U$804,"plant")/1000)/B93,0)</f>
        <v/>
      </c>
      <c r="G93" s="34">
        <f>IFERROR((SUMIFS(Data!$AD$5:$AD$804,Data!$R$5:$R$804,"whole",Data!$U$5:$U$804,"animal")/1000)/B93,0)</f>
        <v/>
      </c>
    </row>
    <row r="95">
      <c r="A95" s="5" t="inlineStr">
        <is>
          <t>The rest of the catalogue</t>
        </is>
      </c>
    </row>
    <row r="96" ht="30" customHeight="1">
      <c r="A96" s="12" t="n"/>
      <c r="B96" s="13" t="inlineStr">
        <is>
          <t>Mass (t)</t>
        </is>
      </c>
      <c r="C96" s="13" t="inlineStr">
        <is>
          <t>Protein (t)</t>
        </is>
      </c>
      <c r="D96" s="13" t="inlineStr">
        <is>
          <t>Plant protein (t)</t>
        </is>
      </c>
      <c r="E96" s="13" t="inlineStr">
        <is>
          <t>Animal protein (t)</t>
        </is>
      </c>
      <c r="F96" s="13" t="inlineStr">
        <is>
          <t>Plant share (weight)</t>
        </is>
      </c>
      <c r="G96" s="13" t="inlineStr">
        <is>
          <t>Animal share (weight)</t>
        </is>
      </c>
    </row>
    <row r="97">
      <c r="A97" s="7" t="inlineStr">
        <is>
          <t>Composite products</t>
        </is>
      </c>
      <c r="B97" s="29">
        <f>SUMIFS(Data!$AD$5:$AD$804,Data!$R$5:$R$804,"composite")/1000</f>
        <v/>
      </c>
      <c r="C97" s="29">
        <f>SUMIFS(Data!$AE$5:$AE$804,Data!$R$5:$R$804,"composite")/1000</f>
        <v/>
      </c>
      <c r="D97" s="29">
        <f>SUMIFS(Data!$AF$5:$AF$804,Data!$R$5:$R$804,"composite")/1000</f>
        <v/>
      </c>
      <c r="E97" s="29">
        <f>SUMIFS(Data!$AG$5:$AG$804,Data!$R$5:$R$804,"composite")/1000</f>
        <v/>
      </c>
    </row>
    <row r="98">
      <c r="A98" s="7" t="inlineStr">
        <is>
          <t>Outside the WWF scope</t>
        </is>
      </c>
      <c r="B98" s="29">
        <f>SUMIFS(Data!$AD$5:$AD$804,Data!$H$5:$H$804,"yes",Data!$Q$5:$Q$804,"no")/1000</f>
        <v/>
      </c>
      <c r="C98" s="29">
        <f>SUMIFS(Data!$AE$5:$AE$804,Data!$H$5:$H$804,"yes",Data!$Q$5:$Q$804,"no")/1000</f>
        <v/>
      </c>
      <c r="D98" s="29">
        <f>SUMIFS(Data!$AF$5:$AF$804,Data!$H$5:$H$804,"yes",Data!$Q$5:$Q$804,"no")/1000</f>
        <v/>
      </c>
      <c r="E98" s="29">
        <f>SUMIFS(Data!$AG$5:$AG$804,Data!$H$5:$H$804,"yes",Data!$Q$5:$Q$804,"no")/1000</f>
        <v/>
      </c>
    </row>
  </sheetData>
  <mergeCells count="24">
    <mergeCell ref="A64:B64"/>
    <mergeCell ref="A17:J17"/>
    <mergeCell ref="A11:B11"/>
    <mergeCell ref="A62:J62"/>
    <mergeCell ref="C11:D12"/>
    <mergeCell ref="A81:G81"/>
    <mergeCell ref="C8:D9"/>
    <mergeCell ref="A83:G83"/>
    <mergeCell ref="F18:G18"/>
    <mergeCell ref="A15:J15"/>
    <mergeCell ref="A82:G82"/>
    <mergeCell ref="I18:J18"/>
    <mergeCell ref="A12:B12"/>
    <mergeCell ref="A1:J1"/>
    <mergeCell ref="B5:J5"/>
    <mergeCell ref="A79:J79"/>
    <mergeCell ref="B4:J4"/>
    <mergeCell ref="A8:B8"/>
    <mergeCell ref="A75:G75"/>
    <mergeCell ref="B3:J3"/>
    <mergeCell ref="A74:G74"/>
    <mergeCell ref="B18:D18"/>
    <mergeCell ref="A9:B9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5.5" customHeight="1">
      <c r="A1" s="20" t="inlineStr">
        <is>
          <t xml:space="preserve">  PROTEIN TRACKER — Green Protein Alliance</t>
        </is>
      </c>
    </row>
    <row r="3" ht="24" customHeight="1">
      <c r="A3" s="5" t="inlineStr">
        <is>
          <t>Plant share of protein</t>
        </is>
      </c>
      <c r="C3" s="22">
        <f>IFERROR((SUM(Data!$AF$5:$AF$804)/1000)/(SUM(Data!$AE$5:$AE$804)/1000),0)</f>
        <v/>
      </c>
    </row>
    <row r="4" ht="24" customHeight="1">
      <c r="A4" s="23" t="inlineStr">
        <is>
          <t>on the Protein Tracker scope</t>
        </is>
      </c>
    </row>
    <row r="6">
      <c r="A6" s="38" t="inlineStr">
        <is>
          <t>Every product falls into one class and one only. The four classes below cover the whole scope.</t>
        </is>
      </c>
    </row>
    <row r="8" ht="25.5" customHeight="1">
      <c r="A8" s="24" t="inlineStr">
        <is>
          <t xml:space="preserve">  THE FOUR CLASSES</t>
        </is>
      </c>
    </row>
    <row r="10" ht="30" customHeight="1">
      <c r="A10" s="12" t="n"/>
      <c r="B10" s="13" t="inlineStr">
        <is>
          <t>Protein (t)</t>
        </is>
      </c>
      <c r="C10" s="13" t="inlineStr">
        <is>
          <t>Share</t>
        </is>
      </c>
    </row>
    <row r="11">
      <c r="A11" s="28" t="inlineStr">
        <is>
          <t>Animal core</t>
        </is>
      </c>
      <c r="B11" s="29">
        <f>SUMIFS(Data!$AE$5:$AE$804,Data!$I$5:$I$804,"Animal core")/1000</f>
        <v/>
      </c>
      <c r="C11" s="30">
        <f>IFERROR(B11/B$15,0)</f>
        <v/>
      </c>
    </row>
    <row r="12">
      <c r="A12" s="28" t="inlineStr">
        <is>
          <t>Animal &amp; plant composite</t>
        </is>
      </c>
      <c r="B12" s="29">
        <f>SUMIFS(Data!$AE$5:$AE$804,Data!$I$5:$I$804,"Animal &amp; plant composite")/1000</f>
        <v/>
      </c>
      <c r="C12" s="30">
        <f>IFERROR(B12/B$15,0)</f>
        <v/>
      </c>
    </row>
    <row r="13">
      <c r="A13" s="28" t="inlineStr">
        <is>
          <t>Plant-based non-core</t>
        </is>
      </c>
      <c r="B13" s="29">
        <f>SUMIFS(Data!$AE$5:$AE$804,Data!$I$5:$I$804,"Plant-based non-core")/1000</f>
        <v/>
      </c>
      <c r="C13" s="30">
        <f>IFERROR(B13/B$15,0)</f>
        <v/>
      </c>
    </row>
    <row r="14">
      <c r="A14" s="28" t="inlineStr">
        <is>
          <t>Plant-based core</t>
        </is>
      </c>
      <c r="B14" s="29">
        <f>SUMIFS(Data!$AE$5:$AE$804,Data!$I$5:$I$804,"Plant-based core")/1000</f>
        <v/>
      </c>
      <c r="C14" s="30">
        <f>IFERROR(B14/B$15,0)</f>
        <v/>
      </c>
    </row>
    <row r="15">
      <c r="A15" s="28" t="inlineStr">
        <is>
          <t>Total</t>
        </is>
      </c>
      <c r="B15" s="33">
        <f>SUM(B11:B14)</f>
        <v/>
      </c>
      <c r="C15" s="34">
        <f>SUM(C11:C14)</f>
        <v/>
      </c>
    </row>
    <row r="18" ht="25.5" customHeight="1">
      <c r="A18" s="24" t="inlineStr">
        <is>
          <t xml:space="preserve">  DETAIL OF EACH CLASS</t>
        </is>
      </c>
    </row>
    <row r="20" ht="28" customHeight="1">
      <c r="A20" s="11" t="inlineStr">
        <is>
          <t>The same total, broken down to the level the GPA methodology describes: meat, cheese, dairy, eggs, fish for the animal class, and likewise for the other three.</t>
        </is>
      </c>
    </row>
    <row r="22" ht="30" customHeight="1">
      <c r="A22" s="12" t="n"/>
      <c r="B22" s="13" t="inlineStr">
        <is>
          <t>Protein (t)</t>
        </is>
      </c>
      <c r="C22" s="13" t="inlineStr">
        <is>
          <t>Share</t>
        </is>
      </c>
    </row>
    <row r="23">
      <c r="A23" s="39" t="inlineStr">
        <is>
          <t>Animal core</t>
        </is>
      </c>
      <c r="B23" s="40" t="n"/>
      <c r="C23" s="40" t="n"/>
    </row>
    <row r="24">
      <c r="A24" s="7" t="inlineStr">
        <is>
          <t xml:space="preserve">    Red meat</t>
        </is>
      </c>
      <c r="B24" s="29">
        <f>SUMIFS(Data!$AE$5:$AE$804,Data!$I$5:$I$804,"Animal core",Data!$J$5:$J$804,"Red meat")/1000</f>
        <v/>
      </c>
      <c r="C24" s="30">
        <f>IFERROR(B24/B$15,0)</f>
        <v/>
      </c>
    </row>
    <row r="25">
      <c r="A25" s="7" t="inlineStr">
        <is>
          <t xml:space="preserve">    Poultry</t>
        </is>
      </c>
      <c r="B25" s="29">
        <f>SUMIFS(Data!$AE$5:$AE$804,Data!$I$5:$I$804,"Animal core",Data!$J$5:$J$804,"Poultry")/1000</f>
        <v/>
      </c>
      <c r="C25" s="30">
        <f>IFERROR(B25/B$15,0)</f>
        <v/>
      </c>
    </row>
    <row r="26">
      <c r="A26" s="7" t="inlineStr">
        <is>
          <t xml:space="preserve">    Fish and seafood</t>
        </is>
      </c>
      <c r="B26" s="29">
        <f>SUMIFS(Data!$AE$5:$AE$804,Data!$I$5:$I$804,"Animal core",Data!$J$5:$J$804,"Fish and seafood")/1000</f>
        <v/>
      </c>
      <c r="C26" s="30">
        <f>IFERROR(B26/B$15,0)</f>
        <v/>
      </c>
    </row>
    <row r="27">
      <c r="A27" s="7" t="inlineStr">
        <is>
          <t xml:space="preserve">    Eggs</t>
        </is>
      </c>
      <c r="B27" s="29">
        <f>SUMIFS(Data!$AE$5:$AE$804,Data!$I$5:$I$804,"Animal core",Data!$J$5:$J$804,"Eggs")/1000</f>
        <v/>
      </c>
      <c r="C27" s="30">
        <f>IFERROR(B27/B$15,0)</f>
        <v/>
      </c>
    </row>
    <row r="28">
      <c r="A28" s="7" t="inlineStr">
        <is>
          <t xml:space="preserve">    Other animals (e.g. snails)</t>
        </is>
      </c>
      <c r="B28" s="29">
        <f>SUMIFS(Data!$AE$5:$AE$804,Data!$I$5:$I$804,"Animal core",Data!$J$5:$J$804,"Other animals (e.g. snails)")/1000</f>
        <v/>
      </c>
      <c r="C28" s="30">
        <f>IFERROR(B28/B$15,0)</f>
        <v/>
      </c>
    </row>
    <row r="29">
      <c r="A29" s="7" t="inlineStr">
        <is>
          <t xml:space="preserve">    Cheese</t>
        </is>
      </c>
      <c r="B29" s="29">
        <f>SUMIFS(Data!$AE$5:$AE$804,Data!$I$5:$I$804,"Animal core",Data!$J$5:$J$804,"Cheese")/1000</f>
        <v/>
      </c>
      <c r="C29" s="30">
        <f>IFERROR(B29/B$15,0)</f>
        <v/>
      </c>
    </row>
    <row r="30">
      <c r="A30" s="7" t="inlineStr">
        <is>
          <t xml:space="preserve">    Milk, yoghurt and cream</t>
        </is>
      </c>
      <c r="B30" s="29">
        <f>SUMIFS(Data!$AE$5:$AE$804,Data!$I$5:$I$804,"Animal core",Data!$J$5:$J$804,"Milk, yoghurt and cream")/1000</f>
        <v/>
      </c>
      <c r="C30" s="30">
        <f>IFERROR(B30/B$15,0)</f>
        <v/>
      </c>
    </row>
    <row r="31">
      <c r="A31" s="7" t="inlineStr">
        <is>
          <t xml:space="preserve">    Dishes and processed products</t>
        </is>
      </c>
      <c r="B31" s="29">
        <f>SUMIFS(Data!$AE$5:$AE$804,Data!$I$5:$I$804,"Animal core",Data!$J$5:$J$804,"Dishes and processed products")/1000</f>
        <v/>
      </c>
      <c r="C31" s="30">
        <f>IFERROR(B31/B$15,0)</f>
        <v/>
      </c>
    </row>
    <row r="32">
      <c r="A32" s="7" t="inlineStr">
        <is>
          <t xml:space="preserve">    Discretionary products</t>
        </is>
      </c>
      <c r="B32" s="29">
        <f>SUMIFS(Data!$AE$5:$AE$804,Data!$I$5:$I$804,"Animal core",Data!$J$5:$J$804,"Discretionary products")/1000</f>
        <v/>
      </c>
      <c r="C32" s="30">
        <f>IFERROR(B32/B$15,0)</f>
        <v/>
      </c>
    </row>
    <row r="33">
      <c r="A33" s="7" t="inlineStr">
        <is>
          <t xml:space="preserve">    Other</t>
        </is>
      </c>
      <c r="B33" s="29">
        <f>SUMIFS(Data!$AE$5:$AE$804,Data!$I$5:$I$804,"Animal core",Data!$J$5:$J$804,"Other")/1000</f>
        <v/>
      </c>
      <c r="C33" s="30">
        <f>IFERROR(B33/B$15,0)</f>
        <v/>
      </c>
    </row>
    <row r="34">
      <c r="A34" s="41" t="inlineStr">
        <is>
          <t>Animal &amp; plant composite</t>
        </is>
      </c>
      <c r="B34" s="42" t="n"/>
      <c r="C34" s="42" t="n"/>
    </row>
    <row r="35">
      <c r="A35" s="7" t="inlineStr">
        <is>
          <t xml:space="preserve">    Meat-based dishes</t>
        </is>
      </c>
      <c r="B35" s="29">
        <f>SUMIFS(Data!$AE$5:$AE$804,Data!$I$5:$I$804,"Animal &amp; plant composite",Data!$J$5:$J$804,"Meat-based dishes")/1000</f>
        <v/>
      </c>
      <c r="C35" s="30">
        <f>IFERROR(B35/B$15,0)</f>
        <v/>
      </c>
    </row>
    <row r="36">
      <c r="A36" s="7" t="inlineStr">
        <is>
          <t xml:space="preserve">    Fish-based dishes</t>
        </is>
      </c>
      <c r="B36" s="29">
        <f>SUMIFS(Data!$AE$5:$AE$804,Data!$I$5:$I$804,"Animal &amp; plant composite",Data!$J$5:$J$804,"Fish-based dishes")/1000</f>
        <v/>
      </c>
      <c r="C36" s="30">
        <f>IFERROR(B36/B$15,0)</f>
        <v/>
      </c>
    </row>
    <row r="37">
      <c r="A37" s="7" t="inlineStr">
        <is>
          <t xml:space="preserve">    Vegetarian dishes</t>
        </is>
      </c>
      <c r="B37" s="29">
        <f>SUMIFS(Data!$AE$5:$AE$804,Data!$I$5:$I$804,"Animal &amp; plant composite",Data!$J$5:$J$804,"Vegetarian dishes")/1000</f>
        <v/>
      </c>
      <c r="C37" s="30">
        <f>IFERROR(B37/B$15,0)</f>
        <v/>
      </c>
    </row>
    <row r="38">
      <c r="A38" s="7" t="inlineStr">
        <is>
          <t xml:space="preserve">    Vegan dishes</t>
        </is>
      </c>
      <c r="B38" s="29">
        <f>SUMIFS(Data!$AE$5:$AE$804,Data!$I$5:$I$804,"Animal &amp; plant composite",Data!$J$5:$J$804,"Vegan dishes")/1000</f>
        <v/>
      </c>
      <c r="C38" s="30">
        <f>IFERROR(B38/B$15,0)</f>
        <v/>
      </c>
    </row>
    <row r="39">
      <c r="A39" s="7" t="inlineStr">
        <is>
          <t xml:space="preserve">    Discretionary products</t>
        </is>
      </c>
      <c r="B39" s="29">
        <f>SUMIFS(Data!$AE$5:$AE$804,Data!$I$5:$I$804,"Animal &amp; plant composite",Data!$J$5:$J$804,"Discretionary products")/1000</f>
        <v/>
      </c>
      <c r="C39" s="30">
        <f>IFERROR(B39/B$15,0)</f>
        <v/>
      </c>
    </row>
    <row r="40">
      <c r="A40" s="7" t="inlineStr">
        <is>
          <t xml:space="preserve">    Cereals and bread</t>
        </is>
      </c>
      <c r="B40" s="29">
        <f>SUMIFS(Data!$AE$5:$AE$804,Data!$I$5:$I$804,"Animal &amp; plant composite",Data!$J$5:$J$804,"Cereals and bread")/1000</f>
        <v/>
      </c>
      <c r="C40" s="30">
        <f>IFERROR(B40/B$15,0)</f>
        <v/>
      </c>
    </row>
    <row r="41">
      <c r="A41" s="7" t="inlineStr">
        <is>
          <t xml:space="preserve">    Other</t>
        </is>
      </c>
      <c r="B41" s="29">
        <f>SUMIFS(Data!$AE$5:$AE$804,Data!$I$5:$I$804,"Animal &amp; plant composite",Data!$J$5:$J$804,"Other")/1000</f>
        <v/>
      </c>
      <c r="C41" s="30">
        <f>IFERROR(B41/B$15,0)</f>
        <v/>
      </c>
    </row>
    <row r="42">
      <c r="A42" s="43" t="inlineStr">
        <is>
          <t>Plant-based non-core</t>
        </is>
      </c>
      <c r="B42" s="44" t="n"/>
      <c r="C42" s="44" t="n"/>
    </row>
    <row r="43">
      <c r="A43" s="7" t="inlineStr">
        <is>
          <t xml:space="preserve">    Refined grains</t>
        </is>
      </c>
      <c r="B43" s="29">
        <f>SUMIFS(Data!$AE$5:$AE$804,Data!$I$5:$I$804,"Plant-based non-core",Data!$J$5:$J$804,"Refined grains")/1000</f>
        <v/>
      </c>
      <c r="C43" s="30">
        <f>IFERROR(B43/B$15,0)</f>
        <v/>
      </c>
    </row>
    <row r="44">
      <c r="A44" s="7" t="inlineStr">
        <is>
          <t xml:space="preserve">    Whole grains</t>
        </is>
      </c>
      <c r="B44" s="29">
        <f>SUMIFS(Data!$AE$5:$AE$804,Data!$I$5:$I$804,"Plant-based non-core",Data!$J$5:$J$804,"Whole grains")/1000</f>
        <v/>
      </c>
      <c r="C44" s="30">
        <f>IFERROR(B44/B$15,0)</f>
        <v/>
      </c>
    </row>
    <row r="45">
      <c r="A45" s="7" t="inlineStr">
        <is>
          <t xml:space="preserve">    Fruit and vegetables</t>
        </is>
      </c>
      <c r="B45" s="29">
        <f>SUMIFS(Data!$AE$5:$AE$804,Data!$I$5:$I$804,"Plant-based non-core",Data!$J$5:$J$804,"Fruit and vegetables")/1000</f>
        <v/>
      </c>
      <c r="C45" s="30">
        <f>IFERROR(B45/B$15,0)</f>
        <v/>
      </c>
    </row>
    <row r="46">
      <c r="A46" s="7" t="inlineStr">
        <is>
          <t xml:space="preserve">    Starchy foods</t>
        </is>
      </c>
      <c r="B46" s="29">
        <f>SUMIFS(Data!$AE$5:$AE$804,Data!$I$5:$I$804,"Plant-based non-core",Data!$J$5:$J$804,"Starchy foods")/1000</f>
        <v/>
      </c>
      <c r="C46" s="30">
        <f>IFERROR(B46/B$15,0)</f>
        <v/>
      </c>
    </row>
    <row r="47">
      <c r="A47" s="7" t="inlineStr">
        <is>
          <t xml:space="preserve">    Discretionary products</t>
        </is>
      </c>
      <c r="B47" s="29">
        <f>SUMIFS(Data!$AE$5:$AE$804,Data!$I$5:$I$804,"Plant-based non-core",Data!$J$5:$J$804,"Discretionary products")/1000</f>
        <v/>
      </c>
      <c r="C47" s="30">
        <f>IFERROR(B47/B$15,0)</f>
        <v/>
      </c>
    </row>
    <row r="48">
      <c r="A48" s="7" t="inlineStr">
        <is>
          <t xml:space="preserve">    Outside the WWF scope</t>
        </is>
      </c>
      <c r="B48" s="29">
        <f>SUMIFS(Data!$AE$5:$AE$804,Data!$I$5:$I$804,"Plant-based non-core",Data!$J$5:$J$804,"Outside the WWF scope")/1000</f>
        <v/>
      </c>
      <c r="C48" s="30">
        <f>IFERROR(B48/B$15,0)</f>
        <v/>
      </c>
    </row>
    <row r="49">
      <c r="A49" s="7" t="inlineStr">
        <is>
          <t xml:space="preserve">    Other</t>
        </is>
      </c>
      <c r="B49" s="29">
        <f>SUMIFS(Data!$AE$5:$AE$804,Data!$I$5:$I$804,"Plant-based non-core",Data!$J$5:$J$804,"Other")/1000</f>
        <v/>
      </c>
      <c r="C49" s="30">
        <f>IFERROR(B49/B$15,0)</f>
        <v/>
      </c>
    </row>
    <row r="50">
      <c r="A50" s="45" t="inlineStr">
        <is>
          <t>Plant-based core</t>
        </is>
      </c>
      <c r="B50" s="46" t="n"/>
      <c r="C50" s="46" t="n"/>
    </row>
    <row r="51">
      <c r="A51" s="7" t="inlineStr">
        <is>
          <t xml:space="preserve">    Pulses</t>
        </is>
      </c>
      <c r="B51" s="29">
        <f>SUMIFS(Data!$AE$5:$AE$804,Data!$I$5:$I$804,"Plant-based core",Data!$J$5:$J$804,"Pulses")/1000</f>
        <v/>
      </c>
      <c r="C51" s="30">
        <f>IFERROR(B51/B$15,0)</f>
        <v/>
      </c>
    </row>
    <row r="52">
      <c r="A52" s="7" t="inlineStr">
        <is>
          <t xml:space="preserve">    Nuts</t>
        </is>
      </c>
      <c r="B52" s="29">
        <f>SUMIFS(Data!$AE$5:$AE$804,Data!$I$5:$I$804,"Plant-based core",Data!$J$5:$J$804,"Nuts")/1000</f>
        <v/>
      </c>
      <c r="C52" s="30">
        <f>IFERROR(B52/B$15,0)</f>
        <v/>
      </c>
    </row>
    <row r="53">
      <c r="A53" s="7" t="inlineStr">
        <is>
          <t xml:space="preserve">    Seeds</t>
        </is>
      </c>
      <c r="B53" s="29">
        <f>SUMIFS(Data!$AE$5:$AE$804,Data!$I$5:$I$804,"Plant-based core",Data!$J$5:$J$804,"Seeds")/1000</f>
        <v/>
      </c>
      <c r="C53" s="30">
        <f>IFERROR(B53/B$15,0)</f>
        <v/>
      </c>
    </row>
    <row r="54">
      <c r="A54" s="7" t="inlineStr">
        <is>
          <t xml:space="preserve">    Plant-based meat alternatives</t>
        </is>
      </c>
      <c r="B54" s="29">
        <f>SUMIFS(Data!$AE$5:$AE$804,Data!$I$5:$I$804,"Plant-based core",Data!$J$5:$J$804,"Plant-based meat alternatives")/1000</f>
        <v/>
      </c>
      <c r="C54" s="30">
        <f>IFERROR(B54/B$15,0)</f>
        <v/>
      </c>
    </row>
    <row r="55">
      <c r="A55" s="7" t="inlineStr">
        <is>
          <t xml:space="preserve">    Tofu, tempeh, seitan</t>
        </is>
      </c>
      <c r="B55" s="29">
        <f>SUMIFS(Data!$AE$5:$AE$804,Data!$I$5:$I$804,"Plant-based core",Data!$J$5:$J$804,"Tofu, tempeh, seitan")/1000</f>
        <v/>
      </c>
      <c r="C55" s="30">
        <f>IFERROR(B55/B$15,0)</f>
        <v/>
      </c>
    </row>
    <row r="56">
      <c r="A56" s="7" t="inlineStr">
        <is>
          <t xml:space="preserve">    Plant-based dairy alternatives</t>
        </is>
      </c>
      <c r="B56" s="29">
        <f>SUMIFS(Data!$AE$5:$AE$804,Data!$I$5:$I$804,"Plant-based core",Data!$J$5:$J$804,"Plant-based dairy alternatives")/1000</f>
        <v/>
      </c>
      <c r="C56" s="30">
        <f>IFERROR(B56/B$15,0)</f>
        <v/>
      </c>
    </row>
    <row r="57">
      <c r="A57" s="7" t="inlineStr">
        <is>
          <t xml:space="preserve">    Other</t>
        </is>
      </c>
      <c r="B57" s="29">
        <f>SUMIFS(Data!$AE$5:$AE$804,Data!$I$5:$I$804,"Plant-based core",Data!$J$5:$J$804,"Other")/1000</f>
        <v/>
      </c>
      <c r="C57" s="30">
        <f>IFERROR(B57/B$15,0)</f>
        <v/>
      </c>
    </row>
    <row r="58">
      <c r="A58" s="28" t="inlineStr">
        <is>
          <t>Total</t>
        </is>
      </c>
      <c r="B58" s="33">
        <f>SUM(B24,B25,B26,B27,B28,B29,B30,B31,B32,B33,B35,B36,B37,B38,B39,B40,B41,B43,B44,B45,B46,B47,B48,B49,B51,B52,B53,B54,B55,B56,B57)</f>
        <v/>
      </c>
      <c r="C58" s="34">
        <f>IFERROR(B58/B$15,0)</f>
        <v/>
      </c>
    </row>
    <row r="61" ht="25.5" customHeight="1">
      <c r="A61" s="24" t="inlineStr">
        <is>
          <t xml:space="preserve">  MASS AND PLANT / ANIMAL SPLIT</t>
        </is>
      </c>
    </row>
    <row r="63" ht="30" customHeight="1">
      <c r="A63" s="12" t="inlineStr">
        <is>
          <t>Class</t>
        </is>
      </c>
      <c r="B63" s="13" t="inlineStr">
        <is>
          <t>Mass (t)</t>
        </is>
      </c>
      <c r="C63" s="13" t="inlineStr">
        <is>
          <t>Protein (t)</t>
        </is>
      </c>
      <c r="D63" s="13" t="inlineStr">
        <is>
          <t>Plant protein (t)</t>
        </is>
      </c>
      <c r="E63" s="13" t="inlineStr">
        <is>
          <t>Animal protein (t)</t>
        </is>
      </c>
      <c r="F63" s="13" t="inlineStr">
        <is>
          <t>Plant share</t>
        </is>
      </c>
      <c r="G63" s="13" t="inlineStr">
        <is>
          <t>Animal share</t>
        </is>
      </c>
    </row>
    <row r="64">
      <c r="A64" s="7" t="inlineStr">
        <is>
          <t>Plant-based core — plant, a protein source</t>
        </is>
      </c>
      <c r="B64" s="29">
        <f>SUMIFS(Data!$AD$5:$AD$804,Data!$I$5:$I$804,"Plant-based core")/1000</f>
        <v/>
      </c>
      <c r="C64" s="29">
        <f>SUMIFS(Data!$AE$5:$AE$804,Data!$I$5:$I$804,"Plant-based core")/1000</f>
        <v/>
      </c>
      <c r="D64" s="29">
        <f>SUMIFS(Data!$AF$5:$AF$804,Data!$I$5:$I$804,"Plant-based core")/1000</f>
        <v/>
      </c>
      <c r="E64" s="29">
        <f>SUMIFS(Data!$AG$5:$AG$804,Data!$I$5:$I$804,"Plant-based core")/1000</f>
        <v/>
      </c>
      <c r="F64" s="30">
        <f>IFERROR(D64/C64,0)</f>
        <v/>
      </c>
      <c r="G64" s="30">
        <f>IFERROR(E64/C64,0)</f>
        <v/>
      </c>
    </row>
    <row r="65">
      <c r="A65" s="7" t="inlineStr">
        <is>
          <t>Plant-based non-core — plant, not a protein source</t>
        </is>
      </c>
      <c r="B65" s="29">
        <f>SUMIFS(Data!$AD$5:$AD$804,Data!$I$5:$I$804,"Plant-based non-core")/1000</f>
        <v/>
      </c>
      <c r="C65" s="29">
        <f>SUMIFS(Data!$AE$5:$AE$804,Data!$I$5:$I$804,"Plant-based non-core")/1000</f>
        <v/>
      </c>
      <c r="D65" s="29">
        <f>SUMIFS(Data!$AF$5:$AF$804,Data!$I$5:$I$804,"Plant-based non-core")/1000</f>
        <v/>
      </c>
      <c r="E65" s="29">
        <f>SUMIFS(Data!$AG$5:$AG$804,Data!$I$5:$I$804,"Plant-based non-core")/1000</f>
        <v/>
      </c>
      <c r="F65" s="30">
        <f>IFERROR(D65/C65,0)</f>
        <v/>
      </c>
      <c r="G65" s="30">
        <f>IFERROR(E65/C65,0)</f>
        <v/>
      </c>
    </row>
    <row r="66">
      <c r="A66" s="7" t="inlineStr">
        <is>
          <t>Composite — plant and animal mixed</t>
        </is>
      </c>
      <c r="B66" s="29">
        <f>SUMIFS(Data!$AD$5:$AD$804,Data!$I$5:$I$804,"Animal &amp; plant composite")/1000</f>
        <v/>
      </c>
      <c r="C66" s="29">
        <f>SUMIFS(Data!$AE$5:$AE$804,Data!$I$5:$I$804,"Animal &amp; plant composite")/1000</f>
        <v/>
      </c>
      <c r="D66" s="29">
        <f>SUMIFS(Data!$AF$5:$AF$804,Data!$I$5:$I$804,"Animal &amp; plant composite")/1000</f>
        <v/>
      </c>
      <c r="E66" s="29">
        <f>SUMIFS(Data!$AG$5:$AG$804,Data!$I$5:$I$804,"Animal &amp; plant composite")/1000</f>
        <v/>
      </c>
      <c r="F66" s="30">
        <f>IFERROR(D66/C66,0)</f>
        <v/>
      </c>
      <c r="G66" s="30">
        <f>IFERROR(E66/C66,0)</f>
        <v/>
      </c>
    </row>
    <row r="67">
      <c r="A67" s="7" t="inlineStr">
        <is>
          <t>Animal core — animal</t>
        </is>
      </c>
      <c r="B67" s="29">
        <f>SUMIFS(Data!$AD$5:$AD$804,Data!$I$5:$I$804,"Animal core")/1000</f>
        <v/>
      </c>
      <c r="C67" s="29">
        <f>SUMIFS(Data!$AE$5:$AE$804,Data!$I$5:$I$804,"Animal core")/1000</f>
        <v/>
      </c>
      <c r="D67" s="29">
        <f>SUMIFS(Data!$AF$5:$AF$804,Data!$I$5:$I$804,"Animal core")/1000</f>
        <v/>
      </c>
      <c r="E67" s="29">
        <f>SUMIFS(Data!$AG$5:$AG$804,Data!$I$5:$I$804,"Animal core")/1000</f>
        <v/>
      </c>
      <c r="F67" s="30">
        <f>IFERROR(D67/C67,0)</f>
        <v/>
      </c>
      <c r="G67" s="30">
        <f>IFERROR(E67/C67,0)</f>
        <v/>
      </c>
    </row>
    <row r="68">
      <c r="A68" s="28" t="inlineStr">
        <is>
          <t>Total</t>
        </is>
      </c>
      <c r="B68" s="33">
        <f>B64+B65+B66+B67</f>
        <v/>
      </c>
      <c r="C68" s="33">
        <f>C64+C65+C66+C67</f>
        <v/>
      </c>
      <c r="D68" s="33">
        <f>D64+D65+D66+D67</f>
        <v/>
      </c>
      <c r="E68" s="33">
        <f>E64+E65+E66+E67</f>
        <v/>
      </c>
      <c r="F68" s="34">
        <f>IFERROR(D68/C68,0)</f>
        <v/>
      </c>
      <c r="G68" s="34">
        <f>IFERROR(E68/C68,0)</f>
        <v/>
      </c>
    </row>
    <row r="70">
      <c r="A70" s="5" t="inlineStr">
        <is>
          <t>Out of scope</t>
        </is>
      </c>
    </row>
    <row r="71" ht="30" customHeight="1">
      <c r="A71" s="12" t="n"/>
      <c r="B71" s="13" t="inlineStr">
        <is>
          <t>Mass (t)</t>
        </is>
      </c>
      <c r="C71" s="13" t="inlineStr">
        <is>
          <t>Protein (t)</t>
        </is>
      </c>
      <c r="D71" s="13" t="inlineStr">
        <is>
          <t>Plant protein (t)</t>
        </is>
      </c>
      <c r="E71" s="13" t="inlineStr">
        <is>
          <t>Animal protein (t)</t>
        </is>
      </c>
      <c r="F71" s="13" t="inlineStr">
        <is>
          <t>Plant share</t>
        </is>
      </c>
      <c r="G71" s="13" t="inlineStr">
        <is>
          <t>Animal share</t>
        </is>
      </c>
    </row>
    <row r="72">
      <c r="A72" s="7" t="inlineStr">
        <is>
          <t>Out of scope — non-food and test items</t>
        </is>
      </c>
      <c r="B72" s="29">
        <f>SUMIFS(Data!$AC$5:$AC$804,Data!$H$5:$H$804,"no")/1000</f>
        <v/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</row>
  </sheetData>
  <mergeCells count="9">
    <mergeCell ref="A4:B4"/>
    <mergeCell ref="A61:G61"/>
    <mergeCell ref="A1:G1"/>
    <mergeCell ref="A18:G18"/>
    <mergeCell ref="A8:G8"/>
    <mergeCell ref="A6:G6"/>
    <mergeCell ref="A20:G20"/>
    <mergeCell ref="A3:B3"/>
    <mergeCell ref="C3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25.5" customHeight="1">
      <c r="A1" s="20" t="inlineStr">
        <is>
          <t xml:space="preserve">  BY FAMILY</t>
        </is>
      </c>
    </row>
    <row r="3">
      <c r="A3" s="38" t="inlineStr">
        <is>
          <t>Sorted by protein tonnage, from the pre-filled volumes. 40 families shown out of 68; the other 28 are grouped on one row.</t>
        </is>
      </c>
    </row>
    <row r="5" ht="25.5" customHeight="1">
      <c r="A5" s="24" t="inlineStr">
        <is>
          <t xml:space="preserve">  FIRST, THE COMPARABLE GROUPING</t>
        </is>
      </c>
    </row>
    <row r="7" ht="30" customHeight="1">
      <c r="A7" s="12" t="inlineStr">
        <is>
          <t>WWF sub-group</t>
        </is>
      </c>
      <c r="B7" s="13" t="inlineStr">
        <is>
          <t>Mass (t)</t>
        </is>
      </c>
      <c r="C7" s="13" t="inlineStr">
        <is>
          <t>Protein (t)</t>
        </is>
      </c>
      <c r="D7" s="13" t="inlineStr">
        <is>
          <t>Plant protein (t)</t>
        </is>
      </c>
      <c r="E7" s="13" t="inlineStr">
        <is>
          <t>Animal protein (t)</t>
        </is>
      </c>
      <c r="F7" s="13" t="inlineStr">
        <is>
          <t>Plant share (weight)</t>
        </is>
      </c>
      <c r="G7" s="13" t="inlineStr">
        <is>
          <t>Animal share (weight)</t>
        </is>
      </c>
    </row>
    <row r="8">
      <c r="A8" s="7" t="inlineStr">
        <is>
          <t>FG1 · Red meat</t>
        </is>
      </c>
      <c r="B8" s="29">
        <f>SUMIFS(Data!$AD$5:$AD$804,Data!$R$5:$R$804,"whole",Data!$S$5:$S$804,"FG1",Data!$T$5:$T$804,"Red meat")/1000</f>
        <v/>
      </c>
      <c r="C8" s="29">
        <f>SUMIFS(Data!$AE$5:$AE$804,Data!$R$5:$R$804,"whole",Data!$S$5:$S$804,"FG1",Data!$T$5:$T$804,"Red meat")/1000</f>
        <v/>
      </c>
      <c r="D8" s="29">
        <f>SUMIFS(Data!$AF$5:$AF$804,Data!$R$5:$R$804,"whole",Data!$S$5:$S$804,"FG1",Data!$T$5:$T$804,"Red meat")/1000</f>
        <v/>
      </c>
      <c r="E8" s="29">
        <f>SUMIFS(Data!$AG$5:$AG$804,Data!$R$5:$R$804,"whole",Data!$S$5:$S$804,"FG1",Data!$T$5:$T$804,"Red meat")/1000</f>
        <v/>
      </c>
      <c r="F8" s="30">
        <f>IFERROR((SUMIFS(Data!$AD$5:$AD$804,Data!$R$5:$R$804,"whole",Data!$S$5:$S$804,"FG1",Data!$T$5:$T$804,"Red meat",Data!$U$5:$U$804,"plant")/1000)/B8,0)</f>
        <v/>
      </c>
      <c r="G8" s="30">
        <f>IFERROR((SUMIFS(Data!$AD$5:$AD$804,Data!$R$5:$R$804,"whole",Data!$S$5:$S$804,"FG1",Data!$T$5:$T$804,"Red meat",Data!$U$5:$U$804,"animal")/1000)/B8,0)</f>
        <v/>
      </c>
    </row>
    <row r="9">
      <c r="A9" s="7" t="inlineStr">
        <is>
          <t>FG1 · Poultry</t>
        </is>
      </c>
      <c r="B9" s="29">
        <f>SUMIFS(Data!$AD$5:$AD$804,Data!$R$5:$R$804,"whole",Data!$S$5:$S$804,"FG1",Data!$T$5:$T$804,"Poultry")/1000</f>
        <v/>
      </c>
      <c r="C9" s="29">
        <f>SUMIFS(Data!$AE$5:$AE$804,Data!$R$5:$R$804,"whole",Data!$S$5:$S$804,"FG1",Data!$T$5:$T$804,"Poultry")/1000</f>
        <v/>
      </c>
      <c r="D9" s="29">
        <f>SUMIFS(Data!$AF$5:$AF$804,Data!$R$5:$R$804,"whole",Data!$S$5:$S$804,"FG1",Data!$T$5:$T$804,"Poultry")/1000</f>
        <v/>
      </c>
      <c r="E9" s="29">
        <f>SUMIFS(Data!$AG$5:$AG$804,Data!$R$5:$R$804,"whole",Data!$S$5:$S$804,"FG1",Data!$T$5:$T$804,"Poultry")/1000</f>
        <v/>
      </c>
      <c r="F9" s="30">
        <f>IFERROR((SUMIFS(Data!$AD$5:$AD$804,Data!$R$5:$R$804,"whole",Data!$S$5:$S$804,"FG1",Data!$T$5:$T$804,"Poultry",Data!$U$5:$U$804,"plant")/1000)/B9,0)</f>
        <v/>
      </c>
      <c r="G9" s="30">
        <f>IFERROR((SUMIFS(Data!$AD$5:$AD$804,Data!$R$5:$R$804,"whole",Data!$S$5:$S$804,"FG1",Data!$T$5:$T$804,"Poultry",Data!$U$5:$U$804,"animal")/1000)/B9,0)</f>
        <v/>
      </c>
    </row>
    <row r="10">
      <c r="A10" s="7" t="inlineStr">
        <is>
          <t>FG1 · Fish &amp; shellfish</t>
        </is>
      </c>
      <c r="B10" s="29">
        <f>SUMIFS(Data!$AD$5:$AD$804,Data!$R$5:$R$804,"whole",Data!$S$5:$S$804,"FG1",Data!$T$5:$T$804,"Fish &amp; shellfish")/1000</f>
        <v/>
      </c>
      <c r="C10" s="29">
        <f>SUMIFS(Data!$AE$5:$AE$804,Data!$R$5:$R$804,"whole",Data!$S$5:$S$804,"FG1",Data!$T$5:$T$804,"Fish &amp; shellfish")/1000</f>
        <v/>
      </c>
      <c r="D10" s="29">
        <f>SUMIFS(Data!$AF$5:$AF$804,Data!$R$5:$R$804,"whole",Data!$S$5:$S$804,"FG1",Data!$T$5:$T$804,"Fish &amp; shellfish")/1000</f>
        <v/>
      </c>
      <c r="E10" s="29">
        <f>SUMIFS(Data!$AG$5:$AG$804,Data!$R$5:$R$804,"whole",Data!$S$5:$S$804,"FG1",Data!$T$5:$T$804,"Fish &amp; shellfish")/1000</f>
        <v/>
      </c>
      <c r="F10" s="30">
        <f>IFERROR((SUMIFS(Data!$AD$5:$AD$804,Data!$R$5:$R$804,"whole",Data!$S$5:$S$804,"FG1",Data!$T$5:$T$804,"Fish &amp; shellfish",Data!$U$5:$U$804,"plant")/1000)/B10,0)</f>
        <v/>
      </c>
      <c r="G10" s="30">
        <f>IFERROR((SUMIFS(Data!$AD$5:$AD$804,Data!$R$5:$R$804,"whole",Data!$S$5:$S$804,"FG1",Data!$T$5:$T$804,"Fish &amp; shellfish",Data!$U$5:$U$804,"animal")/1000)/B10,0)</f>
        <v/>
      </c>
    </row>
    <row r="11">
      <c r="A11" s="7" t="inlineStr">
        <is>
          <t>FG1 · Eggs</t>
        </is>
      </c>
      <c r="B11" s="29">
        <f>SUMIFS(Data!$AD$5:$AD$804,Data!$R$5:$R$804,"whole",Data!$S$5:$S$804,"FG1",Data!$T$5:$T$804,"Eggs")/1000</f>
        <v/>
      </c>
      <c r="C11" s="29">
        <f>SUMIFS(Data!$AE$5:$AE$804,Data!$R$5:$R$804,"whole",Data!$S$5:$S$804,"FG1",Data!$T$5:$T$804,"Eggs")/1000</f>
        <v/>
      </c>
      <c r="D11" s="29">
        <f>SUMIFS(Data!$AF$5:$AF$804,Data!$R$5:$R$804,"whole",Data!$S$5:$S$804,"FG1",Data!$T$5:$T$804,"Eggs")/1000</f>
        <v/>
      </c>
      <c r="E11" s="29">
        <f>SUMIFS(Data!$AG$5:$AG$804,Data!$R$5:$R$804,"whole",Data!$S$5:$S$804,"FG1",Data!$T$5:$T$804,"Eggs")/1000</f>
        <v/>
      </c>
      <c r="F11" s="30">
        <f>IFERROR((SUMIFS(Data!$AD$5:$AD$804,Data!$R$5:$R$804,"whole",Data!$S$5:$S$804,"FG1",Data!$T$5:$T$804,"Eggs",Data!$U$5:$U$804,"plant")/1000)/B11,0)</f>
        <v/>
      </c>
      <c r="G11" s="30">
        <f>IFERROR((SUMIFS(Data!$AD$5:$AD$804,Data!$R$5:$R$804,"whole",Data!$S$5:$S$804,"FG1",Data!$T$5:$T$804,"Eggs",Data!$U$5:$U$804,"animal")/1000)/B11,0)</f>
        <v/>
      </c>
    </row>
    <row r="12">
      <c r="A12" s="7" t="inlineStr">
        <is>
          <t>FG1 · Other animal</t>
        </is>
      </c>
      <c r="B12" s="29">
        <f>SUMIFS(Data!$AD$5:$AD$804,Data!$R$5:$R$804,"whole",Data!$S$5:$S$804,"FG1",Data!$T$5:$T$804,"Other animal")/1000</f>
        <v/>
      </c>
      <c r="C12" s="29">
        <f>SUMIFS(Data!$AE$5:$AE$804,Data!$R$5:$R$804,"whole",Data!$S$5:$S$804,"FG1",Data!$T$5:$T$804,"Other animal")/1000</f>
        <v/>
      </c>
      <c r="D12" s="29">
        <f>SUMIFS(Data!$AF$5:$AF$804,Data!$R$5:$R$804,"whole",Data!$S$5:$S$804,"FG1",Data!$T$5:$T$804,"Other animal")/1000</f>
        <v/>
      </c>
      <c r="E12" s="29">
        <f>SUMIFS(Data!$AG$5:$AG$804,Data!$R$5:$R$804,"whole",Data!$S$5:$S$804,"FG1",Data!$T$5:$T$804,"Other animal")/1000</f>
        <v/>
      </c>
      <c r="F12" s="30">
        <f>IFERROR((SUMIFS(Data!$AD$5:$AD$804,Data!$R$5:$R$804,"whole",Data!$S$5:$S$804,"FG1",Data!$T$5:$T$804,"Other animal",Data!$U$5:$U$804,"plant")/1000)/B12,0)</f>
        <v/>
      </c>
      <c r="G12" s="30">
        <f>IFERROR((SUMIFS(Data!$AD$5:$AD$804,Data!$R$5:$R$804,"whole",Data!$S$5:$S$804,"FG1",Data!$T$5:$T$804,"Other animal",Data!$U$5:$U$804,"animal")/1000)/B12,0)</f>
        <v/>
      </c>
    </row>
    <row r="13">
      <c r="A13" s="7" t="inlineStr">
        <is>
          <t>FG1 · Pulses</t>
        </is>
      </c>
      <c r="B13" s="29">
        <f>SUMIFS(Data!$AD$5:$AD$804,Data!$R$5:$R$804,"whole",Data!$S$5:$S$804,"FG1",Data!$T$5:$T$804,"Pulses")/1000</f>
        <v/>
      </c>
      <c r="C13" s="29">
        <f>SUMIFS(Data!$AE$5:$AE$804,Data!$R$5:$R$804,"whole",Data!$S$5:$S$804,"FG1",Data!$T$5:$T$804,"Pulses")/1000</f>
        <v/>
      </c>
      <c r="D13" s="29">
        <f>SUMIFS(Data!$AF$5:$AF$804,Data!$R$5:$R$804,"whole",Data!$S$5:$S$804,"FG1",Data!$T$5:$T$804,"Pulses")/1000</f>
        <v/>
      </c>
      <c r="E13" s="29">
        <f>SUMIFS(Data!$AG$5:$AG$804,Data!$R$5:$R$804,"whole",Data!$S$5:$S$804,"FG1",Data!$T$5:$T$804,"Pulses")/1000</f>
        <v/>
      </c>
      <c r="F13" s="30">
        <f>IFERROR((SUMIFS(Data!$AD$5:$AD$804,Data!$R$5:$R$804,"whole",Data!$S$5:$S$804,"FG1",Data!$T$5:$T$804,"Pulses",Data!$U$5:$U$804,"plant")/1000)/B13,0)</f>
        <v/>
      </c>
      <c r="G13" s="30">
        <f>IFERROR((SUMIFS(Data!$AD$5:$AD$804,Data!$R$5:$R$804,"whole",Data!$S$5:$S$804,"FG1",Data!$T$5:$T$804,"Pulses",Data!$U$5:$U$804,"animal")/1000)/B13,0)</f>
        <v/>
      </c>
    </row>
    <row r="14">
      <c r="A14" s="7" t="inlineStr">
        <is>
          <t>FG1 · Nuts</t>
        </is>
      </c>
      <c r="B14" s="29">
        <f>SUMIFS(Data!$AD$5:$AD$804,Data!$R$5:$R$804,"whole",Data!$S$5:$S$804,"FG1",Data!$T$5:$T$804,"Nuts")/1000</f>
        <v/>
      </c>
      <c r="C14" s="29">
        <f>SUMIFS(Data!$AE$5:$AE$804,Data!$R$5:$R$804,"whole",Data!$S$5:$S$804,"FG1",Data!$T$5:$T$804,"Nuts")/1000</f>
        <v/>
      </c>
      <c r="D14" s="29">
        <f>SUMIFS(Data!$AF$5:$AF$804,Data!$R$5:$R$804,"whole",Data!$S$5:$S$804,"FG1",Data!$T$5:$T$804,"Nuts")/1000</f>
        <v/>
      </c>
      <c r="E14" s="29">
        <f>SUMIFS(Data!$AG$5:$AG$804,Data!$R$5:$R$804,"whole",Data!$S$5:$S$804,"FG1",Data!$T$5:$T$804,"Nuts")/1000</f>
        <v/>
      </c>
      <c r="F14" s="30">
        <f>IFERROR((SUMIFS(Data!$AD$5:$AD$804,Data!$R$5:$R$804,"whole",Data!$S$5:$S$804,"FG1",Data!$T$5:$T$804,"Nuts",Data!$U$5:$U$804,"plant")/1000)/B14,0)</f>
        <v/>
      </c>
      <c r="G14" s="30">
        <f>IFERROR((SUMIFS(Data!$AD$5:$AD$804,Data!$R$5:$R$804,"whole",Data!$S$5:$S$804,"FG1",Data!$T$5:$T$804,"Nuts",Data!$U$5:$U$804,"animal")/1000)/B14,0)</f>
        <v/>
      </c>
    </row>
    <row r="15">
      <c r="A15" s="7" t="inlineStr">
        <is>
          <t>FG1 · Seeds</t>
        </is>
      </c>
      <c r="B15" s="29">
        <f>SUMIFS(Data!$AD$5:$AD$804,Data!$R$5:$R$804,"whole",Data!$S$5:$S$804,"FG1",Data!$T$5:$T$804,"Seeds")/1000</f>
        <v/>
      </c>
      <c r="C15" s="29">
        <f>SUMIFS(Data!$AE$5:$AE$804,Data!$R$5:$R$804,"whole",Data!$S$5:$S$804,"FG1",Data!$T$5:$T$804,"Seeds")/1000</f>
        <v/>
      </c>
      <c r="D15" s="29">
        <f>SUMIFS(Data!$AF$5:$AF$804,Data!$R$5:$R$804,"whole",Data!$S$5:$S$804,"FG1",Data!$T$5:$T$804,"Seeds")/1000</f>
        <v/>
      </c>
      <c r="E15" s="29">
        <f>SUMIFS(Data!$AG$5:$AG$804,Data!$R$5:$R$804,"whole",Data!$S$5:$S$804,"FG1",Data!$T$5:$T$804,"Seeds")/1000</f>
        <v/>
      </c>
      <c r="F15" s="30">
        <f>IFERROR((SUMIFS(Data!$AD$5:$AD$804,Data!$R$5:$R$804,"whole",Data!$S$5:$S$804,"FG1",Data!$T$5:$T$804,"Seeds",Data!$U$5:$U$804,"plant")/1000)/B15,0)</f>
        <v/>
      </c>
      <c r="G15" s="30">
        <f>IFERROR((SUMIFS(Data!$AD$5:$AD$804,Data!$R$5:$R$804,"whole",Data!$S$5:$S$804,"FG1",Data!$T$5:$T$804,"Seeds",Data!$U$5:$U$804,"animal")/1000)/B15,0)</f>
        <v/>
      </c>
    </row>
    <row r="16">
      <c r="A16" s="7" t="inlineStr">
        <is>
          <t>FG1 · Tofu, tempeh &amp; seitan</t>
        </is>
      </c>
      <c r="B16" s="29">
        <f>SUMIFS(Data!$AD$5:$AD$804,Data!$R$5:$R$804,"whole",Data!$S$5:$S$804,"FG1",Data!$T$5:$T$804,"Tofu, tempeh &amp; seitan")/1000</f>
        <v/>
      </c>
      <c r="C16" s="29">
        <f>SUMIFS(Data!$AE$5:$AE$804,Data!$R$5:$R$804,"whole",Data!$S$5:$S$804,"FG1",Data!$T$5:$T$804,"Tofu, tempeh &amp; seitan")/1000</f>
        <v/>
      </c>
      <c r="D16" s="29">
        <f>SUMIFS(Data!$AF$5:$AF$804,Data!$R$5:$R$804,"whole",Data!$S$5:$S$804,"FG1",Data!$T$5:$T$804,"Tofu, tempeh &amp; seitan")/1000</f>
        <v/>
      </c>
      <c r="E16" s="29">
        <f>SUMIFS(Data!$AG$5:$AG$804,Data!$R$5:$R$804,"whole",Data!$S$5:$S$804,"FG1",Data!$T$5:$T$804,"Tofu, tempeh &amp; seitan")/1000</f>
        <v/>
      </c>
      <c r="F16" s="30">
        <f>IFERROR((SUMIFS(Data!$AD$5:$AD$804,Data!$R$5:$R$804,"whole",Data!$S$5:$S$804,"FG1",Data!$T$5:$T$804,"Tofu, tempeh &amp; seitan",Data!$U$5:$U$804,"plant")/1000)/B16,0)</f>
        <v/>
      </c>
      <c r="G16" s="30">
        <f>IFERROR((SUMIFS(Data!$AD$5:$AD$804,Data!$R$5:$R$804,"whole",Data!$S$5:$S$804,"FG1",Data!$T$5:$T$804,"Tofu, tempeh &amp; seitan",Data!$U$5:$U$804,"animal")/1000)/B16,0)</f>
        <v/>
      </c>
    </row>
    <row r="17">
      <c r="A17" s="7" t="inlineStr">
        <is>
          <t>FG1 · Alternative products</t>
        </is>
      </c>
      <c r="B17" s="29">
        <f>SUMIFS(Data!$AD$5:$AD$804,Data!$R$5:$R$804,"whole",Data!$S$5:$S$804,"FG1",Data!$T$5:$T$804,"Alternative products")/1000</f>
        <v/>
      </c>
      <c r="C17" s="29">
        <f>SUMIFS(Data!$AE$5:$AE$804,Data!$R$5:$R$804,"whole",Data!$S$5:$S$804,"FG1",Data!$T$5:$T$804,"Alternative products")/1000</f>
        <v/>
      </c>
      <c r="D17" s="29">
        <f>SUMIFS(Data!$AF$5:$AF$804,Data!$R$5:$R$804,"whole",Data!$S$5:$S$804,"FG1",Data!$T$5:$T$804,"Alternative products")/1000</f>
        <v/>
      </c>
      <c r="E17" s="29">
        <f>SUMIFS(Data!$AG$5:$AG$804,Data!$R$5:$R$804,"whole",Data!$S$5:$S$804,"FG1",Data!$T$5:$T$804,"Alternative products")/1000</f>
        <v/>
      </c>
      <c r="F17" s="30">
        <f>IFERROR((SUMIFS(Data!$AD$5:$AD$804,Data!$R$5:$R$804,"whole",Data!$S$5:$S$804,"FG1",Data!$T$5:$T$804,"Alternative products",Data!$U$5:$U$804,"plant")/1000)/B17,0)</f>
        <v/>
      </c>
      <c r="G17" s="30">
        <f>IFERROR((SUMIFS(Data!$AD$5:$AD$804,Data!$R$5:$R$804,"whole",Data!$S$5:$S$804,"FG1",Data!$T$5:$T$804,"Alternative products",Data!$U$5:$U$804,"animal")/1000)/B17,0)</f>
        <v/>
      </c>
    </row>
    <row r="18">
      <c r="A18" s="7" t="inlineStr">
        <is>
          <t>FG2 · Dairy</t>
        </is>
      </c>
      <c r="B18" s="29">
        <f>SUMIFS(Data!$AD$5:$AD$804,Data!$R$5:$R$804,"whole",Data!$S$5:$S$804,"FG2",Data!$T$5:$T$804,"Dairy")/1000</f>
        <v/>
      </c>
      <c r="C18" s="29">
        <f>SUMIFS(Data!$AE$5:$AE$804,Data!$R$5:$R$804,"whole",Data!$S$5:$S$804,"FG2",Data!$T$5:$T$804,"Dairy")/1000</f>
        <v/>
      </c>
      <c r="D18" s="29">
        <f>SUMIFS(Data!$AF$5:$AF$804,Data!$R$5:$R$804,"whole",Data!$S$5:$S$804,"FG2",Data!$T$5:$T$804,"Dairy")/1000</f>
        <v/>
      </c>
      <c r="E18" s="29">
        <f>SUMIFS(Data!$AG$5:$AG$804,Data!$R$5:$R$804,"whole",Data!$S$5:$S$804,"FG2",Data!$T$5:$T$804,"Dairy")/1000</f>
        <v/>
      </c>
      <c r="F18" s="30">
        <f>IFERROR((SUMIFS(Data!$AD$5:$AD$804,Data!$R$5:$R$804,"whole",Data!$S$5:$S$804,"FG2",Data!$T$5:$T$804,"Dairy",Data!$U$5:$U$804,"plant")/1000)/B18,0)</f>
        <v/>
      </c>
      <c r="G18" s="30">
        <f>IFERROR((SUMIFS(Data!$AD$5:$AD$804,Data!$R$5:$R$804,"whole",Data!$S$5:$S$804,"FG2",Data!$T$5:$T$804,"Dairy",Data!$U$5:$U$804,"animal")/1000)/B18,0)</f>
        <v/>
      </c>
    </row>
    <row r="19">
      <c r="A19" s="7" t="inlineStr">
        <is>
          <t>FG2 · Dairy alternatives</t>
        </is>
      </c>
      <c r="B19" s="29">
        <f>SUMIFS(Data!$AD$5:$AD$804,Data!$R$5:$R$804,"whole",Data!$S$5:$S$804,"FG2",Data!$T$5:$T$804,"Dairy alternatives")/1000</f>
        <v/>
      </c>
      <c r="C19" s="29">
        <f>SUMIFS(Data!$AE$5:$AE$804,Data!$R$5:$R$804,"whole",Data!$S$5:$S$804,"FG2",Data!$T$5:$T$804,"Dairy alternatives")/1000</f>
        <v/>
      </c>
      <c r="D19" s="29">
        <f>SUMIFS(Data!$AF$5:$AF$804,Data!$R$5:$R$804,"whole",Data!$S$5:$S$804,"FG2",Data!$T$5:$T$804,"Dairy alternatives")/1000</f>
        <v/>
      </c>
      <c r="E19" s="29">
        <f>SUMIFS(Data!$AG$5:$AG$804,Data!$R$5:$R$804,"whole",Data!$S$5:$S$804,"FG2",Data!$T$5:$T$804,"Dairy alternatives")/1000</f>
        <v/>
      </c>
      <c r="F19" s="30">
        <f>IFERROR((SUMIFS(Data!$AD$5:$AD$804,Data!$R$5:$R$804,"whole",Data!$S$5:$S$804,"FG2",Data!$T$5:$T$804,"Dairy alternatives",Data!$U$5:$U$804,"plant")/1000)/B19,0)</f>
        <v/>
      </c>
      <c r="G19" s="30">
        <f>IFERROR((SUMIFS(Data!$AD$5:$AD$804,Data!$R$5:$R$804,"whole",Data!$S$5:$S$804,"FG2",Data!$T$5:$T$804,"Dairy alternatives",Data!$U$5:$U$804,"animal")/1000)/B19,0)</f>
        <v/>
      </c>
    </row>
    <row r="20">
      <c r="A20" s="7" t="inlineStr">
        <is>
          <t>FG3 · Animal-based fat</t>
        </is>
      </c>
      <c r="B20" s="29">
        <f>SUMIFS(Data!$AD$5:$AD$804,Data!$R$5:$R$804,"whole",Data!$S$5:$S$804,"FG3",Data!$T$5:$T$804,"Animal-based fat")/1000</f>
        <v/>
      </c>
      <c r="C20" s="29">
        <f>SUMIFS(Data!$AE$5:$AE$804,Data!$R$5:$R$804,"whole",Data!$S$5:$S$804,"FG3",Data!$T$5:$T$804,"Animal-based fat")/1000</f>
        <v/>
      </c>
      <c r="D20" s="29">
        <f>SUMIFS(Data!$AF$5:$AF$804,Data!$R$5:$R$804,"whole",Data!$S$5:$S$804,"FG3",Data!$T$5:$T$804,"Animal-based fat")/1000</f>
        <v/>
      </c>
      <c r="E20" s="29">
        <f>SUMIFS(Data!$AG$5:$AG$804,Data!$R$5:$R$804,"whole",Data!$S$5:$S$804,"FG3",Data!$T$5:$T$804,"Animal-based fat")/1000</f>
        <v/>
      </c>
      <c r="F20" s="30">
        <f>IFERROR((SUMIFS(Data!$AD$5:$AD$804,Data!$R$5:$R$804,"whole",Data!$S$5:$S$804,"FG3",Data!$T$5:$T$804,"Animal-based fat",Data!$U$5:$U$804,"plant")/1000)/B20,0)</f>
        <v/>
      </c>
      <c r="G20" s="30">
        <f>IFERROR((SUMIFS(Data!$AD$5:$AD$804,Data!$R$5:$R$804,"whole",Data!$S$5:$S$804,"FG3",Data!$T$5:$T$804,"Animal-based fat",Data!$U$5:$U$804,"animal")/1000)/B20,0)</f>
        <v/>
      </c>
    </row>
    <row r="21">
      <c r="A21" s="7" t="inlineStr">
        <is>
          <t>FG3 · Plant-based fat</t>
        </is>
      </c>
      <c r="B21" s="29">
        <f>SUMIFS(Data!$AD$5:$AD$804,Data!$R$5:$R$804,"whole",Data!$S$5:$S$804,"FG3",Data!$T$5:$T$804,"Plant-based fat")/1000</f>
        <v/>
      </c>
      <c r="C21" s="29">
        <f>SUMIFS(Data!$AE$5:$AE$804,Data!$R$5:$R$804,"whole",Data!$S$5:$S$804,"FG3",Data!$T$5:$T$804,"Plant-based fat")/1000</f>
        <v/>
      </c>
      <c r="D21" s="29">
        <f>SUMIFS(Data!$AF$5:$AF$804,Data!$R$5:$R$804,"whole",Data!$S$5:$S$804,"FG3",Data!$T$5:$T$804,"Plant-based fat")/1000</f>
        <v/>
      </c>
      <c r="E21" s="29">
        <f>SUMIFS(Data!$AG$5:$AG$804,Data!$R$5:$R$804,"whole",Data!$S$5:$S$804,"FG3",Data!$T$5:$T$804,"Plant-based fat")/1000</f>
        <v/>
      </c>
      <c r="F21" s="30">
        <f>IFERROR((SUMIFS(Data!$AD$5:$AD$804,Data!$R$5:$R$804,"whole",Data!$S$5:$S$804,"FG3",Data!$T$5:$T$804,"Plant-based fat",Data!$U$5:$U$804,"plant")/1000)/B21,0)</f>
        <v/>
      </c>
      <c r="G21" s="30">
        <f>IFERROR((SUMIFS(Data!$AD$5:$AD$804,Data!$R$5:$R$804,"whole",Data!$S$5:$S$804,"FG3",Data!$T$5:$T$804,"Plant-based fat",Data!$U$5:$U$804,"animal")/1000)/B21,0)</f>
        <v/>
      </c>
    </row>
    <row r="22">
      <c r="A22" s="7" t="inlineStr">
        <is>
          <t>FG5 · Whole grain</t>
        </is>
      </c>
      <c r="B22" s="29">
        <f>SUMIFS(Data!$AD$5:$AD$804,Data!$R$5:$R$804,"whole",Data!$S$5:$S$804,"FG5",Data!$T$5:$T$804,"Whole grain")/1000</f>
        <v/>
      </c>
      <c r="C22" s="29">
        <f>SUMIFS(Data!$AE$5:$AE$804,Data!$R$5:$R$804,"whole",Data!$S$5:$S$804,"FG5",Data!$T$5:$T$804,"Whole grain")/1000</f>
        <v/>
      </c>
      <c r="D22" s="29">
        <f>SUMIFS(Data!$AF$5:$AF$804,Data!$R$5:$R$804,"whole",Data!$S$5:$S$804,"FG5",Data!$T$5:$T$804,"Whole grain")/1000</f>
        <v/>
      </c>
      <c r="E22" s="29">
        <f>SUMIFS(Data!$AG$5:$AG$804,Data!$R$5:$R$804,"whole",Data!$S$5:$S$804,"FG5",Data!$T$5:$T$804,"Whole grain")/1000</f>
        <v/>
      </c>
      <c r="F22" s="30">
        <f>IFERROR((SUMIFS(Data!$AD$5:$AD$804,Data!$R$5:$R$804,"whole",Data!$S$5:$S$804,"FG5",Data!$T$5:$T$804,"Whole grain",Data!$U$5:$U$804,"plant")/1000)/B22,0)</f>
        <v/>
      </c>
      <c r="G22" s="30">
        <f>IFERROR((SUMIFS(Data!$AD$5:$AD$804,Data!$R$5:$R$804,"whole",Data!$S$5:$S$804,"FG5",Data!$T$5:$T$804,"Whole grain",Data!$U$5:$U$804,"animal")/1000)/B22,0)</f>
        <v/>
      </c>
    </row>
    <row r="23">
      <c r="A23" s="7" t="inlineStr">
        <is>
          <t>FG5 · Refined grain</t>
        </is>
      </c>
      <c r="B23" s="29">
        <f>SUMIFS(Data!$AD$5:$AD$804,Data!$R$5:$R$804,"whole",Data!$S$5:$S$804,"FG5",Data!$T$5:$T$804,"Refined grain")/1000</f>
        <v/>
      </c>
      <c r="C23" s="29">
        <f>SUMIFS(Data!$AE$5:$AE$804,Data!$R$5:$R$804,"whole",Data!$S$5:$S$804,"FG5",Data!$T$5:$T$804,"Refined grain")/1000</f>
        <v/>
      </c>
      <c r="D23" s="29">
        <f>SUMIFS(Data!$AF$5:$AF$804,Data!$R$5:$R$804,"whole",Data!$S$5:$S$804,"FG5",Data!$T$5:$T$804,"Refined grain")/1000</f>
        <v/>
      </c>
      <c r="E23" s="29">
        <f>SUMIFS(Data!$AG$5:$AG$804,Data!$R$5:$R$804,"whole",Data!$S$5:$S$804,"FG5",Data!$T$5:$T$804,"Refined grain")/1000</f>
        <v/>
      </c>
      <c r="F23" s="30">
        <f>IFERROR((SUMIFS(Data!$AD$5:$AD$804,Data!$R$5:$R$804,"whole",Data!$S$5:$S$804,"FG5",Data!$T$5:$T$804,"Refined grain",Data!$U$5:$U$804,"plant")/1000)/B23,0)</f>
        <v/>
      </c>
      <c r="G23" s="30">
        <f>IFERROR((SUMIFS(Data!$AD$5:$AD$804,Data!$R$5:$R$804,"whole",Data!$S$5:$S$804,"FG5",Data!$T$5:$T$804,"Refined grain",Data!$U$5:$U$804,"animal")/1000)/B23,0)</f>
        <v/>
      </c>
    </row>
    <row r="25">
      <c r="A25" s="5" t="inlineStr">
        <is>
          <t>The rest</t>
        </is>
      </c>
    </row>
    <row r="26" ht="30" customHeight="1">
      <c r="A26" s="12" t="n"/>
      <c r="B26" s="13" t="inlineStr">
        <is>
          <t>Mass (t)</t>
        </is>
      </c>
      <c r="C26" s="13" t="inlineStr">
        <is>
          <t>Protein (t)</t>
        </is>
      </c>
      <c r="D26" s="13" t="inlineStr">
        <is>
          <t>Plant protein (t)</t>
        </is>
      </c>
      <c r="E26" s="13" t="inlineStr">
        <is>
          <t>Animal protein (t)</t>
        </is>
      </c>
      <c r="F26" s="13" t="inlineStr">
        <is>
          <t>Plant share (weight)</t>
        </is>
      </c>
      <c r="G26" s="13" t="inlineStr">
        <is>
          <t>Animal share (weight)</t>
        </is>
      </c>
    </row>
    <row r="27">
      <c r="A27" s="7" t="inlineStr">
        <is>
          <t>Composite products</t>
        </is>
      </c>
      <c r="B27" s="29">
        <f>SUMIFS(Data!$AD$5:$AD$804,Data!$R$5:$R$804,"composite")/1000</f>
        <v/>
      </c>
      <c r="C27" s="29">
        <f>SUMIFS(Data!$AE$5:$AE$804,Data!$R$5:$R$804,"composite")/1000</f>
        <v/>
      </c>
      <c r="D27" s="29">
        <f>SUMIFS(Data!$AF$5:$AF$804,Data!$R$5:$R$804,"composite")/1000</f>
        <v/>
      </c>
      <c r="E27" s="29">
        <f>SUMIFS(Data!$AG$5:$AG$804,Data!$R$5:$R$804,"composite")/1000</f>
        <v/>
      </c>
    </row>
    <row r="28">
      <c r="A28" s="7" t="inlineStr">
        <is>
          <t>Outside the WWF scope</t>
        </is>
      </c>
      <c r="B28" s="29">
        <f>SUMIFS(Data!$AD$5:$AD$804,Data!$H$5:$H$804,"yes",Data!$Q$5:$Q$804,"no")/1000</f>
        <v/>
      </c>
      <c r="C28" s="29">
        <f>SUMIFS(Data!$AE$5:$AE$804,Data!$H$5:$H$804,"yes",Data!$Q$5:$Q$804,"no")/1000</f>
        <v/>
      </c>
      <c r="D28" s="29">
        <f>SUMIFS(Data!$AF$5:$AF$804,Data!$H$5:$H$804,"yes",Data!$Q$5:$Q$804,"no")/1000</f>
        <v/>
      </c>
      <c r="E28" s="29">
        <f>SUMIFS(Data!$AG$5:$AG$804,Data!$H$5:$H$804,"yes",Data!$Q$5:$Q$804,"no")/1000</f>
        <v/>
      </c>
    </row>
    <row r="29">
      <c r="A29" s="23" t="inlineStr">
        <is>
          <t>Food groups FG4, FG6 and FG7 have no sub-group, so they do not appear above; the WWF tab details them.</t>
        </is>
      </c>
    </row>
    <row r="32" ht="25.5" customHeight="1">
      <c r="A32" s="24" t="inlineStr">
        <is>
          <t xml:space="preserve">  THEN, THE RETAILER'S GRID</t>
        </is>
      </c>
    </row>
    <row r="34" ht="30" customHeight="1">
      <c r="A34" s="12" t="inlineStr">
        <is>
          <t>Family</t>
        </is>
      </c>
      <c r="B34" s="13" t="inlineStr">
        <is>
          <t>Mass (t)</t>
        </is>
      </c>
      <c r="C34" s="13" t="inlineStr">
        <is>
          <t>Protein (t)</t>
        </is>
      </c>
      <c r="D34" s="13" t="inlineStr">
        <is>
          <t>Plant protein (t)</t>
        </is>
      </c>
      <c r="E34" s="13" t="inlineStr">
        <is>
          <t>Animal protein (t)</t>
        </is>
      </c>
      <c r="F34" s="13" t="inlineStr">
        <is>
          <t>Plant share</t>
        </is>
      </c>
      <c r="G34" s="13" t="inlineStr">
        <is>
          <t>Animal share</t>
        </is>
      </c>
    </row>
    <row r="35">
      <c r="A35" s="47" t="inlineStr">
        <is>
          <t>Poultry</t>
        </is>
      </c>
      <c r="B35" s="29">
        <f>SUMIFS(Data!$AD$5:$AD$804,Data!$G$5:$G$804,"Poultry",Data!$H$5:$H$804,"yes")/1000</f>
        <v/>
      </c>
      <c r="C35" s="29">
        <f>SUMIFS(Data!$AE$5:$AE$804,Data!$G$5:$G$804,"Poultry",Data!$H$5:$H$804,"yes")/1000</f>
        <v/>
      </c>
      <c r="D35" s="29">
        <f>SUMIFS(Data!$AF$5:$AF$804,Data!$G$5:$G$804,"Poultry",Data!$H$5:$H$804,"yes")/1000</f>
        <v/>
      </c>
      <c r="E35" s="29">
        <f>SUMIFS(Data!$AG$5:$AG$804,Data!$G$5:$G$804,"Poultry",Data!$H$5:$H$804,"yes")/1000</f>
        <v/>
      </c>
      <c r="F35" s="30">
        <f>IFERROR(D35/C35,0)</f>
        <v/>
      </c>
      <c r="G35" s="30">
        <f>IFERROR(E35/C35,0)</f>
        <v/>
      </c>
    </row>
    <row r="36">
      <c r="A36" s="47" t="inlineStr">
        <is>
          <t>Beef</t>
        </is>
      </c>
      <c r="B36" s="29">
        <f>SUMIFS(Data!$AD$5:$AD$804,Data!$G$5:$G$804,"Beef",Data!$H$5:$H$804,"yes")/1000</f>
        <v/>
      </c>
      <c r="C36" s="29">
        <f>SUMIFS(Data!$AE$5:$AE$804,Data!$G$5:$G$804,"Beef",Data!$H$5:$H$804,"yes")/1000</f>
        <v/>
      </c>
      <c r="D36" s="29">
        <f>SUMIFS(Data!$AF$5:$AF$804,Data!$G$5:$G$804,"Beef",Data!$H$5:$H$804,"yes")/1000</f>
        <v/>
      </c>
      <c r="E36" s="29">
        <f>SUMIFS(Data!$AG$5:$AG$804,Data!$G$5:$G$804,"Beef",Data!$H$5:$H$804,"yes")/1000</f>
        <v/>
      </c>
      <c r="F36" s="30">
        <f>IFERROR(D36/C36,0)</f>
        <v/>
      </c>
      <c r="G36" s="30">
        <f>IFERROR(E36/C36,0)</f>
        <v/>
      </c>
    </row>
    <row r="37">
      <c r="A37" s="47" t="inlineStr">
        <is>
          <t>Pasta</t>
        </is>
      </c>
      <c r="B37" s="29">
        <f>SUMIFS(Data!$AD$5:$AD$804,Data!$G$5:$G$804,"Pasta",Data!$H$5:$H$804,"yes")/1000</f>
        <v/>
      </c>
      <c r="C37" s="29">
        <f>SUMIFS(Data!$AE$5:$AE$804,Data!$G$5:$G$804,"Pasta",Data!$H$5:$H$804,"yes")/1000</f>
        <v/>
      </c>
      <c r="D37" s="29">
        <f>SUMIFS(Data!$AF$5:$AF$804,Data!$G$5:$G$804,"Pasta",Data!$H$5:$H$804,"yes")/1000</f>
        <v/>
      </c>
      <c r="E37" s="29">
        <f>SUMIFS(Data!$AG$5:$AG$804,Data!$G$5:$G$804,"Pasta",Data!$H$5:$H$804,"yes")/1000</f>
        <v/>
      </c>
      <c r="F37" s="30">
        <f>IFERROR(D37/C37,0)</f>
        <v/>
      </c>
      <c r="G37" s="30">
        <f>IFERROR(E37/C37,0)</f>
        <v/>
      </c>
    </row>
    <row r="38">
      <c r="A38" s="47" t="inlineStr">
        <is>
          <t>Hard Cheese</t>
        </is>
      </c>
      <c r="B38" s="29">
        <f>SUMIFS(Data!$AD$5:$AD$804,Data!$G$5:$G$804,"Hard Cheese",Data!$H$5:$H$804,"yes")/1000</f>
        <v/>
      </c>
      <c r="C38" s="29">
        <f>SUMIFS(Data!$AE$5:$AE$804,Data!$G$5:$G$804,"Hard Cheese",Data!$H$5:$H$804,"yes")/1000</f>
        <v/>
      </c>
      <c r="D38" s="29">
        <f>SUMIFS(Data!$AF$5:$AF$804,Data!$G$5:$G$804,"Hard Cheese",Data!$H$5:$H$804,"yes")/1000</f>
        <v/>
      </c>
      <c r="E38" s="29">
        <f>SUMIFS(Data!$AG$5:$AG$804,Data!$G$5:$G$804,"Hard Cheese",Data!$H$5:$H$804,"yes")/1000</f>
        <v/>
      </c>
      <c r="F38" s="30">
        <f>IFERROR(D38/C38,0)</f>
        <v/>
      </c>
      <c r="G38" s="30">
        <f>IFERROR(E38/C38,0)</f>
        <v/>
      </c>
    </row>
    <row r="39">
      <c r="A39" s="47" t="inlineStr">
        <is>
          <t>Bread</t>
        </is>
      </c>
      <c r="B39" s="29">
        <f>SUMIFS(Data!$AD$5:$AD$804,Data!$G$5:$G$804,"Bread",Data!$H$5:$H$804,"yes")/1000</f>
        <v/>
      </c>
      <c r="C39" s="29">
        <f>SUMIFS(Data!$AE$5:$AE$804,Data!$G$5:$G$804,"Bread",Data!$H$5:$H$804,"yes")/1000</f>
        <v/>
      </c>
      <c r="D39" s="29">
        <f>SUMIFS(Data!$AF$5:$AF$804,Data!$G$5:$G$804,"Bread",Data!$H$5:$H$804,"yes")/1000</f>
        <v/>
      </c>
      <c r="E39" s="29">
        <f>SUMIFS(Data!$AG$5:$AG$804,Data!$G$5:$G$804,"Bread",Data!$H$5:$H$804,"yes")/1000</f>
        <v/>
      </c>
      <c r="F39" s="30">
        <f>IFERROR(D39/C39,0)</f>
        <v/>
      </c>
      <c r="G39" s="30">
        <f>IFERROR(E39/C39,0)</f>
        <v/>
      </c>
    </row>
    <row r="40">
      <c r="A40" s="47" t="inlineStr">
        <is>
          <t>Milk</t>
        </is>
      </c>
      <c r="B40" s="29">
        <f>SUMIFS(Data!$AD$5:$AD$804,Data!$G$5:$G$804,"Milk",Data!$H$5:$H$804,"yes")/1000</f>
        <v/>
      </c>
      <c r="C40" s="29">
        <f>SUMIFS(Data!$AE$5:$AE$804,Data!$G$5:$G$804,"Milk",Data!$H$5:$H$804,"yes")/1000</f>
        <v/>
      </c>
      <c r="D40" s="29">
        <f>SUMIFS(Data!$AF$5:$AF$804,Data!$G$5:$G$804,"Milk",Data!$H$5:$H$804,"yes")/1000</f>
        <v/>
      </c>
      <c r="E40" s="29">
        <f>SUMIFS(Data!$AG$5:$AG$804,Data!$G$5:$G$804,"Milk",Data!$H$5:$H$804,"yes")/1000</f>
        <v/>
      </c>
      <c r="F40" s="30">
        <f>IFERROR(D40/C40,0)</f>
        <v/>
      </c>
      <c r="G40" s="30">
        <f>IFERROR(E40/C40,0)</f>
        <v/>
      </c>
    </row>
    <row r="41">
      <c r="A41" s="47" t="inlineStr">
        <is>
          <t>Pork</t>
        </is>
      </c>
      <c r="B41" s="29">
        <f>SUMIFS(Data!$AD$5:$AD$804,Data!$G$5:$G$804,"Pork",Data!$H$5:$H$804,"yes")/1000</f>
        <v/>
      </c>
      <c r="C41" s="29">
        <f>SUMIFS(Data!$AE$5:$AE$804,Data!$G$5:$G$804,"Pork",Data!$H$5:$H$804,"yes")/1000</f>
        <v/>
      </c>
      <c r="D41" s="29">
        <f>SUMIFS(Data!$AF$5:$AF$804,Data!$G$5:$G$804,"Pork",Data!$H$5:$H$804,"yes")/1000</f>
        <v/>
      </c>
      <c r="E41" s="29">
        <f>SUMIFS(Data!$AG$5:$AG$804,Data!$G$5:$G$804,"Pork",Data!$H$5:$H$804,"yes")/1000</f>
        <v/>
      </c>
      <c r="F41" s="30">
        <f>IFERROR(D41/C41,0)</f>
        <v/>
      </c>
      <c r="G41" s="30">
        <f>IFERROR(E41/C41,0)</f>
        <v/>
      </c>
    </row>
    <row r="42">
      <c r="A42" s="47" t="inlineStr">
        <is>
          <t>Yoghurt</t>
        </is>
      </c>
      <c r="B42" s="29">
        <f>SUMIFS(Data!$AD$5:$AD$804,Data!$G$5:$G$804,"Yoghurt",Data!$H$5:$H$804,"yes")/1000</f>
        <v/>
      </c>
      <c r="C42" s="29">
        <f>SUMIFS(Data!$AE$5:$AE$804,Data!$G$5:$G$804,"Yoghurt",Data!$H$5:$H$804,"yes")/1000</f>
        <v/>
      </c>
      <c r="D42" s="29">
        <f>SUMIFS(Data!$AF$5:$AF$804,Data!$G$5:$G$804,"Yoghurt",Data!$H$5:$H$804,"yes")/1000</f>
        <v/>
      </c>
      <c r="E42" s="29">
        <f>SUMIFS(Data!$AG$5:$AG$804,Data!$G$5:$G$804,"Yoghurt",Data!$H$5:$H$804,"yes")/1000</f>
        <v/>
      </c>
      <c r="F42" s="30">
        <f>IFERROR(D42/C42,0)</f>
        <v/>
      </c>
      <c r="G42" s="30">
        <f>IFERROR(E42/C42,0)</f>
        <v/>
      </c>
    </row>
    <row r="43">
      <c r="A43" s="47" t="inlineStr">
        <is>
          <t>Rice &amp; Grains</t>
        </is>
      </c>
      <c r="B43" s="29">
        <f>SUMIFS(Data!$AD$5:$AD$804,Data!$G$5:$G$804,"Rice &amp; Grains",Data!$H$5:$H$804,"yes")/1000</f>
        <v/>
      </c>
      <c r="C43" s="29">
        <f>SUMIFS(Data!$AE$5:$AE$804,Data!$G$5:$G$804,"Rice &amp; Grains",Data!$H$5:$H$804,"yes")/1000</f>
        <v/>
      </c>
      <c r="D43" s="29">
        <f>SUMIFS(Data!$AF$5:$AF$804,Data!$G$5:$G$804,"Rice &amp; Grains",Data!$H$5:$H$804,"yes")/1000</f>
        <v/>
      </c>
      <c r="E43" s="29">
        <f>SUMIFS(Data!$AG$5:$AG$804,Data!$G$5:$G$804,"Rice &amp; Grains",Data!$H$5:$H$804,"yes")/1000</f>
        <v/>
      </c>
      <c r="F43" s="30">
        <f>IFERROR(D43/C43,0)</f>
        <v/>
      </c>
      <c r="G43" s="30">
        <f>IFERROR(E43/C43,0)</f>
        <v/>
      </c>
    </row>
    <row r="44">
      <c r="A44" s="47" t="inlineStr">
        <is>
          <t>Sausages &amp; Burgers</t>
        </is>
      </c>
      <c r="B44" s="29">
        <f>SUMIFS(Data!$AD$5:$AD$804,Data!$G$5:$G$804,"Sausages &amp; Burgers",Data!$H$5:$H$804,"yes")/1000</f>
        <v/>
      </c>
      <c r="C44" s="29">
        <f>SUMIFS(Data!$AE$5:$AE$804,Data!$G$5:$G$804,"Sausages &amp; Burgers",Data!$H$5:$H$804,"yes")/1000</f>
        <v/>
      </c>
      <c r="D44" s="29">
        <f>SUMIFS(Data!$AF$5:$AF$804,Data!$G$5:$G$804,"Sausages &amp; Burgers",Data!$H$5:$H$804,"yes")/1000</f>
        <v/>
      </c>
      <c r="E44" s="29">
        <f>SUMIFS(Data!$AG$5:$AG$804,Data!$G$5:$G$804,"Sausages &amp; Burgers",Data!$H$5:$H$804,"yes")/1000</f>
        <v/>
      </c>
      <c r="F44" s="30">
        <f>IFERROR(D44/C44,0)</f>
        <v/>
      </c>
      <c r="G44" s="30">
        <f>IFERROR(E44/C44,0)</f>
        <v/>
      </c>
    </row>
    <row r="45">
      <c r="A45" s="47" t="inlineStr">
        <is>
          <t>Eggs</t>
        </is>
      </c>
      <c r="B45" s="29">
        <f>SUMIFS(Data!$AD$5:$AD$804,Data!$G$5:$G$804,"Eggs",Data!$H$5:$H$804,"yes")/1000</f>
        <v/>
      </c>
      <c r="C45" s="29">
        <f>SUMIFS(Data!$AE$5:$AE$804,Data!$G$5:$G$804,"Eggs",Data!$H$5:$H$804,"yes")/1000</f>
        <v/>
      </c>
      <c r="D45" s="29">
        <f>SUMIFS(Data!$AF$5:$AF$804,Data!$G$5:$G$804,"Eggs",Data!$H$5:$H$804,"yes")/1000</f>
        <v/>
      </c>
      <c r="E45" s="29">
        <f>SUMIFS(Data!$AG$5:$AG$804,Data!$G$5:$G$804,"Eggs",Data!$H$5:$H$804,"yes")/1000</f>
        <v/>
      </c>
      <c r="F45" s="30">
        <f>IFERROR(D45/C45,0)</f>
        <v/>
      </c>
      <c r="G45" s="30">
        <f>IFERROR(E45/C45,0)</f>
        <v/>
      </c>
    </row>
    <row r="46">
      <c r="A46" s="47" t="inlineStr">
        <is>
          <t>Fresh Fish</t>
        </is>
      </c>
      <c r="B46" s="29">
        <f>SUMIFS(Data!$AD$5:$AD$804,Data!$G$5:$G$804,"Fresh Fish",Data!$H$5:$H$804,"yes")/1000</f>
        <v/>
      </c>
      <c r="C46" s="29">
        <f>SUMIFS(Data!$AE$5:$AE$804,Data!$G$5:$G$804,"Fresh Fish",Data!$H$5:$H$804,"yes")/1000</f>
        <v/>
      </c>
      <c r="D46" s="29">
        <f>SUMIFS(Data!$AF$5:$AF$804,Data!$G$5:$G$804,"Fresh Fish",Data!$H$5:$H$804,"yes")/1000</f>
        <v/>
      </c>
      <c r="E46" s="29">
        <f>SUMIFS(Data!$AG$5:$AG$804,Data!$G$5:$G$804,"Fresh Fish",Data!$H$5:$H$804,"yes")/1000</f>
        <v/>
      </c>
      <c r="F46" s="30">
        <f>IFERROR(D46/C46,0)</f>
        <v/>
      </c>
      <c r="G46" s="30">
        <f>IFERROR(E46/C46,0)</f>
        <v/>
      </c>
    </row>
    <row r="47">
      <c r="A47" s="47" t="inlineStr">
        <is>
          <t>Cooked Meats</t>
        </is>
      </c>
      <c r="B47" s="29">
        <f>SUMIFS(Data!$AD$5:$AD$804,Data!$G$5:$G$804,"Cooked Meats",Data!$H$5:$H$804,"yes")/1000</f>
        <v/>
      </c>
      <c r="C47" s="29">
        <f>SUMIFS(Data!$AE$5:$AE$804,Data!$G$5:$G$804,"Cooked Meats",Data!$H$5:$H$804,"yes")/1000</f>
        <v/>
      </c>
      <c r="D47" s="29">
        <f>SUMIFS(Data!$AF$5:$AF$804,Data!$G$5:$G$804,"Cooked Meats",Data!$H$5:$H$804,"yes")/1000</f>
        <v/>
      </c>
      <c r="E47" s="29">
        <f>SUMIFS(Data!$AG$5:$AG$804,Data!$G$5:$G$804,"Cooked Meats",Data!$H$5:$H$804,"yes")/1000</f>
        <v/>
      </c>
      <c r="F47" s="30">
        <f>IFERROR(D47/C47,0)</f>
        <v/>
      </c>
      <c r="G47" s="30">
        <f>IFERROR(E47/C47,0)</f>
        <v/>
      </c>
    </row>
    <row r="48">
      <c r="A48" s="47" t="inlineStr">
        <is>
          <t>Vegetables</t>
        </is>
      </c>
      <c r="B48" s="29">
        <f>SUMIFS(Data!$AD$5:$AD$804,Data!$G$5:$G$804,"Vegetables",Data!$H$5:$H$804,"yes")/1000</f>
        <v/>
      </c>
      <c r="C48" s="29">
        <f>SUMIFS(Data!$AE$5:$AE$804,Data!$G$5:$G$804,"Vegetables",Data!$H$5:$H$804,"yes")/1000</f>
        <v/>
      </c>
      <c r="D48" s="29">
        <f>SUMIFS(Data!$AF$5:$AF$804,Data!$G$5:$G$804,"Vegetables",Data!$H$5:$H$804,"yes")/1000</f>
        <v/>
      </c>
      <c r="E48" s="29">
        <f>SUMIFS(Data!$AG$5:$AG$804,Data!$G$5:$G$804,"Vegetables",Data!$H$5:$H$804,"yes")/1000</f>
        <v/>
      </c>
      <c r="F48" s="30">
        <f>IFERROR(D48/C48,0)</f>
        <v/>
      </c>
      <c r="G48" s="30">
        <f>IFERROR(E48/C48,0)</f>
        <v/>
      </c>
    </row>
    <row r="49">
      <c r="A49" s="47" t="inlineStr">
        <is>
          <t>Frozen Vegetables</t>
        </is>
      </c>
      <c r="B49" s="29">
        <f>SUMIFS(Data!$AD$5:$AD$804,Data!$G$5:$G$804,"Frozen Vegetables",Data!$H$5:$H$804,"yes")/1000</f>
        <v/>
      </c>
      <c r="C49" s="29">
        <f>SUMIFS(Data!$AE$5:$AE$804,Data!$G$5:$G$804,"Frozen Vegetables",Data!$H$5:$H$804,"yes")/1000</f>
        <v/>
      </c>
      <c r="D49" s="29">
        <f>SUMIFS(Data!$AF$5:$AF$804,Data!$G$5:$G$804,"Frozen Vegetables",Data!$H$5:$H$804,"yes")/1000</f>
        <v/>
      </c>
      <c r="E49" s="29">
        <f>SUMIFS(Data!$AG$5:$AG$804,Data!$G$5:$G$804,"Frozen Vegetables",Data!$H$5:$H$804,"yes")/1000</f>
        <v/>
      </c>
      <c r="F49" s="30">
        <f>IFERROR(D49/C49,0)</f>
        <v/>
      </c>
      <c r="G49" s="30">
        <f>IFERROR(E49/C49,0)</f>
        <v/>
      </c>
    </row>
    <row r="50">
      <c r="A50" s="47" t="inlineStr">
        <is>
          <t>Pulses</t>
        </is>
      </c>
      <c r="B50" s="29">
        <f>SUMIFS(Data!$AD$5:$AD$804,Data!$G$5:$G$804,"Pulses",Data!$H$5:$H$804,"yes")/1000</f>
        <v/>
      </c>
      <c r="C50" s="29">
        <f>SUMIFS(Data!$AE$5:$AE$804,Data!$G$5:$G$804,"Pulses",Data!$H$5:$H$804,"yes")/1000</f>
        <v/>
      </c>
      <c r="D50" s="29">
        <f>SUMIFS(Data!$AF$5:$AF$804,Data!$G$5:$G$804,"Pulses",Data!$H$5:$H$804,"yes")/1000</f>
        <v/>
      </c>
      <c r="E50" s="29">
        <f>SUMIFS(Data!$AG$5:$AG$804,Data!$G$5:$G$804,"Pulses",Data!$H$5:$H$804,"yes")/1000</f>
        <v/>
      </c>
      <c r="F50" s="30">
        <f>IFERROR(D50/C50,0)</f>
        <v/>
      </c>
      <c r="G50" s="30">
        <f>IFERROR(E50/C50,0)</f>
        <v/>
      </c>
    </row>
    <row r="51">
      <c r="A51" s="47" t="inlineStr">
        <is>
          <t>Canned Fish</t>
        </is>
      </c>
      <c r="B51" s="29">
        <f>SUMIFS(Data!$AD$5:$AD$804,Data!$G$5:$G$804,"Canned Fish",Data!$H$5:$H$804,"yes")/1000</f>
        <v/>
      </c>
      <c r="C51" s="29">
        <f>SUMIFS(Data!$AE$5:$AE$804,Data!$G$5:$G$804,"Canned Fish",Data!$H$5:$H$804,"yes")/1000</f>
        <v/>
      </c>
      <c r="D51" s="29">
        <f>SUMIFS(Data!$AF$5:$AF$804,Data!$G$5:$G$804,"Canned Fish",Data!$H$5:$H$804,"yes")/1000</f>
        <v/>
      </c>
      <c r="E51" s="29">
        <f>SUMIFS(Data!$AG$5:$AG$804,Data!$G$5:$G$804,"Canned Fish",Data!$H$5:$H$804,"yes")/1000</f>
        <v/>
      </c>
      <c r="F51" s="30">
        <f>IFERROR(D51/C51,0)</f>
        <v/>
      </c>
      <c r="G51" s="30">
        <f>IFERROR(E51/C51,0)</f>
        <v/>
      </c>
    </row>
    <row r="52">
      <c r="A52" s="47" t="inlineStr">
        <is>
          <t>Pizza</t>
        </is>
      </c>
      <c r="B52" s="29">
        <f>SUMIFS(Data!$AD$5:$AD$804,Data!$G$5:$G$804,"Pizza",Data!$H$5:$H$804,"yes")/1000</f>
        <v/>
      </c>
      <c r="C52" s="29">
        <f>SUMIFS(Data!$AE$5:$AE$804,Data!$G$5:$G$804,"Pizza",Data!$H$5:$H$804,"yes")/1000</f>
        <v/>
      </c>
      <c r="D52" s="29">
        <f>SUMIFS(Data!$AF$5:$AF$804,Data!$G$5:$G$804,"Pizza",Data!$H$5:$H$804,"yes")/1000</f>
        <v/>
      </c>
      <c r="E52" s="29">
        <f>SUMIFS(Data!$AG$5:$AG$804,Data!$G$5:$G$804,"Pizza",Data!$H$5:$H$804,"yes")/1000</f>
        <v/>
      </c>
      <c r="F52" s="30">
        <f>IFERROR(D52/C52,0)</f>
        <v/>
      </c>
      <c r="G52" s="30">
        <f>IFERROR(E52/C52,0)</f>
        <v/>
      </c>
    </row>
    <row r="53">
      <c r="A53" s="47" t="inlineStr">
        <is>
          <t>Soft Cheese</t>
        </is>
      </c>
      <c r="B53" s="29">
        <f>SUMIFS(Data!$AD$5:$AD$804,Data!$G$5:$G$804,"Soft Cheese",Data!$H$5:$H$804,"yes")/1000</f>
        <v/>
      </c>
      <c r="C53" s="29">
        <f>SUMIFS(Data!$AE$5:$AE$804,Data!$G$5:$G$804,"Soft Cheese",Data!$H$5:$H$804,"yes")/1000</f>
        <v/>
      </c>
      <c r="D53" s="29">
        <f>SUMIFS(Data!$AF$5:$AF$804,Data!$G$5:$G$804,"Soft Cheese",Data!$H$5:$H$804,"yes")/1000</f>
        <v/>
      </c>
      <c r="E53" s="29">
        <f>SUMIFS(Data!$AG$5:$AG$804,Data!$G$5:$G$804,"Soft Cheese",Data!$H$5:$H$804,"yes")/1000</f>
        <v/>
      </c>
      <c r="F53" s="30">
        <f>IFERROR(D53/C53,0)</f>
        <v/>
      </c>
      <c r="G53" s="30">
        <f>IFERROR(E53/C53,0)</f>
        <v/>
      </c>
    </row>
    <row r="54">
      <c r="A54" s="47" t="inlineStr">
        <is>
          <t>Fruit</t>
        </is>
      </c>
      <c r="B54" s="29">
        <f>SUMIFS(Data!$AD$5:$AD$804,Data!$G$5:$G$804,"Fruit",Data!$H$5:$H$804,"yes")/1000</f>
        <v/>
      </c>
      <c r="C54" s="29">
        <f>SUMIFS(Data!$AE$5:$AE$804,Data!$G$5:$G$804,"Fruit",Data!$H$5:$H$804,"yes")/1000</f>
        <v/>
      </c>
      <c r="D54" s="29">
        <f>SUMIFS(Data!$AF$5:$AF$804,Data!$G$5:$G$804,"Fruit",Data!$H$5:$H$804,"yes")/1000</f>
        <v/>
      </c>
      <c r="E54" s="29">
        <f>SUMIFS(Data!$AG$5:$AG$804,Data!$G$5:$G$804,"Fruit",Data!$H$5:$H$804,"yes")/1000</f>
        <v/>
      </c>
      <c r="F54" s="30">
        <f>IFERROR(D54/C54,0)</f>
        <v/>
      </c>
      <c r="G54" s="30">
        <f>IFERROR(E54/C54,0)</f>
        <v/>
      </c>
    </row>
    <row r="55">
      <c r="A55" s="47" t="inlineStr">
        <is>
          <t>Nuts &amp; Seeds</t>
        </is>
      </c>
      <c r="B55" s="29">
        <f>SUMIFS(Data!$AD$5:$AD$804,Data!$G$5:$G$804,"Nuts &amp; Seeds",Data!$H$5:$H$804,"yes")/1000</f>
        <v/>
      </c>
      <c r="C55" s="29">
        <f>SUMIFS(Data!$AE$5:$AE$804,Data!$G$5:$G$804,"Nuts &amp; Seeds",Data!$H$5:$H$804,"yes")/1000</f>
        <v/>
      </c>
      <c r="D55" s="29">
        <f>SUMIFS(Data!$AF$5:$AF$804,Data!$G$5:$G$804,"Nuts &amp; Seeds",Data!$H$5:$H$804,"yes")/1000</f>
        <v/>
      </c>
      <c r="E55" s="29">
        <f>SUMIFS(Data!$AG$5:$AG$804,Data!$G$5:$G$804,"Nuts &amp; Seeds",Data!$H$5:$H$804,"yes")/1000</f>
        <v/>
      </c>
      <c r="F55" s="30">
        <f>IFERROR(D55/C55,0)</f>
        <v/>
      </c>
      <c r="G55" s="30">
        <f>IFERROR(E55/C55,0)</f>
        <v/>
      </c>
    </row>
    <row r="56">
      <c r="A56" s="47" t="inlineStr">
        <is>
          <t>Ready Meals</t>
        </is>
      </c>
      <c r="B56" s="29">
        <f>SUMIFS(Data!$AD$5:$AD$804,Data!$G$5:$G$804,"Ready Meals",Data!$H$5:$H$804,"yes")/1000</f>
        <v/>
      </c>
      <c r="C56" s="29">
        <f>SUMIFS(Data!$AE$5:$AE$804,Data!$G$5:$G$804,"Ready Meals",Data!$H$5:$H$804,"yes")/1000</f>
        <v/>
      </c>
      <c r="D56" s="29">
        <f>SUMIFS(Data!$AF$5:$AF$804,Data!$G$5:$G$804,"Ready Meals",Data!$H$5:$H$804,"yes")/1000</f>
        <v/>
      </c>
      <c r="E56" s="29">
        <f>SUMIFS(Data!$AG$5:$AG$804,Data!$G$5:$G$804,"Ready Meals",Data!$H$5:$H$804,"yes")/1000</f>
        <v/>
      </c>
      <c r="F56" s="30">
        <f>IFERROR(D56/C56,0)</f>
        <v/>
      </c>
      <c r="G56" s="30">
        <f>IFERROR(E56/C56,0)</f>
        <v/>
      </c>
    </row>
    <row r="57">
      <c r="A57" s="47" t="inlineStr">
        <is>
          <t>Biscuits</t>
        </is>
      </c>
      <c r="B57" s="29">
        <f>SUMIFS(Data!$AD$5:$AD$804,Data!$G$5:$G$804,"Biscuits",Data!$H$5:$H$804,"yes")/1000</f>
        <v/>
      </c>
      <c r="C57" s="29">
        <f>SUMIFS(Data!$AE$5:$AE$804,Data!$G$5:$G$804,"Biscuits",Data!$H$5:$H$804,"yes")/1000</f>
        <v/>
      </c>
      <c r="D57" s="29">
        <f>SUMIFS(Data!$AF$5:$AF$804,Data!$G$5:$G$804,"Biscuits",Data!$H$5:$H$804,"yes")/1000</f>
        <v/>
      </c>
      <c r="E57" s="29">
        <f>SUMIFS(Data!$AG$5:$AG$804,Data!$G$5:$G$804,"Biscuits",Data!$H$5:$H$804,"yes")/1000</f>
        <v/>
      </c>
      <c r="F57" s="30">
        <f>IFERROR(D57/C57,0)</f>
        <v/>
      </c>
      <c r="G57" s="30">
        <f>IFERROR(E57/C57,0)</f>
        <v/>
      </c>
    </row>
    <row r="58">
      <c r="A58" s="47" t="inlineStr">
        <is>
          <t>Cereals</t>
        </is>
      </c>
      <c r="B58" s="29">
        <f>SUMIFS(Data!$AD$5:$AD$804,Data!$G$5:$G$804,"Cereals",Data!$H$5:$H$804,"yes")/1000</f>
        <v/>
      </c>
      <c r="C58" s="29">
        <f>SUMIFS(Data!$AE$5:$AE$804,Data!$G$5:$G$804,"Cereals",Data!$H$5:$H$804,"yes")/1000</f>
        <v/>
      </c>
      <c r="D58" s="29">
        <f>SUMIFS(Data!$AF$5:$AF$804,Data!$G$5:$G$804,"Cereals",Data!$H$5:$H$804,"yes")/1000</f>
        <v/>
      </c>
      <c r="E58" s="29">
        <f>SUMIFS(Data!$AG$5:$AG$804,Data!$G$5:$G$804,"Cereals",Data!$H$5:$H$804,"yes")/1000</f>
        <v/>
      </c>
      <c r="F58" s="30">
        <f>IFERROR(D58/C58,0)</f>
        <v/>
      </c>
      <c r="G58" s="30">
        <f>IFERROR(E58/C58,0)</f>
        <v/>
      </c>
    </row>
    <row r="59">
      <c r="A59" s="47" t="inlineStr">
        <is>
          <t>Spreads</t>
        </is>
      </c>
      <c r="B59" s="29">
        <f>SUMIFS(Data!$AD$5:$AD$804,Data!$G$5:$G$804,"Spreads",Data!$H$5:$H$804,"yes")/1000</f>
        <v/>
      </c>
      <c r="C59" s="29">
        <f>SUMIFS(Data!$AE$5:$AE$804,Data!$G$5:$G$804,"Spreads",Data!$H$5:$H$804,"yes")/1000</f>
        <v/>
      </c>
      <c r="D59" s="29">
        <f>SUMIFS(Data!$AF$5:$AF$804,Data!$G$5:$G$804,"Spreads",Data!$H$5:$H$804,"yes")/1000</f>
        <v/>
      </c>
      <c r="E59" s="29">
        <f>SUMIFS(Data!$AG$5:$AG$804,Data!$G$5:$G$804,"Spreads",Data!$H$5:$H$804,"yes")/1000</f>
        <v/>
      </c>
      <c r="F59" s="30">
        <f>IFERROR(D59/C59,0)</f>
        <v/>
      </c>
      <c r="G59" s="30">
        <f>IFERROR(E59/C59,0)</f>
        <v/>
      </c>
    </row>
    <row r="60">
      <c r="A60" s="47" t="inlineStr">
        <is>
          <t>Frozen Fish</t>
        </is>
      </c>
      <c r="B60" s="29">
        <f>SUMIFS(Data!$AD$5:$AD$804,Data!$G$5:$G$804,"Frozen Fish",Data!$H$5:$H$804,"yes")/1000</f>
        <v/>
      </c>
      <c r="C60" s="29">
        <f>SUMIFS(Data!$AE$5:$AE$804,Data!$G$5:$G$804,"Frozen Fish",Data!$H$5:$H$804,"yes")/1000</f>
        <v/>
      </c>
      <c r="D60" s="29">
        <f>SUMIFS(Data!$AF$5:$AF$804,Data!$G$5:$G$804,"Frozen Fish",Data!$H$5:$H$804,"yes")/1000</f>
        <v/>
      </c>
      <c r="E60" s="29">
        <f>SUMIFS(Data!$AG$5:$AG$804,Data!$G$5:$G$804,"Frozen Fish",Data!$H$5:$H$804,"yes")/1000</f>
        <v/>
      </c>
      <c r="F60" s="30">
        <f>IFERROR(D60/C60,0)</f>
        <v/>
      </c>
      <c r="G60" s="30">
        <f>IFERROR(E60/C60,0)</f>
        <v/>
      </c>
    </row>
    <row r="61">
      <c r="A61" s="47" t="inlineStr">
        <is>
          <t>Turkey &amp; Lamb</t>
        </is>
      </c>
      <c r="B61" s="29">
        <f>SUMIFS(Data!$AD$5:$AD$804,Data!$G$5:$G$804,"Turkey &amp; Lamb",Data!$H$5:$H$804,"yes")/1000</f>
        <v/>
      </c>
      <c r="C61" s="29">
        <f>SUMIFS(Data!$AE$5:$AE$804,Data!$G$5:$G$804,"Turkey &amp; Lamb",Data!$H$5:$H$804,"yes")/1000</f>
        <v/>
      </c>
      <c r="D61" s="29">
        <f>SUMIFS(Data!$AF$5:$AF$804,Data!$G$5:$G$804,"Turkey &amp; Lamb",Data!$H$5:$H$804,"yes")/1000</f>
        <v/>
      </c>
      <c r="E61" s="29">
        <f>SUMIFS(Data!$AG$5:$AG$804,Data!$G$5:$G$804,"Turkey &amp; Lamb",Data!$H$5:$H$804,"yes")/1000</f>
        <v/>
      </c>
      <c r="F61" s="30">
        <f>IFERROR(D61/C61,0)</f>
        <v/>
      </c>
      <c r="G61" s="30">
        <f>IFERROR(E61/C61,0)</f>
        <v/>
      </c>
    </row>
    <row r="62">
      <c r="A62" s="47" t="inlineStr">
        <is>
          <t>Shellfish</t>
        </is>
      </c>
      <c r="B62" s="29">
        <f>SUMIFS(Data!$AD$5:$AD$804,Data!$G$5:$G$804,"Shellfish",Data!$H$5:$H$804,"yes")/1000</f>
        <v/>
      </c>
      <c r="C62" s="29">
        <f>SUMIFS(Data!$AE$5:$AE$804,Data!$G$5:$G$804,"Shellfish",Data!$H$5:$H$804,"yes")/1000</f>
        <v/>
      </c>
      <c r="D62" s="29">
        <f>SUMIFS(Data!$AF$5:$AF$804,Data!$G$5:$G$804,"Shellfish",Data!$H$5:$H$804,"yes")/1000</f>
        <v/>
      </c>
      <c r="E62" s="29">
        <f>SUMIFS(Data!$AG$5:$AG$804,Data!$G$5:$G$804,"Shellfish",Data!$H$5:$H$804,"yes")/1000</f>
        <v/>
      </c>
      <c r="F62" s="30">
        <f>IFERROR(D62/C62,0)</f>
        <v/>
      </c>
      <c r="G62" s="30">
        <f>IFERROR(E62/C62,0)</f>
        <v/>
      </c>
    </row>
    <row r="63">
      <c r="A63" s="47" t="inlineStr">
        <is>
          <t>Meat Alternatives</t>
        </is>
      </c>
      <c r="B63" s="29">
        <f>SUMIFS(Data!$AD$5:$AD$804,Data!$G$5:$G$804,"Meat Alternatives",Data!$H$5:$H$804,"yes")/1000</f>
        <v/>
      </c>
      <c r="C63" s="29">
        <f>SUMIFS(Data!$AE$5:$AE$804,Data!$G$5:$G$804,"Meat Alternatives",Data!$H$5:$H$804,"yes")/1000</f>
        <v/>
      </c>
      <c r="D63" s="29">
        <f>SUMIFS(Data!$AF$5:$AF$804,Data!$G$5:$G$804,"Meat Alternatives",Data!$H$5:$H$804,"yes")/1000</f>
        <v/>
      </c>
      <c r="E63" s="29">
        <f>SUMIFS(Data!$AG$5:$AG$804,Data!$G$5:$G$804,"Meat Alternatives",Data!$H$5:$H$804,"yes")/1000</f>
        <v/>
      </c>
      <c r="F63" s="30">
        <f>IFERROR(D63/C63,0)</f>
        <v/>
      </c>
      <c r="G63" s="30">
        <f>IFERROR(E63/C63,0)</f>
        <v/>
      </c>
    </row>
    <row r="64">
      <c r="A64" s="47" t="inlineStr">
        <is>
          <t>BBQ &amp; Marinated</t>
        </is>
      </c>
      <c r="B64" s="29">
        <f>SUMIFS(Data!$AD$5:$AD$804,Data!$G$5:$G$804,"BBQ &amp; Marinated",Data!$H$5:$H$804,"yes")/1000</f>
        <v/>
      </c>
      <c r="C64" s="29">
        <f>SUMIFS(Data!$AE$5:$AE$804,Data!$G$5:$G$804,"BBQ &amp; Marinated",Data!$H$5:$H$804,"yes")/1000</f>
        <v/>
      </c>
      <c r="D64" s="29">
        <f>SUMIFS(Data!$AF$5:$AF$804,Data!$G$5:$G$804,"BBQ &amp; Marinated",Data!$H$5:$H$804,"yes")/1000</f>
        <v/>
      </c>
      <c r="E64" s="29">
        <f>SUMIFS(Data!$AG$5:$AG$804,Data!$G$5:$G$804,"BBQ &amp; Marinated",Data!$H$5:$H$804,"yes")/1000</f>
        <v/>
      </c>
      <c r="F64" s="30">
        <f>IFERROR(D64/C64,0)</f>
        <v/>
      </c>
      <c r="G64" s="30">
        <f>IFERROR(E64/C64,0)</f>
        <v/>
      </c>
    </row>
    <row r="65">
      <c r="A65" s="47" t="inlineStr">
        <is>
          <t>Potatoes</t>
        </is>
      </c>
      <c r="B65" s="29">
        <f>SUMIFS(Data!$AD$5:$AD$804,Data!$G$5:$G$804,"Potatoes",Data!$H$5:$H$804,"yes")/1000</f>
        <v/>
      </c>
      <c r="C65" s="29">
        <f>SUMIFS(Data!$AE$5:$AE$804,Data!$G$5:$G$804,"Potatoes",Data!$H$5:$H$804,"yes")/1000</f>
        <v/>
      </c>
      <c r="D65" s="29">
        <f>SUMIFS(Data!$AF$5:$AF$804,Data!$G$5:$G$804,"Potatoes",Data!$H$5:$H$804,"yes")/1000</f>
        <v/>
      </c>
      <c r="E65" s="29">
        <f>SUMIFS(Data!$AG$5:$AG$804,Data!$G$5:$G$804,"Potatoes",Data!$H$5:$H$804,"yes")/1000</f>
        <v/>
      </c>
      <c r="F65" s="30">
        <f>IFERROR(D65/C65,0)</f>
        <v/>
      </c>
      <c r="G65" s="30">
        <f>IFERROR(E65/C65,0)</f>
        <v/>
      </c>
    </row>
    <row r="66">
      <c r="A66" s="47" t="inlineStr">
        <is>
          <t>Plant Drinks</t>
        </is>
      </c>
      <c r="B66" s="29">
        <f>SUMIFS(Data!$AD$5:$AD$804,Data!$G$5:$G$804,"Plant Drinks",Data!$H$5:$H$804,"yes")/1000</f>
        <v/>
      </c>
      <c r="C66" s="29">
        <f>SUMIFS(Data!$AE$5:$AE$804,Data!$G$5:$G$804,"Plant Drinks",Data!$H$5:$H$804,"yes")/1000</f>
        <v/>
      </c>
      <c r="D66" s="29">
        <f>SUMIFS(Data!$AF$5:$AF$804,Data!$G$5:$G$804,"Plant Drinks",Data!$H$5:$H$804,"yes")/1000</f>
        <v/>
      </c>
      <c r="E66" s="29">
        <f>SUMIFS(Data!$AG$5:$AG$804,Data!$G$5:$G$804,"Plant Drinks",Data!$H$5:$H$804,"yes")/1000</f>
        <v/>
      </c>
      <c r="F66" s="30">
        <f>IFERROR(D66/C66,0)</f>
        <v/>
      </c>
      <c r="G66" s="30">
        <f>IFERROR(E66/C66,0)</f>
        <v/>
      </c>
    </row>
    <row r="67">
      <c r="A67" s="47" t="inlineStr">
        <is>
          <t>Canned Vegetables</t>
        </is>
      </c>
      <c r="B67" s="29">
        <f>SUMIFS(Data!$AD$5:$AD$804,Data!$G$5:$G$804,"Canned Vegetables",Data!$H$5:$H$804,"yes")/1000</f>
        <v/>
      </c>
      <c r="C67" s="29">
        <f>SUMIFS(Data!$AE$5:$AE$804,Data!$G$5:$G$804,"Canned Vegetables",Data!$H$5:$H$804,"yes")/1000</f>
        <v/>
      </c>
      <c r="D67" s="29">
        <f>SUMIFS(Data!$AF$5:$AF$804,Data!$G$5:$G$804,"Canned Vegetables",Data!$H$5:$H$804,"yes")/1000</f>
        <v/>
      </c>
      <c r="E67" s="29">
        <f>SUMIFS(Data!$AG$5:$AG$804,Data!$G$5:$G$804,"Canned Vegetables",Data!$H$5:$H$804,"yes")/1000</f>
        <v/>
      </c>
      <c r="F67" s="30">
        <f>IFERROR(D67/C67,0)</f>
        <v/>
      </c>
      <c r="G67" s="30">
        <f>IFERROR(E67/C67,0)</f>
        <v/>
      </c>
    </row>
    <row r="68">
      <c r="A68" s="47" t="inlineStr">
        <is>
          <t>Fresh Cheese</t>
        </is>
      </c>
      <c r="B68" s="29">
        <f>SUMIFS(Data!$AD$5:$AD$804,Data!$G$5:$G$804,"Fresh Cheese",Data!$H$5:$H$804,"yes")/1000</f>
        <v/>
      </c>
      <c r="C68" s="29">
        <f>SUMIFS(Data!$AE$5:$AE$804,Data!$G$5:$G$804,"Fresh Cheese",Data!$H$5:$H$804,"yes")/1000</f>
        <v/>
      </c>
      <c r="D68" s="29">
        <f>SUMIFS(Data!$AF$5:$AF$804,Data!$G$5:$G$804,"Fresh Cheese",Data!$H$5:$H$804,"yes")/1000</f>
        <v/>
      </c>
      <c r="E68" s="29">
        <f>SUMIFS(Data!$AG$5:$AG$804,Data!$G$5:$G$804,"Fresh Cheese",Data!$H$5:$H$804,"yes")/1000</f>
        <v/>
      </c>
      <c r="F68" s="30">
        <f>IFERROR(D68/C68,0)</f>
        <v/>
      </c>
      <c r="G68" s="30">
        <f>IFERROR(E68/C68,0)</f>
        <v/>
      </c>
    </row>
    <row r="69">
      <c r="A69" s="47" t="inlineStr">
        <is>
          <t>Fresh Pasta</t>
        </is>
      </c>
      <c r="B69" s="29">
        <f>SUMIFS(Data!$AD$5:$AD$804,Data!$G$5:$G$804,"Fresh Pasta",Data!$H$5:$H$804,"yes")/1000</f>
        <v/>
      </c>
      <c r="C69" s="29">
        <f>SUMIFS(Data!$AE$5:$AE$804,Data!$G$5:$G$804,"Fresh Pasta",Data!$H$5:$H$804,"yes")/1000</f>
        <v/>
      </c>
      <c r="D69" s="29">
        <f>SUMIFS(Data!$AF$5:$AF$804,Data!$G$5:$G$804,"Fresh Pasta",Data!$H$5:$H$804,"yes")/1000</f>
        <v/>
      </c>
      <c r="E69" s="29">
        <f>SUMIFS(Data!$AG$5:$AG$804,Data!$G$5:$G$804,"Fresh Pasta",Data!$H$5:$H$804,"yes")/1000</f>
        <v/>
      </c>
      <c r="F69" s="30">
        <f>IFERROR(D69/C69,0)</f>
        <v/>
      </c>
      <c r="G69" s="30">
        <f>IFERROR(E69/C69,0)</f>
        <v/>
      </c>
    </row>
    <row r="70">
      <c r="A70" s="47" t="inlineStr">
        <is>
          <t>Crisps</t>
        </is>
      </c>
      <c r="B70" s="29">
        <f>SUMIFS(Data!$AD$5:$AD$804,Data!$G$5:$G$804,"Crisps",Data!$H$5:$H$804,"yes")/1000</f>
        <v/>
      </c>
      <c r="C70" s="29">
        <f>SUMIFS(Data!$AE$5:$AE$804,Data!$G$5:$G$804,"Crisps",Data!$H$5:$H$804,"yes")/1000</f>
        <v/>
      </c>
      <c r="D70" s="29">
        <f>SUMIFS(Data!$AF$5:$AF$804,Data!$G$5:$G$804,"Crisps",Data!$H$5:$H$804,"yes")/1000</f>
        <v/>
      </c>
      <c r="E70" s="29">
        <f>SUMIFS(Data!$AG$5:$AG$804,Data!$G$5:$G$804,"Crisps",Data!$H$5:$H$804,"yes")/1000</f>
        <v/>
      </c>
      <c r="F70" s="30">
        <f>IFERROR(D70/C70,0)</f>
        <v/>
      </c>
      <c r="G70" s="30">
        <f>IFERROR(E70/C70,0)</f>
        <v/>
      </c>
    </row>
    <row r="71">
      <c r="A71" s="47" t="inlineStr">
        <is>
          <t>Pastries</t>
        </is>
      </c>
      <c r="B71" s="29">
        <f>SUMIFS(Data!$AD$5:$AD$804,Data!$G$5:$G$804,"Pastries",Data!$H$5:$H$804,"yes")/1000</f>
        <v/>
      </c>
      <c r="C71" s="29">
        <f>SUMIFS(Data!$AE$5:$AE$804,Data!$G$5:$G$804,"Pastries",Data!$H$5:$H$804,"yes")/1000</f>
        <v/>
      </c>
      <c r="D71" s="29">
        <f>SUMIFS(Data!$AF$5:$AF$804,Data!$G$5:$G$804,"Pastries",Data!$H$5:$H$804,"yes")/1000</f>
        <v/>
      </c>
      <c r="E71" s="29">
        <f>SUMIFS(Data!$AG$5:$AG$804,Data!$G$5:$G$804,"Pastries",Data!$H$5:$H$804,"yes")/1000</f>
        <v/>
      </c>
      <c r="F71" s="30">
        <f>IFERROR(D71/C71,0)</f>
        <v/>
      </c>
      <c r="G71" s="30">
        <f>IFERROR(E71/C71,0)</f>
        <v/>
      </c>
    </row>
    <row r="72">
      <c r="A72" s="47" t="inlineStr">
        <is>
          <t>Chocolate</t>
        </is>
      </c>
      <c r="B72" s="29">
        <f>SUMIFS(Data!$AD$5:$AD$804,Data!$G$5:$G$804,"Chocolate",Data!$H$5:$H$804,"yes")/1000</f>
        <v/>
      </c>
      <c r="C72" s="29">
        <f>SUMIFS(Data!$AE$5:$AE$804,Data!$G$5:$G$804,"Chocolate",Data!$H$5:$H$804,"yes")/1000</f>
        <v/>
      </c>
      <c r="D72" s="29">
        <f>SUMIFS(Data!$AF$5:$AF$804,Data!$G$5:$G$804,"Chocolate",Data!$H$5:$H$804,"yes")/1000</f>
        <v/>
      </c>
      <c r="E72" s="29">
        <f>SUMIFS(Data!$AG$5:$AG$804,Data!$G$5:$G$804,"Chocolate",Data!$H$5:$H$804,"yes")/1000</f>
        <v/>
      </c>
      <c r="F72" s="30">
        <f>IFERROR(D72/C72,0)</f>
        <v/>
      </c>
      <c r="G72" s="30">
        <f>IFERROR(E72/C72,0)</f>
        <v/>
      </c>
    </row>
    <row r="73">
      <c r="A73" s="47" t="inlineStr">
        <is>
          <t>Dips</t>
        </is>
      </c>
      <c r="B73" s="29">
        <f>SUMIFS(Data!$AD$5:$AD$804,Data!$G$5:$G$804,"Dips",Data!$H$5:$H$804,"yes")/1000</f>
        <v/>
      </c>
      <c r="C73" s="29">
        <f>SUMIFS(Data!$AE$5:$AE$804,Data!$G$5:$G$804,"Dips",Data!$H$5:$H$804,"yes")/1000</f>
        <v/>
      </c>
      <c r="D73" s="29">
        <f>SUMIFS(Data!$AF$5:$AF$804,Data!$G$5:$G$804,"Dips",Data!$H$5:$H$804,"yes")/1000</f>
        <v/>
      </c>
      <c r="E73" s="29">
        <f>SUMIFS(Data!$AG$5:$AG$804,Data!$G$5:$G$804,"Dips",Data!$H$5:$H$804,"yes")/1000</f>
        <v/>
      </c>
      <c r="F73" s="30">
        <f>IFERROR(D73/C73,0)</f>
        <v/>
      </c>
      <c r="G73" s="30">
        <f>IFERROR(E73/C73,0)</f>
        <v/>
      </c>
    </row>
    <row r="74">
      <c r="A74" s="47" t="inlineStr">
        <is>
          <t>Tofu &amp; Tempeh</t>
        </is>
      </c>
      <c r="B74" s="29">
        <f>SUMIFS(Data!$AD$5:$AD$804,Data!$G$5:$G$804,"Tofu &amp; Tempeh",Data!$H$5:$H$804,"yes")/1000</f>
        <v/>
      </c>
      <c r="C74" s="29">
        <f>SUMIFS(Data!$AE$5:$AE$804,Data!$G$5:$G$804,"Tofu &amp; Tempeh",Data!$H$5:$H$804,"yes")/1000</f>
        <v/>
      </c>
      <c r="D74" s="29">
        <f>SUMIFS(Data!$AF$5:$AF$804,Data!$G$5:$G$804,"Tofu &amp; Tempeh",Data!$H$5:$H$804,"yes")/1000</f>
        <v/>
      </c>
      <c r="E74" s="29">
        <f>SUMIFS(Data!$AG$5:$AG$804,Data!$G$5:$G$804,"Tofu &amp; Tempeh",Data!$H$5:$H$804,"yes")/1000</f>
        <v/>
      </c>
      <c r="F74" s="30">
        <f>IFERROR(D74/C74,0)</f>
        <v/>
      </c>
      <c r="G74" s="30">
        <f>IFERROR(E74/C74,0)</f>
        <v/>
      </c>
    </row>
    <row r="75">
      <c r="A75" s="48" t="inlineStr">
        <is>
          <t>All the others (28 families)</t>
        </is>
      </c>
      <c r="B75" s="29">
        <f>SUM(Data!$AD$5:$AD$804)/1000-SUM(B35:B74)</f>
        <v/>
      </c>
      <c r="C75" s="29">
        <f>SUM(Data!$AE$5:$AE$804)/1000-SUM(C35:C74)</f>
        <v/>
      </c>
      <c r="D75" s="29">
        <f>SUM(Data!$AF$5:$AF$804)/1000-SUM(D35:D74)</f>
        <v/>
      </c>
      <c r="E75" s="29">
        <f>SUM(Data!$AG$5:$AG$804)/1000-SUM(E35:E74)</f>
        <v/>
      </c>
      <c r="F75" s="30">
        <f>IFERROR(D75/C75,0)</f>
        <v/>
      </c>
      <c r="G75" s="30">
        <f>IFERROR(E75/C75,0)</f>
        <v/>
      </c>
    </row>
    <row r="76">
      <c r="A76" s="49" t="inlineStr">
        <is>
          <t>Total</t>
        </is>
      </c>
      <c r="B76" s="33">
        <f>SUM(B35:B75)</f>
        <v/>
      </c>
      <c r="C76" s="33">
        <f>SUM(C35:C75)</f>
        <v/>
      </c>
      <c r="D76" s="33">
        <f>SUM(D35:D75)</f>
        <v/>
      </c>
      <c r="E76" s="33">
        <f>SUM(E35:E75)</f>
        <v/>
      </c>
      <c r="F76" s="34">
        <f>IFERROR(D76/C76,0)</f>
        <v/>
      </c>
      <c r="G76" s="34">
        <f>IFERROR(E76/C76,0)</f>
        <v/>
      </c>
    </row>
  </sheetData>
  <mergeCells count="5">
    <mergeCell ref="A32:G32"/>
    <mergeCell ref="A1:G1"/>
    <mergeCell ref="A3:G3"/>
    <mergeCell ref="A29:G29"/>
    <mergeCell ref="A5:G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25.5" customHeight="1">
      <c r="A1" s="20" t="inlineStr">
        <is>
          <t xml:space="preserve">  BY DEPARTMENT</t>
        </is>
      </c>
    </row>
    <row r="3">
      <c r="A3" s="38" t="inlineStr">
        <is>
          <t>Sorted by protein tonnage, from the pre-filled volumes. All 14 departments shown.</t>
        </is>
      </c>
    </row>
    <row r="5" ht="30" customHeight="1">
      <c r="A5" s="12" t="inlineStr">
        <is>
          <t>Department</t>
        </is>
      </c>
      <c r="B5" s="13" t="inlineStr">
        <is>
          <t>Mass (t)</t>
        </is>
      </c>
      <c r="C5" s="13" t="inlineStr">
        <is>
          <t>Protein (t)</t>
        </is>
      </c>
      <c r="D5" s="13" t="inlineStr">
        <is>
          <t>Plant protein (t)</t>
        </is>
      </c>
      <c r="E5" s="13" t="inlineStr">
        <is>
          <t>Animal protein (t)</t>
        </is>
      </c>
      <c r="F5" s="13" t="inlineStr">
        <is>
          <t>Plant share</t>
        </is>
      </c>
      <c r="G5" s="13" t="inlineStr">
        <is>
          <t>Animal share</t>
        </is>
      </c>
    </row>
    <row r="6">
      <c r="A6" s="47" t="inlineStr">
        <is>
          <t>Fresh Meat &amp; Poultry</t>
        </is>
      </c>
      <c r="B6" s="29">
        <f>SUMIFS(Data!$AD$5:$AD$804,Data!$F$5:$F$804,"Fresh Meat &amp; Poultry",Data!$H$5:$H$804,"yes")/1000</f>
        <v/>
      </c>
      <c r="C6" s="29">
        <f>SUMIFS(Data!$AE$5:$AE$804,Data!$F$5:$F$804,"Fresh Meat &amp; Poultry",Data!$H$5:$H$804,"yes")/1000</f>
        <v/>
      </c>
      <c r="D6" s="29">
        <f>SUMIFS(Data!$AF$5:$AF$804,Data!$F$5:$F$804,"Fresh Meat &amp; Poultry",Data!$H$5:$H$804,"yes")/1000</f>
        <v/>
      </c>
      <c r="E6" s="29">
        <f>SUMIFS(Data!$AG$5:$AG$804,Data!$F$5:$F$804,"Fresh Meat &amp; Poultry",Data!$H$5:$H$804,"yes")/1000</f>
        <v/>
      </c>
      <c r="F6" s="30">
        <f>IFERROR(D6/C6,0)</f>
        <v/>
      </c>
      <c r="G6" s="30">
        <f>IFERROR(E6/C6,0)</f>
        <v/>
      </c>
    </row>
    <row r="7">
      <c r="A7" s="47" t="inlineStr">
        <is>
          <t>Grocery</t>
        </is>
      </c>
      <c r="B7" s="29">
        <f>SUMIFS(Data!$AD$5:$AD$804,Data!$F$5:$F$804,"Grocery",Data!$H$5:$H$804,"yes")/1000</f>
        <v/>
      </c>
      <c r="C7" s="29">
        <f>SUMIFS(Data!$AE$5:$AE$804,Data!$F$5:$F$804,"Grocery",Data!$H$5:$H$804,"yes")/1000</f>
        <v/>
      </c>
      <c r="D7" s="29">
        <f>SUMIFS(Data!$AF$5:$AF$804,Data!$F$5:$F$804,"Grocery",Data!$H$5:$H$804,"yes")/1000</f>
        <v/>
      </c>
      <c r="E7" s="29">
        <f>SUMIFS(Data!$AG$5:$AG$804,Data!$F$5:$F$804,"Grocery",Data!$H$5:$H$804,"yes")/1000</f>
        <v/>
      </c>
      <c r="F7" s="30">
        <f>IFERROR(D7/C7,0)</f>
        <v/>
      </c>
      <c r="G7" s="30">
        <f>IFERROR(E7/C7,0)</f>
        <v/>
      </c>
    </row>
    <row r="8">
      <c r="A8" s="47" t="inlineStr">
        <is>
          <t>Dairy &amp; Eggs</t>
        </is>
      </c>
      <c r="B8" s="29">
        <f>SUMIFS(Data!$AD$5:$AD$804,Data!$F$5:$F$804,"Dairy &amp; Eggs",Data!$H$5:$H$804,"yes")/1000</f>
        <v/>
      </c>
      <c r="C8" s="29">
        <f>SUMIFS(Data!$AE$5:$AE$804,Data!$F$5:$F$804,"Dairy &amp; Eggs",Data!$H$5:$H$804,"yes")/1000</f>
        <v/>
      </c>
      <c r="D8" s="29">
        <f>SUMIFS(Data!$AF$5:$AF$804,Data!$F$5:$F$804,"Dairy &amp; Eggs",Data!$H$5:$H$804,"yes")/1000</f>
        <v/>
      </c>
      <c r="E8" s="29">
        <f>SUMIFS(Data!$AG$5:$AG$804,Data!$F$5:$F$804,"Dairy &amp; Eggs",Data!$H$5:$H$804,"yes")/1000</f>
        <v/>
      </c>
      <c r="F8" s="30">
        <f>IFERROR(D8/C8,0)</f>
        <v/>
      </c>
      <c r="G8" s="30">
        <f>IFERROR(E8/C8,0)</f>
        <v/>
      </c>
    </row>
    <row r="9">
      <c r="A9" s="47" t="inlineStr">
        <is>
          <t>Cheese</t>
        </is>
      </c>
      <c r="B9" s="29">
        <f>SUMIFS(Data!$AD$5:$AD$804,Data!$F$5:$F$804,"Cheese",Data!$H$5:$H$804,"yes")/1000</f>
        <v/>
      </c>
      <c r="C9" s="29">
        <f>SUMIFS(Data!$AE$5:$AE$804,Data!$F$5:$F$804,"Cheese",Data!$H$5:$H$804,"yes")/1000</f>
        <v/>
      </c>
      <c r="D9" s="29">
        <f>SUMIFS(Data!$AF$5:$AF$804,Data!$F$5:$F$804,"Cheese",Data!$H$5:$H$804,"yes")/1000</f>
        <v/>
      </c>
      <c r="E9" s="29">
        <f>SUMIFS(Data!$AG$5:$AG$804,Data!$F$5:$F$804,"Cheese",Data!$H$5:$H$804,"yes")/1000</f>
        <v/>
      </c>
      <c r="F9" s="30">
        <f>IFERROR(D9/C9,0)</f>
        <v/>
      </c>
      <c r="G9" s="30">
        <f>IFERROR(E9/C9,0)</f>
        <v/>
      </c>
    </row>
    <row r="10">
      <c r="A10" s="47" t="inlineStr">
        <is>
          <t>Frozen</t>
        </is>
      </c>
      <c r="B10" s="29">
        <f>SUMIFS(Data!$AD$5:$AD$804,Data!$F$5:$F$804,"Frozen",Data!$H$5:$H$804,"yes")/1000</f>
        <v/>
      </c>
      <c r="C10" s="29">
        <f>SUMIFS(Data!$AE$5:$AE$804,Data!$F$5:$F$804,"Frozen",Data!$H$5:$H$804,"yes")/1000</f>
        <v/>
      </c>
      <c r="D10" s="29">
        <f>SUMIFS(Data!$AF$5:$AF$804,Data!$F$5:$F$804,"Frozen",Data!$H$5:$H$804,"yes")/1000</f>
        <v/>
      </c>
      <c r="E10" s="29">
        <f>SUMIFS(Data!$AG$5:$AG$804,Data!$F$5:$F$804,"Frozen",Data!$H$5:$H$804,"yes")/1000</f>
        <v/>
      </c>
      <c r="F10" s="30">
        <f>IFERROR(D10/C10,0)</f>
        <v/>
      </c>
      <c r="G10" s="30">
        <f>IFERROR(E10/C10,0)</f>
        <v/>
      </c>
    </row>
    <row r="11">
      <c r="A11" s="47" t="inlineStr">
        <is>
          <t>Fish &amp; Seafood</t>
        </is>
      </c>
      <c r="B11" s="29">
        <f>SUMIFS(Data!$AD$5:$AD$804,Data!$F$5:$F$804,"Fish &amp; Seafood",Data!$H$5:$H$804,"yes")/1000</f>
        <v/>
      </c>
      <c r="C11" s="29">
        <f>SUMIFS(Data!$AE$5:$AE$804,Data!$F$5:$F$804,"Fish &amp; Seafood",Data!$H$5:$H$804,"yes")/1000</f>
        <v/>
      </c>
      <c r="D11" s="29">
        <f>SUMIFS(Data!$AF$5:$AF$804,Data!$F$5:$F$804,"Fish &amp; Seafood",Data!$H$5:$H$804,"yes")/1000</f>
        <v/>
      </c>
      <c r="E11" s="29">
        <f>SUMIFS(Data!$AG$5:$AG$804,Data!$F$5:$F$804,"Fish &amp; Seafood",Data!$H$5:$H$804,"yes")/1000</f>
        <v/>
      </c>
      <c r="F11" s="30">
        <f>IFERROR(D11/C11,0)</f>
        <v/>
      </c>
      <c r="G11" s="30">
        <f>IFERROR(E11/C11,0)</f>
        <v/>
      </c>
    </row>
    <row r="12">
      <c r="A12" s="47" t="inlineStr">
        <is>
          <t>Bakery</t>
        </is>
      </c>
      <c r="B12" s="29">
        <f>SUMIFS(Data!$AD$5:$AD$804,Data!$F$5:$F$804,"Bakery",Data!$H$5:$H$804,"yes")/1000</f>
        <v/>
      </c>
      <c r="C12" s="29">
        <f>SUMIFS(Data!$AE$5:$AE$804,Data!$F$5:$F$804,"Bakery",Data!$H$5:$H$804,"yes")/1000</f>
        <v/>
      </c>
      <c r="D12" s="29">
        <f>SUMIFS(Data!$AF$5:$AF$804,Data!$F$5:$F$804,"Bakery",Data!$H$5:$H$804,"yes")/1000</f>
        <v/>
      </c>
      <c r="E12" s="29">
        <f>SUMIFS(Data!$AG$5:$AG$804,Data!$F$5:$F$804,"Bakery",Data!$H$5:$H$804,"yes")/1000</f>
        <v/>
      </c>
      <c r="F12" s="30">
        <f>IFERROR(D12/C12,0)</f>
        <v/>
      </c>
      <c r="G12" s="30">
        <f>IFERROR(E12/C12,0)</f>
        <v/>
      </c>
    </row>
    <row r="13">
      <c r="A13" s="47" t="inlineStr">
        <is>
          <t>Fruit &amp; Vegetables</t>
        </is>
      </c>
      <c r="B13" s="29">
        <f>SUMIFS(Data!$AD$5:$AD$804,Data!$F$5:$F$804,"Fruit &amp; Vegetables",Data!$H$5:$H$804,"yes")/1000</f>
        <v/>
      </c>
      <c r="C13" s="29">
        <f>SUMIFS(Data!$AE$5:$AE$804,Data!$F$5:$F$804,"Fruit &amp; Vegetables",Data!$H$5:$H$804,"yes")/1000</f>
        <v/>
      </c>
      <c r="D13" s="29">
        <f>SUMIFS(Data!$AF$5:$AF$804,Data!$F$5:$F$804,"Fruit &amp; Vegetables",Data!$H$5:$H$804,"yes")/1000</f>
        <v/>
      </c>
      <c r="E13" s="29">
        <f>SUMIFS(Data!$AG$5:$AG$804,Data!$F$5:$F$804,"Fruit &amp; Vegetables",Data!$H$5:$H$804,"yes")/1000</f>
        <v/>
      </c>
      <c r="F13" s="30">
        <f>IFERROR(D13/C13,0)</f>
        <v/>
      </c>
      <c r="G13" s="30">
        <f>IFERROR(E13/C13,0)</f>
        <v/>
      </c>
    </row>
    <row r="14">
      <c r="A14" s="47" t="inlineStr">
        <is>
          <t>Breakfast &amp; Snacks</t>
        </is>
      </c>
      <c r="B14" s="29">
        <f>SUMIFS(Data!$AD$5:$AD$804,Data!$F$5:$F$804,"Breakfast &amp; Snacks",Data!$H$5:$H$804,"yes")/1000</f>
        <v/>
      </c>
      <c r="C14" s="29">
        <f>SUMIFS(Data!$AE$5:$AE$804,Data!$F$5:$F$804,"Breakfast &amp; Snacks",Data!$H$5:$H$804,"yes")/1000</f>
        <v/>
      </c>
      <c r="D14" s="29">
        <f>SUMIFS(Data!$AF$5:$AF$804,Data!$F$5:$F$804,"Breakfast &amp; Snacks",Data!$H$5:$H$804,"yes")/1000</f>
        <v/>
      </c>
      <c r="E14" s="29">
        <f>SUMIFS(Data!$AG$5:$AG$804,Data!$F$5:$F$804,"Breakfast &amp; Snacks",Data!$H$5:$H$804,"yes")/1000</f>
        <v/>
      </c>
      <c r="F14" s="30">
        <f>IFERROR(D14/C14,0)</f>
        <v/>
      </c>
      <c r="G14" s="30">
        <f>IFERROR(E14/C14,0)</f>
        <v/>
      </c>
    </row>
    <row r="15">
      <c r="A15" s="47" t="inlineStr">
        <is>
          <t>Deli</t>
        </is>
      </c>
      <c r="B15" s="29">
        <f>SUMIFS(Data!$AD$5:$AD$804,Data!$F$5:$F$804,"Deli",Data!$H$5:$H$804,"yes")/1000</f>
        <v/>
      </c>
      <c r="C15" s="29">
        <f>SUMIFS(Data!$AE$5:$AE$804,Data!$F$5:$F$804,"Deli",Data!$H$5:$H$804,"yes")/1000</f>
        <v/>
      </c>
      <c r="D15" s="29">
        <f>SUMIFS(Data!$AF$5:$AF$804,Data!$F$5:$F$804,"Deli",Data!$H$5:$H$804,"yes")/1000</f>
        <v/>
      </c>
      <c r="E15" s="29">
        <f>SUMIFS(Data!$AG$5:$AG$804,Data!$F$5:$F$804,"Deli",Data!$H$5:$H$804,"yes")/1000</f>
        <v/>
      </c>
      <c r="F15" s="30">
        <f>IFERROR(D15/C15,0)</f>
        <v/>
      </c>
      <c r="G15" s="30">
        <f>IFERROR(E15/C15,0)</f>
        <v/>
      </c>
    </row>
    <row r="16">
      <c r="A16" s="47" t="inlineStr">
        <is>
          <t>Plant-Based</t>
        </is>
      </c>
      <c r="B16" s="29">
        <f>SUMIFS(Data!$AD$5:$AD$804,Data!$F$5:$F$804,"Plant-Based",Data!$H$5:$H$804,"yes")/1000</f>
        <v/>
      </c>
      <c r="C16" s="29">
        <f>SUMIFS(Data!$AE$5:$AE$804,Data!$F$5:$F$804,"Plant-Based",Data!$H$5:$H$804,"yes")/1000</f>
        <v/>
      </c>
      <c r="D16" s="29">
        <f>SUMIFS(Data!$AF$5:$AF$804,Data!$F$5:$F$804,"Plant-Based",Data!$H$5:$H$804,"yes")/1000</f>
        <v/>
      </c>
      <c r="E16" s="29">
        <f>SUMIFS(Data!$AG$5:$AG$804,Data!$F$5:$F$804,"Plant-Based",Data!$H$5:$H$804,"yes")/1000</f>
        <v/>
      </c>
      <c r="F16" s="30">
        <f>IFERROR(D16/C16,0)</f>
        <v/>
      </c>
      <c r="G16" s="30">
        <f>IFERROR(E16/C16,0)</f>
        <v/>
      </c>
    </row>
    <row r="17">
      <c r="A17" s="47" t="inlineStr">
        <is>
          <t>Ready Meals</t>
        </is>
      </c>
      <c r="B17" s="29">
        <f>SUMIFS(Data!$AD$5:$AD$804,Data!$F$5:$F$804,"Ready Meals",Data!$H$5:$H$804,"yes")/1000</f>
        <v/>
      </c>
      <c r="C17" s="29">
        <f>SUMIFS(Data!$AE$5:$AE$804,Data!$F$5:$F$804,"Ready Meals",Data!$H$5:$H$804,"yes")/1000</f>
        <v/>
      </c>
      <c r="D17" s="29">
        <f>SUMIFS(Data!$AF$5:$AF$804,Data!$F$5:$F$804,"Ready Meals",Data!$H$5:$H$804,"yes")/1000</f>
        <v/>
      </c>
      <c r="E17" s="29">
        <f>SUMIFS(Data!$AG$5:$AG$804,Data!$F$5:$F$804,"Ready Meals",Data!$H$5:$H$804,"yes")/1000</f>
        <v/>
      </c>
      <c r="F17" s="30">
        <f>IFERROR(D17/C17,0)</f>
        <v/>
      </c>
      <c r="G17" s="30">
        <f>IFERROR(E17/C17,0)</f>
        <v/>
      </c>
    </row>
    <row r="18">
      <c r="A18" s="47" t="inlineStr">
        <is>
          <t>Beer, Wine &amp; Spirits</t>
        </is>
      </c>
      <c r="B18" s="29">
        <f>SUMIFS(Data!$AD$5:$AD$804,Data!$F$5:$F$804,"Beer, Wine &amp; Spirits",Data!$H$5:$H$804,"yes")/1000</f>
        <v/>
      </c>
      <c r="C18" s="29">
        <f>SUMIFS(Data!$AE$5:$AE$804,Data!$F$5:$F$804,"Beer, Wine &amp; Spirits",Data!$H$5:$H$804,"yes")/1000</f>
        <v/>
      </c>
      <c r="D18" s="29">
        <f>SUMIFS(Data!$AF$5:$AF$804,Data!$F$5:$F$804,"Beer, Wine &amp; Spirits",Data!$H$5:$H$804,"yes")/1000</f>
        <v/>
      </c>
      <c r="E18" s="29">
        <f>SUMIFS(Data!$AG$5:$AG$804,Data!$F$5:$F$804,"Beer, Wine &amp; Spirits",Data!$H$5:$H$804,"yes")/1000</f>
        <v/>
      </c>
      <c r="F18" s="30">
        <f>IFERROR(D18/C18,0)</f>
        <v/>
      </c>
      <c r="G18" s="30">
        <f>IFERROR(E18/C18,0)</f>
        <v/>
      </c>
    </row>
    <row r="19">
      <c r="A19" s="47" t="inlineStr">
        <is>
          <t>Soft Drinks &amp; Water</t>
        </is>
      </c>
      <c r="B19" s="29">
        <f>SUMIFS(Data!$AD$5:$AD$804,Data!$F$5:$F$804,"Soft Drinks &amp; Water",Data!$H$5:$H$804,"yes")/1000</f>
        <v/>
      </c>
      <c r="C19" s="29">
        <f>SUMIFS(Data!$AE$5:$AE$804,Data!$F$5:$F$804,"Soft Drinks &amp; Water",Data!$H$5:$H$804,"yes")/1000</f>
        <v/>
      </c>
      <c r="D19" s="29">
        <f>SUMIFS(Data!$AF$5:$AF$804,Data!$F$5:$F$804,"Soft Drinks &amp; Water",Data!$H$5:$H$804,"yes")/1000</f>
        <v/>
      </c>
      <c r="E19" s="29">
        <f>SUMIFS(Data!$AG$5:$AG$804,Data!$F$5:$F$804,"Soft Drinks &amp; Water",Data!$H$5:$H$804,"yes")/1000</f>
        <v/>
      </c>
      <c r="F19" s="30">
        <f>IFERROR(D19/C19,0)</f>
        <v/>
      </c>
      <c r="G19" s="30">
        <f>IFERROR(E19/C19,0)</f>
        <v/>
      </c>
    </row>
    <row r="20">
      <c r="A20" s="49" t="inlineStr">
        <is>
          <t>Total</t>
        </is>
      </c>
      <c r="B20" s="33">
        <f>SUM(B6:B19)</f>
        <v/>
      </c>
      <c r="C20" s="33">
        <f>SUM(C6:C19)</f>
        <v/>
      </c>
      <c r="D20" s="33">
        <f>SUM(D6:D19)</f>
        <v/>
      </c>
      <c r="E20" s="33">
        <f>SUM(E6:E19)</f>
        <v/>
      </c>
      <c r="F20" s="34">
        <f>IFERROR(D20/C20,0)</f>
        <v/>
      </c>
      <c r="G20" s="34">
        <f>IFERROR(E20/C20,0)</f>
        <v/>
      </c>
    </row>
  </sheetData>
  <mergeCells count="2">
    <mergeCell ref="A3:G3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25.5" customHeight="1">
      <c r="A1" s="20" t="inlineStr">
        <is>
          <t xml:space="preserve">  BY BRAND</t>
        </is>
      </c>
    </row>
    <row r="3">
      <c r="A3" s="38" t="inlineStr">
        <is>
          <t>Sorted by protein tonnage, from the pre-filled volumes. All 15 brands shown.</t>
        </is>
      </c>
    </row>
    <row r="5" ht="30" customHeight="1">
      <c r="A5" s="12" t="inlineStr">
        <is>
          <t>Brand</t>
        </is>
      </c>
      <c r="B5" s="13" t="inlineStr">
        <is>
          <t>Mass (t)</t>
        </is>
      </c>
      <c r="C5" s="13" t="inlineStr">
        <is>
          <t>Protein (t)</t>
        </is>
      </c>
      <c r="D5" s="13" t="inlineStr">
        <is>
          <t>Plant protein (t)</t>
        </is>
      </c>
      <c r="E5" s="13" t="inlineStr">
        <is>
          <t>Animal protein (t)</t>
        </is>
      </c>
      <c r="F5" s="13" t="inlineStr">
        <is>
          <t>Plant share</t>
        </is>
      </c>
      <c r="G5" s="13" t="inlineStr">
        <is>
          <t>Animal share</t>
        </is>
      </c>
    </row>
    <row r="6">
      <c r="A6" s="47" t="inlineStr">
        <is>
          <t>Harbour Market</t>
        </is>
      </c>
      <c r="B6" s="29">
        <f>SUMIFS(Data!$AD$5:$AD$804,Data!$E$5:$E$804,"Harbour Market",Data!$H$5:$H$804,"yes")/1000</f>
        <v/>
      </c>
      <c r="C6" s="29">
        <f>SUMIFS(Data!$AE$5:$AE$804,Data!$E$5:$E$804,"Harbour Market",Data!$H$5:$H$804,"yes")/1000</f>
        <v/>
      </c>
      <c r="D6" s="29">
        <f>SUMIFS(Data!$AF$5:$AF$804,Data!$E$5:$E$804,"Harbour Market",Data!$H$5:$H$804,"yes")/1000</f>
        <v/>
      </c>
      <c r="E6" s="29">
        <f>SUMIFS(Data!$AG$5:$AG$804,Data!$E$5:$E$804,"Harbour Market",Data!$H$5:$H$804,"yes")/1000</f>
        <v/>
      </c>
      <c r="F6" s="30">
        <f>IFERROR(D6/C6,0)</f>
        <v/>
      </c>
      <c r="G6" s="30">
        <f>IFERROR(E6/C6,0)</f>
        <v/>
      </c>
    </row>
    <row r="7">
      <c r="A7" s="47" t="inlineStr">
        <is>
          <t>Tarrow Farm</t>
        </is>
      </c>
      <c r="B7" s="29">
        <f>SUMIFS(Data!$AD$5:$AD$804,Data!$E$5:$E$804,"Tarrow Farm",Data!$H$5:$H$804,"yes")/1000</f>
        <v/>
      </c>
      <c r="C7" s="29">
        <f>SUMIFS(Data!$AE$5:$AE$804,Data!$E$5:$E$804,"Tarrow Farm",Data!$H$5:$H$804,"yes")/1000</f>
        <v/>
      </c>
      <c r="D7" s="29">
        <f>SUMIFS(Data!$AF$5:$AF$804,Data!$E$5:$E$804,"Tarrow Farm",Data!$H$5:$H$804,"yes")/1000</f>
        <v/>
      </c>
      <c r="E7" s="29">
        <f>SUMIFS(Data!$AG$5:$AG$804,Data!$E$5:$E$804,"Tarrow Farm",Data!$H$5:$H$804,"yes")/1000</f>
        <v/>
      </c>
      <c r="F7" s="30">
        <f>IFERROR(D7/C7,0)</f>
        <v/>
      </c>
      <c r="G7" s="30">
        <f>IFERROR(E7/C7,0)</f>
        <v/>
      </c>
    </row>
    <row r="8">
      <c r="A8" s="47" t="inlineStr">
        <is>
          <t>Orvalis</t>
        </is>
      </c>
      <c r="B8" s="29">
        <f>SUMIFS(Data!$AD$5:$AD$804,Data!$E$5:$E$804,"Orvalis",Data!$H$5:$H$804,"yes")/1000</f>
        <v/>
      </c>
      <c r="C8" s="29">
        <f>SUMIFS(Data!$AE$5:$AE$804,Data!$E$5:$E$804,"Orvalis",Data!$H$5:$H$804,"yes")/1000</f>
        <v/>
      </c>
      <c r="D8" s="29">
        <f>SUMIFS(Data!$AF$5:$AF$804,Data!$E$5:$E$804,"Orvalis",Data!$H$5:$H$804,"yes")/1000</f>
        <v/>
      </c>
      <c r="E8" s="29">
        <f>SUMIFS(Data!$AG$5:$AG$804,Data!$E$5:$E$804,"Orvalis",Data!$H$5:$H$804,"yes")/1000</f>
        <v/>
      </c>
      <c r="F8" s="30">
        <f>IFERROR(D8/C8,0)</f>
        <v/>
      </c>
      <c r="G8" s="30">
        <f>IFERROR(E8/C8,0)</f>
        <v/>
      </c>
    </row>
    <row r="9">
      <c r="A9" s="47" t="inlineStr">
        <is>
          <t>Alderwick</t>
        </is>
      </c>
      <c r="B9" s="29">
        <f>SUMIFS(Data!$AD$5:$AD$804,Data!$E$5:$E$804,"Alderwick",Data!$H$5:$H$804,"yes")/1000</f>
        <v/>
      </c>
      <c r="C9" s="29">
        <f>SUMIFS(Data!$AE$5:$AE$804,Data!$E$5:$E$804,"Alderwick",Data!$H$5:$H$804,"yes")/1000</f>
        <v/>
      </c>
      <c r="D9" s="29">
        <f>SUMIFS(Data!$AF$5:$AF$804,Data!$E$5:$E$804,"Alderwick",Data!$H$5:$H$804,"yes")/1000</f>
        <v/>
      </c>
      <c r="E9" s="29">
        <f>SUMIFS(Data!$AG$5:$AG$804,Data!$E$5:$E$804,"Alderwick",Data!$H$5:$H$804,"yes")/1000</f>
        <v/>
      </c>
      <c r="F9" s="30">
        <f>IFERROR(D9/C9,0)</f>
        <v/>
      </c>
      <c r="G9" s="30">
        <f>IFERROR(E9/C9,0)</f>
        <v/>
      </c>
    </row>
    <row r="10">
      <c r="A10" s="47" t="inlineStr">
        <is>
          <t>Bramblecote</t>
        </is>
      </c>
      <c r="B10" s="29">
        <f>SUMIFS(Data!$AD$5:$AD$804,Data!$E$5:$E$804,"Bramblecote",Data!$H$5:$H$804,"yes")/1000</f>
        <v/>
      </c>
      <c r="C10" s="29">
        <f>SUMIFS(Data!$AE$5:$AE$804,Data!$E$5:$E$804,"Bramblecote",Data!$H$5:$H$804,"yes")/1000</f>
        <v/>
      </c>
      <c r="D10" s="29">
        <f>SUMIFS(Data!$AF$5:$AF$804,Data!$E$5:$E$804,"Bramblecote",Data!$H$5:$H$804,"yes")/1000</f>
        <v/>
      </c>
      <c r="E10" s="29">
        <f>SUMIFS(Data!$AG$5:$AG$804,Data!$E$5:$E$804,"Bramblecote",Data!$H$5:$H$804,"yes")/1000</f>
        <v/>
      </c>
      <c r="F10" s="30">
        <f>IFERROR(D10/C10,0)</f>
        <v/>
      </c>
      <c r="G10" s="30">
        <f>IFERROR(E10/C10,0)</f>
        <v/>
      </c>
    </row>
    <row r="11">
      <c r="A11" s="47" t="inlineStr">
        <is>
          <t>Fjelda</t>
        </is>
      </c>
      <c r="B11" s="29">
        <f>SUMIFS(Data!$AD$5:$AD$804,Data!$E$5:$E$804,"Fjelda",Data!$H$5:$H$804,"yes")/1000</f>
        <v/>
      </c>
      <c r="C11" s="29">
        <f>SUMIFS(Data!$AE$5:$AE$804,Data!$E$5:$E$804,"Fjelda",Data!$H$5:$H$804,"yes")/1000</f>
        <v/>
      </c>
      <c r="D11" s="29">
        <f>SUMIFS(Data!$AF$5:$AF$804,Data!$E$5:$E$804,"Fjelda",Data!$H$5:$H$804,"yes")/1000</f>
        <v/>
      </c>
      <c r="E11" s="29">
        <f>SUMIFS(Data!$AG$5:$AG$804,Data!$E$5:$E$804,"Fjelda",Data!$H$5:$H$804,"yes")/1000</f>
        <v/>
      </c>
      <c r="F11" s="30">
        <f>IFERROR(D11/C11,0)</f>
        <v/>
      </c>
      <c r="G11" s="30">
        <f>IFERROR(E11/C11,0)</f>
        <v/>
      </c>
    </row>
    <row r="12">
      <c r="A12" s="47" t="inlineStr">
        <is>
          <t>Kestrel Bay</t>
        </is>
      </c>
      <c r="B12" s="29">
        <f>SUMIFS(Data!$AD$5:$AD$804,Data!$E$5:$E$804,"Kestrel Bay",Data!$H$5:$H$804,"yes")/1000</f>
        <v/>
      </c>
      <c r="C12" s="29">
        <f>SUMIFS(Data!$AE$5:$AE$804,Data!$E$5:$E$804,"Kestrel Bay",Data!$H$5:$H$804,"yes")/1000</f>
        <v/>
      </c>
      <c r="D12" s="29">
        <f>SUMIFS(Data!$AF$5:$AF$804,Data!$E$5:$E$804,"Kestrel Bay",Data!$H$5:$H$804,"yes")/1000</f>
        <v/>
      </c>
      <c r="E12" s="29">
        <f>SUMIFS(Data!$AG$5:$AG$804,Data!$E$5:$E$804,"Kestrel Bay",Data!$H$5:$H$804,"yes")/1000</f>
        <v/>
      </c>
      <c r="F12" s="30">
        <f>IFERROR(D12/C12,0)</f>
        <v/>
      </c>
      <c r="G12" s="30">
        <f>IFERROR(E12/C12,0)</f>
        <v/>
      </c>
    </row>
    <row r="13">
      <c r="A13" s="47" t="inlineStr">
        <is>
          <t>Quillan</t>
        </is>
      </c>
      <c r="B13" s="29">
        <f>SUMIFS(Data!$AD$5:$AD$804,Data!$E$5:$E$804,"Quillan",Data!$H$5:$H$804,"yes")/1000</f>
        <v/>
      </c>
      <c r="C13" s="29">
        <f>SUMIFS(Data!$AE$5:$AE$804,Data!$E$5:$E$804,"Quillan",Data!$H$5:$H$804,"yes")/1000</f>
        <v/>
      </c>
      <c r="D13" s="29">
        <f>SUMIFS(Data!$AF$5:$AF$804,Data!$E$5:$E$804,"Quillan",Data!$H$5:$H$804,"yes")/1000</f>
        <v/>
      </c>
      <c r="E13" s="29">
        <f>SUMIFS(Data!$AG$5:$AG$804,Data!$E$5:$E$804,"Quillan",Data!$H$5:$H$804,"yes")/1000</f>
        <v/>
      </c>
      <c r="F13" s="30">
        <f>IFERROR(D13/C13,0)</f>
        <v/>
      </c>
      <c r="G13" s="30">
        <f>IFERROR(E13/C13,0)</f>
        <v/>
      </c>
    </row>
    <row r="14">
      <c r="A14" s="47" t="inlineStr">
        <is>
          <t>Penrock</t>
        </is>
      </c>
      <c r="B14" s="29">
        <f>SUMIFS(Data!$AD$5:$AD$804,Data!$E$5:$E$804,"Penrock",Data!$H$5:$H$804,"yes")/1000</f>
        <v/>
      </c>
      <c r="C14" s="29">
        <f>SUMIFS(Data!$AE$5:$AE$804,Data!$E$5:$E$804,"Penrock",Data!$H$5:$H$804,"yes")/1000</f>
        <v/>
      </c>
      <c r="D14" s="29">
        <f>SUMIFS(Data!$AF$5:$AF$804,Data!$E$5:$E$804,"Penrock",Data!$H$5:$H$804,"yes")/1000</f>
        <v/>
      </c>
      <c r="E14" s="29">
        <f>SUMIFS(Data!$AG$5:$AG$804,Data!$E$5:$E$804,"Penrock",Data!$H$5:$H$804,"yes")/1000</f>
        <v/>
      </c>
      <c r="F14" s="30">
        <f>IFERROR(D14/C14,0)</f>
        <v/>
      </c>
      <c r="G14" s="30">
        <f>IFERROR(E14/C14,0)</f>
        <v/>
      </c>
    </row>
    <row r="15">
      <c r="A15" s="47" t="inlineStr">
        <is>
          <t>Solvane</t>
        </is>
      </c>
      <c r="B15" s="29">
        <f>SUMIFS(Data!$AD$5:$AD$804,Data!$E$5:$E$804,"Solvane",Data!$H$5:$H$804,"yes")/1000</f>
        <v/>
      </c>
      <c r="C15" s="29">
        <f>SUMIFS(Data!$AE$5:$AE$804,Data!$E$5:$E$804,"Solvane",Data!$H$5:$H$804,"yes")/1000</f>
        <v/>
      </c>
      <c r="D15" s="29">
        <f>SUMIFS(Data!$AF$5:$AF$804,Data!$E$5:$E$804,"Solvane",Data!$H$5:$H$804,"yes")/1000</f>
        <v/>
      </c>
      <c r="E15" s="29">
        <f>SUMIFS(Data!$AG$5:$AG$804,Data!$E$5:$E$804,"Solvane",Data!$H$5:$H$804,"yes")/1000</f>
        <v/>
      </c>
      <c r="F15" s="30">
        <f>IFERROR(D15/C15,0)</f>
        <v/>
      </c>
      <c r="G15" s="30">
        <f>IFERROR(E15/C15,0)</f>
        <v/>
      </c>
    </row>
    <row r="16">
      <c r="A16" s="47" t="inlineStr">
        <is>
          <t>Castelna</t>
        </is>
      </c>
      <c r="B16" s="29">
        <f>SUMIFS(Data!$AD$5:$AD$804,Data!$E$5:$E$804,"Castelna",Data!$H$5:$H$804,"yes")/1000</f>
        <v/>
      </c>
      <c r="C16" s="29">
        <f>SUMIFS(Data!$AE$5:$AE$804,Data!$E$5:$E$804,"Castelna",Data!$H$5:$H$804,"yes")/1000</f>
        <v/>
      </c>
      <c r="D16" s="29">
        <f>SUMIFS(Data!$AF$5:$AF$804,Data!$E$5:$E$804,"Castelna",Data!$H$5:$H$804,"yes")/1000</f>
        <v/>
      </c>
      <c r="E16" s="29">
        <f>SUMIFS(Data!$AG$5:$AG$804,Data!$E$5:$E$804,"Castelna",Data!$H$5:$H$804,"yes")/1000</f>
        <v/>
      </c>
      <c r="F16" s="30">
        <f>IFERROR(D16/C16,0)</f>
        <v/>
      </c>
      <c r="G16" s="30">
        <f>IFERROR(E16/C16,0)</f>
        <v/>
      </c>
    </row>
    <row r="17">
      <c r="A17" s="47" t="inlineStr">
        <is>
          <t>Marlowe</t>
        </is>
      </c>
      <c r="B17" s="29">
        <f>SUMIFS(Data!$AD$5:$AD$804,Data!$E$5:$E$804,"Marlowe",Data!$H$5:$H$804,"yes")/1000</f>
        <v/>
      </c>
      <c r="C17" s="29">
        <f>SUMIFS(Data!$AE$5:$AE$804,Data!$E$5:$E$804,"Marlowe",Data!$H$5:$H$804,"yes")/1000</f>
        <v/>
      </c>
      <c r="D17" s="29">
        <f>SUMIFS(Data!$AF$5:$AF$804,Data!$E$5:$E$804,"Marlowe",Data!$H$5:$H$804,"yes")/1000</f>
        <v/>
      </c>
      <c r="E17" s="29">
        <f>SUMIFS(Data!$AG$5:$AG$804,Data!$E$5:$E$804,"Marlowe",Data!$H$5:$H$804,"yes")/1000</f>
        <v/>
      </c>
      <c r="F17" s="30">
        <f>IFERROR(D17/C17,0)</f>
        <v/>
      </c>
      <c r="G17" s="30">
        <f>IFERROR(E17/C17,0)</f>
        <v/>
      </c>
    </row>
    <row r="18">
      <c r="A18" s="47" t="inlineStr">
        <is>
          <t>Penward</t>
        </is>
      </c>
      <c r="B18" s="29">
        <f>SUMIFS(Data!$AD$5:$AD$804,Data!$E$5:$E$804,"Penward",Data!$H$5:$H$804,"yes")/1000</f>
        <v/>
      </c>
      <c r="C18" s="29">
        <f>SUMIFS(Data!$AE$5:$AE$804,Data!$E$5:$E$804,"Penward",Data!$H$5:$H$804,"yes")/1000</f>
        <v/>
      </c>
      <c r="D18" s="29">
        <f>SUMIFS(Data!$AF$5:$AF$804,Data!$E$5:$E$804,"Penward",Data!$H$5:$H$804,"yes")/1000</f>
        <v/>
      </c>
      <c r="E18" s="29">
        <f>SUMIFS(Data!$AG$5:$AG$804,Data!$E$5:$E$804,"Penward",Data!$H$5:$H$804,"yes")/1000</f>
        <v/>
      </c>
      <c r="F18" s="30">
        <f>IFERROR(D18/C18,0)</f>
        <v/>
      </c>
      <c r="G18" s="30">
        <f>IFERROR(E18/C18,0)</f>
        <v/>
      </c>
    </row>
    <row r="19">
      <c r="A19" s="47" t="inlineStr">
        <is>
          <t>Veloce</t>
        </is>
      </c>
      <c r="B19" s="29">
        <f>SUMIFS(Data!$AD$5:$AD$804,Data!$E$5:$E$804,"Veloce",Data!$H$5:$H$804,"yes")/1000</f>
        <v/>
      </c>
      <c r="C19" s="29">
        <f>SUMIFS(Data!$AE$5:$AE$804,Data!$E$5:$E$804,"Veloce",Data!$H$5:$H$804,"yes")/1000</f>
        <v/>
      </c>
      <c r="D19" s="29">
        <f>SUMIFS(Data!$AF$5:$AF$804,Data!$E$5:$E$804,"Veloce",Data!$H$5:$H$804,"yes")/1000</f>
        <v/>
      </c>
      <c r="E19" s="29">
        <f>SUMIFS(Data!$AG$5:$AG$804,Data!$E$5:$E$804,"Veloce",Data!$H$5:$H$804,"yes")/1000</f>
        <v/>
      </c>
      <c r="F19" s="30">
        <f>IFERROR(D19/C19,0)</f>
        <v/>
      </c>
      <c r="G19" s="30">
        <f>IFERROR(E19/C19,0)</f>
        <v/>
      </c>
    </row>
    <row r="20">
      <c r="A20" s="47" t="inlineStr">
        <is>
          <t>Nuvelle</t>
        </is>
      </c>
      <c r="B20" s="29">
        <f>SUMIFS(Data!$AD$5:$AD$804,Data!$E$5:$E$804,"Nuvelle",Data!$H$5:$H$804,"yes")/1000</f>
        <v/>
      </c>
      <c r="C20" s="29">
        <f>SUMIFS(Data!$AE$5:$AE$804,Data!$E$5:$E$804,"Nuvelle",Data!$H$5:$H$804,"yes")/1000</f>
        <v/>
      </c>
      <c r="D20" s="29">
        <f>SUMIFS(Data!$AF$5:$AF$804,Data!$E$5:$E$804,"Nuvelle",Data!$H$5:$H$804,"yes")/1000</f>
        <v/>
      </c>
      <c r="E20" s="29">
        <f>SUMIFS(Data!$AG$5:$AG$804,Data!$E$5:$E$804,"Nuvelle",Data!$H$5:$H$804,"yes")/1000</f>
        <v/>
      </c>
      <c r="F20" s="30">
        <f>IFERROR(D20/C20,0)</f>
        <v/>
      </c>
      <c r="G20" s="30">
        <f>IFERROR(E20/C20,0)</f>
        <v/>
      </c>
    </row>
    <row r="21">
      <c r="A21" s="49" t="inlineStr">
        <is>
          <t>Total</t>
        </is>
      </c>
      <c r="B21" s="33">
        <f>SUM(B6:B20)</f>
        <v/>
      </c>
      <c r="C21" s="33">
        <f>SUM(C6:C20)</f>
        <v/>
      </c>
      <c r="D21" s="33">
        <f>SUM(D6:D20)</f>
        <v/>
      </c>
      <c r="E21" s="33">
        <f>SUM(E6:E20)</f>
        <v/>
      </c>
      <c r="F21" s="34">
        <f>IFERROR(D21/C21,0)</f>
        <v/>
      </c>
      <c r="G21" s="34">
        <f>IFERROR(E21/C21,0)</f>
        <v/>
      </c>
    </row>
  </sheetData>
  <mergeCells count="2">
    <mergeCell ref="A3:G3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2" customWidth="1" min="4" max="4"/>
    <col width="10" customWidth="1" min="5" max="5"/>
    <col width="12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</cols>
  <sheetData>
    <row r="1" ht="25.5" customHeight="1">
      <c r="A1" s="20" t="inlineStr">
        <is>
          <t xml:space="preserve">  TOP AND FLOP — Protein Tracker ranking</t>
        </is>
      </c>
    </row>
    <row r="3" ht="28" customHeight="1">
      <c r="A3" s="11" t="inlineStr">
        <is>
          <t>Ranking basis: PROTEIN TRACKER. A product's plant share is its plant protein over its total protein; the WWF ranking, which reasons in weight, does not apply to a single product.</t>
        </is>
      </c>
    </row>
    <row r="4">
      <c r="A4" s="38" t="inlineStr">
        <is>
          <t>Weight, volume and protein per 100 g are read from the Data tab: these rows recalculate with your volumes.</t>
        </is>
      </c>
    </row>
    <row r="6" ht="25.5" customHeight="1">
      <c r="A6" s="24" t="inlineStr">
        <is>
          <t xml:space="preserve">  The 50 most plant-based</t>
        </is>
      </c>
    </row>
    <row r="8" ht="30" customHeight="1">
      <c r="A8" s="12" t="inlineStr">
        <is>
          <t>EAN 13</t>
        </is>
      </c>
      <c r="B8" s="13" t="inlineStr">
        <is>
          <t>Product</t>
        </is>
      </c>
      <c r="C8" s="13" t="inlineStr">
        <is>
          <t>Brand</t>
        </is>
      </c>
      <c r="D8" s="13" t="inlineStr">
        <is>
          <t>Family</t>
        </is>
      </c>
      <c r="E8" s="13" t="inlineStr">
        <is>
          <t>Food group</t>
        </is>
      </c>
      <c r="F8" s="13" t="inlineStr">
        <is>
          <t>Unit weight (kg)</t>
        </is>
      </c>
      <c r="G8" s="13" t="inlineStr">
        <is>
          <t>Units sold</t>
        </is>
      </c>
      <c r="H8" s="13" t="inlineStr">
        <is>
          <t>Protein (g/100 g)</t>
        </is>
      </c>
      <c r="I8" s="13" t="inlineStr">
        <is>
          <t>Plant protein (t)</t>
        </is>
      </c>
      <c r="J8" s="13" t="inlineStr">
        <is>
          <t>Animal protein (t)</t>
        </is>
      </c>
      <c r="K8" s="13" t="inlineStr">
        <is>
          <t>Plant share (protein)</t>
        </is>
      </c>
    </row>
    <row r="9">
      <c r="A9" s="16" t="inlineStr">
        <is>
          <t>5012345617145</t>
        </is>
      </c>
      <c r="B9" s="7" t="inlineStr">
        <is>
          <t>Garden peas, 1.5kg</t>
        </is>
      </c>
      <c r="C9" s="7" t="inlineStr">
        <is>
          <t>Harbour Market</t>
        </is>
      </c>
      <c r="D9" s="7" t="inlineStr">
        <is>
          <t>Frozen Vegetables</t>
        </is>
      </c>
      <c r="E9" s="7" t="inlineStr">
        <is>
          <t>FG1</t>
        </is>
      </c>
      <c r="F9" s="50">
        <f>Data!Y7</f>
        <v/>
      </c>
      <c r="G9" s="19">
        <f>Data!AA7</f>
        <v/>
      </c>
      <c r="H9" s="51">
        <f>Data!M7</f>
        <v/>
      </c>
      <c r="I9" s="52">
        <f>Data!AF7/1000</f>
        <v/>
      </c>
      <c r="J9" s="52">
        <f>Data!AG7/1000</f>
        <v/>
      </c>
      <c r="K9" s="30">
        <f>IFERROR(I9/(I9+J9),0)</f>
        <v/>
      </c>
    </row>
    <row r="10">
      <c r="A10" s="16" t="inlineStr">
        <is>
          <t>8712345997670</t>
        </is>
      </c>
      <c r="B10" s="7" t="inlineStr">
        <is>
          <t>Penne rigate, 3kg</t>
        </is>
      </c>
      <c r="C10" s="7" t="inlineStr">
        <is>
          <t>Harbour Market</t>
        </is>
      </c>
      <c r="D10" s="7" t="inlineStr">
        <is>
          <t>Pasta</t>
        </is>
      </c>
      <c r="E10" s="7" t="inlineStr">
        <is>
          <t>FG5</t>
        </is>
      </c>
      <c r="F10" s="50">
        <f>Data!Y49</f>
        <v/>
      </c>
      <c r="G10" s="19">
        <f>Data!AA49</f>
        <v/>
      </c>
      <c r="H10" s="51">
        <f>Data!M49</f>
        <v/>
      </c>
      <c r="I10" s="52">
        <f>Data!AF49/1000</f>
        <v/>
      </c>
      <c r="J10" s="52">
        <f>Data!AG49/1000</f>
        <v/>
      </c>
      <c r="K10" s="30">
        <f>IFERROR(I10/(I10+J10),0)</f>
        <v/>
      </c>
    </row>
    <row r="11">
      <c r="A11" s="16" t="inlineStr">
        <is>
          <t>8712345973469</t>
        </is>
      </c>
      <c r="B11" s="7" t="inlineStr">
        <is>
          <t>Penne rigate, 500g</t>
        </is>
      </c>
      <c r="C11" s="7" t="inlineStr">
        <is>
          <t>Harbour Market</t>
        </is>
      </c>
      <c r="D11" s="7" t="inlineStr">
        <is>
          <t>Pasta</t>
        </is>
      </c>
      <c r="E11" s="7" t="inlineStr">
        <is>
          <t>FG5</t>
        </is>
      </c>
      <c r="F11" s="50">
        <f>Data!Y52</f>
        <v/>
      </c>
      <c r="G11" s="19">
        <f>Data!AA52</f>
        <v/>
      </c>
      <c r="H11" s="51">
        <f>Data!M52</f>
        <v/>
      </c>
      <c r="I11" s="52">
        <f>Data!AF52/1000</f>
        <v/>
      </c>
      <c r="J11" s="52">
        <f>Data!AG52/1000</f>
        <v/>
      </c>
      <c r="K11" s="30">
        <f>IFERROR(I11/(I11+J11),0)</f>
        <v/>
      </c>
    </row>
    <row r="12">
      <c r="A12" s="16" t="inlineStr">
        <is>
          <t>5012345916170</t>
        </is>
      </c>
      <c r="B12" s="7" t="inlineStr">
        <is>
          <t>Farfalle, 3kg</t>
        </is>
      </c>
      <c r="C12" s="7" t="inlineStr">
        <is>
          <t>Orvalis</t>
        </is>
      </c>
      <c r="D12" s="7" t="inlineStr">
        <is>
          <t>Pasta</t>
        </is>
      </c>
      <c r="E12" s="7" t="inlineStr">
        <is>
          <t>FG5</t>
        </is>
      </c>
      <c r="F12" s="50">
        <f>Data!Y51</f>
        <v/>
      </c>
      <c r="G12" s="19">
        <f>Data!AA51</f>
        <v/>
      </c>
      <c r="H12" s="51">
        <f>Data!M51</f>
        <v/>
      </c>
      <c r="I12" s="52">
        <f>Data!AF51/1000</f>
        <v/>
      </c>
      <c r="J12" s="52">
        <f>Data!AG51/1000</f>
        <v/>
      </c>
      <c r="K12" s="30">
        <f>IFERROR(I12/(I12+J12),0)</f>
        <v/>
      </c>
    </row>
    <row r="13">
      <c r="A13" s="16" t="inlineStr">
        <is>
          <t>4012345154504</t>
        </is>
      </c>
      <c r="B13" s="7" t="inlineStr">
        <is>
          <t>Crunchy peanut butter, 1kg</t>
        </is>
      </c>
      <c r="C13" s="7" t="inlineStr">
        <is>
          <t>Harbour Market</t>
        </is>
      </c>
      <c r="D13" s="7" t="inlineStr">
        <is>
          <t>Spreads</t>
        </is>
      </c>
      <c r="E13" s="7" t="inlineStr">
        <is>
          <t>FG1</t>
        </is>
      </c>
      <c r="F13" s="50">
        <f>Data!Y195</f>
        <v/>
      </c>
      <c r="G13" s="19">
        <f>Data!AA195</f>
        <v/>
      </c>
      <c r="H13" s="51">
        <f>Data!M195</f>
        <v/>
      </c>
      <c r="I13" s="52">
        <f>Data!AF195/1000</f>
        <v/>
      </c>
      <c r="J13" s="52">
        <f>Data!AG195/1000</f>
        <v/>
      </c>
      <c r="K13" s="30">
        <f>IFERROR(I13/(I13+J13),0)</f>
        <v/>
      </c>
    </row>
    <row r="14">
      <c r="A14" s="16" t="inlineStr">
        <is>
          <t>4012345026191</t>
        </is>
      </c>
      <c r="B14" s="7" t="inlineStr">
        <is>
          <t>Spaghetti, 1kg</t>
        </is>
      </c>
      <c r="C14" s="7" t="inlineStr">
        <is>
          <t>Orvalis</t>
        </is>
      </c>
      <c r="D14" s="7" t="inlineStr">
        <is>
          <t>Pasta</t>
        </is>
      </c>
      <c r="E14" s="7" t="inlineStr">
        <is>
          <t>FG5</t>
        </is>
      </c>
      <c r="F14" s="50">
        <f>Data!Y81</f>
        <v/>
      </c>
      <c r="G14" s="19">
        <f>Data!AA81</f>
        <v/>
      </c>
      <c r="H14" s="51">
        <f>Data!M81</f>
        <v/>
      </c>
      <c r="I14" s="52">
        <f>Data!AF81/1000</f>
        <v/>
      </c>
      <c r="J14" s="52">
        <f>Data!AG81/1000</f>
        <v/>
      </c>
      <c r="K14" s="30">
        <f>IFERROR(I14/(I14+J14),0)</f>
        <v/>
      </c>
    </row>
    <row r="15">
      <c r="A15" s="16" t="inlineStr">
        <is>
          <t>4012345255560</t>
        </is>
      </c>
      <c r="B15" s="7" t="inlineStr">
        <is>
          <t>Arborio rice, 2kg</t>
        </is>
      </c>
      <c r="C15" s="7" t="inlineStr">
        <is>
          <t>Orvalis</t>
        </is>
      </c>
      <c r="D15" s="7" t="inlineStr">
        <is>
          <t>Rice &amp; Grains</t>
        </is>
      </c>
      <c r="E15" s="7" t="inlineStr">
        <is>
          <t>FG5</t>
        </is>
      </c>
      <c r="F15" s="50">
        <f>Data!Y40</f>
        <v/>
      </c>
      <c r="G15" s="19">
        <f>Data!AA40</f>
        <v/>
      </c>
      <c r="H15" s="51">
        <f>Data!M40</f>
        <v/>
      </c>
      <c r="I15" s="52">
        <f>Data!AF40/1000</f>
        <v/>
      </c>
      <c r="J15" s="52">
        <f>Data!AG40/1000</f>
        <v/>
      </c>
      <c r="K15" s="30">
        <f>IFERROR(I15/(I15+J15),0)</f>
        <v/>
      </c>
    </row>
    <row r="16">
      <c r="A16" s="16" t="inlineStr">
        <is>
          <t>5012345947273</t>
        </is>
      </c>
      <c r="B16" s="7" t="inlineStr">
        <is>
          <t>Rye bread, 800g</t>
        </is>
      </c>
      <c r="C16" s="7" t="inlineStr">
        <is>
          <t>Bramblecote</t>
        </is>
      </c>
      <c r="D16" s="7" t="inlineStr">
        <is>
          <t>Bread</t>
        </is>
      </c>
      <c r="E16" s="7" t="inlineStr">
        <is>
          <t>FG5</t>
        </is>
      </c>
      <c r="F16" s="50">
        <f>Data!Y65</f>
        <v/>
      </c>
      <c r="G16" s="19">
        <f>Data!AA65</f>
        <v/>
      </c>
      <c r="H16" s="51">
        <f>Data!M65</f>
        <v/>
      </c>
      <c r="I16" s="52">
        <f>Data!AF65/1000</f>
        <v/>
      </c>
      <c r="J16" s="52">
        <f>Data!AG65/1000</f>
        <v/>
      </c>
      <c r="K16" s="30">
        <f>IFERROR(I16/(I16+J16),0)</f>
        <v/>
      </c>
    </row>
    <row r="17">
      <c r="A17" s="16" t="inlineStr">
        <is>
          <t>5012345424200</t>
        </is>
      </c>
      <c r="B17" s="7" t="inlineStr">
        <is>
          <t>Spaghetti, 3kg</t>
        </is>
      </c>
      <c r="C17" s="7" t="inlineStr">
        <is>
          <t>Orvalis</t>
        </is>
      </c>
      <c r="D17" s="7" t="inlineStr">
        <is>
          <t>Pasta</t>
        </is>
      </c>
      <c r="E17" s="7" t="inlineStr">
        <is>
          <t>FG5</t>
        </is>
      </c>
      <c r="F17" s="50">
        <f>Data!Y95</f>
        <v/>
      </c>
      <c r="G17" s="19">
        <f>Data!AA95</f>
        <v/>
      </c>
      <c r="H17" s="51">
        <f>Data!M95</f>
        <v/>
      </c>
      <c r="I17" s="52">
        <f>Data!AF95/1000</f>
        <v/>
      </c>
      <c r="J17" s="52">
        <f>Data!AG95/1000</f>
        <v/>
      </c>
      <c r="K17" s="30">
        <f>IFERROR(I17/(I17+J17),0)</f>
        <v/>
      </c>
    </row>
    <row r="18">
      <c r="A18" s="16" t="inlineStr">
        <is>
          <t>4012345403626</t>
        </is>
      </c>
      <c r="B18" s="7" t="inlineStr">
        <is>
          <t>Farfalle, 1kg</t>
        </is>
      </c>
      <c r="C18" s="7" t="inlineStr">
        <is>
          <t>Harbour Market</t>
        </is>
      </c>
      <c r="D18" s="7" t="inlineStr">
        <is>
          <t>Pasta</t>
        </is>
      </c>
      <c r="E18" s="7" t="inlineStr">
        <is>
          <t>FG5</t>
        </is>
      </c>
      <c r="F18" s="50">
        <f>Data!Y112</f>
        <v/>
      </c>
      <c r="G18" s="19">
        <f>Data!AA112</f>
        <v/>
      </c>
      <c r="H18" s="51">
        <f>Data!M112</f>
        <v/>
      </c>
      <c r="I18" s="52">
        <f>Data!AF112/1000</f>
        <v/>
      </c>
      <c r="J18" s="52">
        <f>Data!AG112/1000</f>
        <v/>
      </c>
      <c r="K18" s="30">
        <f>IFERROR(I18/(I18+J18),0)</f>
        <v/>
      </c>
    </row>
    <row r="19">
      <c r="A19" s="16" t="inlineStr">
        <is>
          <t>8712345869571</t>
        </is>
      </c>
      <c r="B19" s="7" t="inlineStr">
        <is>
          <t>Couscous, 1kg</t>
        </is>
      </c>
      <c r="C19" s="7" t="inlineStr">
        <is>
          <t>Harbour Market</t>
        </is>
      </c>
      <c r="D19" s="7" t="inlineStr">
        <is>
          <t>Rice &amp; Grains</t>
        </is>
      </c>
      <c r="E19" s="7" t="inlineStr">
        <is>
          <t>FG5</t>
        </is>
      </c>
      <c r="F19" s="50">
        <f>Data!Y55</f>
        <v/>
      </c>
      <c r="G19" s="19">
        <f>Data!AA55</f>
        <v/>
      </c>
      <c r="H19" s="51">
        <f>Data!M55</f>
        <v/>
      </c>
      <c r="I19" s="52">
        <f>Data!AF55/1000</f>
        <v/>
      </c>
      <c r="J19" s="52">
        <f>Data!AG55/1000</f>
        <v/>
      </c>
      <c r="K19" s="30">
        <f>IFERROR(I19/(I19+J19),0)</f>
        <v/>
      </c>
    </row>
    <row r="20">
      <c r="A20" s="16" t="inlineStr">
        <is>
          <t>3012345736930</t>
        </is>
      </c>
      <c r="B20" s="7" t="inlineStr">
        <is>
          <t>Linguine, 3kg</t>
        </is>
      </c>
      <c r="C20" s="7" t="inlineStr">
        <is>
          <t>Harbour Market</t>
        </is>
      </c>
      <c r="D20" s="7" t="inlineStr">
        <is>
          <t>Pasta</t>
        </is>
      </c>
      <c r="E20" s="7" t="inlineStr">
        <is>
          <t>FG5</t>
        </is>
      </c>
      <c r="F20" s="50">
        <f>Data!Y131</f>
        <v/>
      </c>
      <c r="G20" s="19">
        <f>Data!AA131</f>
        <v/>
      </c>
      <c r="H20" s="51">
        <f>Data!M131</f>
        <v/>
      </c>
      <c r="I20" s="52">
        <f>Data!AF131/1000</f>
        <v/>
      </c>
      <c r="J20" s="52">
        <f>Data!AG131/1000</f>
        <v/>
      </c>
      <c r="K20" s="30">
        <f>IFERROR(I20/(I20+J20),0)</f>
        <v/>
      </c>
    </row>
    <row r="21">
      <c r="A21" s="16" t="inlineStr">
        <is>
          <t>5012345466804</t>
        </is>
      </c>
      <c r="B21" s="7" t="inlineStr">
        <is>
          <t>Porridge oats, 2kg</t>
        </is>
      </c>
      <c r="C21" s="7" t="inlineStr">
        <is>
          <t>Orvalis</t>
        </is>
      </c>
      <c r="D21" s="7" t="inlineStr">
        <is>
          <t>Rice &amp; Grains</t>
        </is>
      </c>
      <c r="E21" s="7" t="inlineStr">
        <is>
          <t>FG5</t>
        </is>
      </c>
      <c r="F21" s="50">
        <f>Data!Y105</f>
        <v/>
      </c>
      <c r="G21" s="19">
        <f>Data!AA105</f>
        <v/>
      </c>
      <c r="H21" s="51">
        <f>Data!M105</f>
        <v/>
      </c>
      <c r="I21" s="52">
        <f>Data!AF105/1000</f>
        <v/>
      </c>
      <c r="J21" s="52">
        <f>Data!AG105/1000</f>
        <v/>
      </c>
      <c r="K21" s="30">
        <f>IFERROR(I21/(I21+J21),0)</f>
        <v/>
      </c>
    </row>
    <row r="22">
      <c r="A22" s="16" t="inlineStr">
        <is>
          <t>3012345972864</t>
        </is>
      </c>
      <c r="B22" s="7" t="inlineStr">
        <is>
          <t>Plain tortilla wraps, 6pk 360g</t>
        </is>
      </c>
      <c r="C22" s="7" t="inlineStr">
        <is>
          <t>Bramblecote</t>
        </is>
      </c>
      <c r="D22" s="7" t="inlineStr">
        <is>
          <t>Bread</t>
        </is>
      </c>
      <c r="E22" s="7" t="inlineStr">
        <is>
          <t>FG5</t>
        </is>
      </c>
      <c r="F22" s="50">
        <f>Data!Y85</f>
        <v/>
      </c>
      <c r="G22" s="19">
        <f>Data!AA85</f>
        <v/>
      </c>
      <c r="H22" s="51">
        <f>Data!M85</f>
        <v/>
      </c>
      <c r="I22" s="52">
        <f>Data!AF85/1000</f>
        <v/>
      </c>
      <c r="J22" s="52">
        <f>Data!AG85/1000</f>
        <v/>
      </c>
      <c r="K22" s="30">
        <f>IFERROR(I22/(I22+J22),0)</f>
        <v/>
      </c>
    </row>
    <row r="23">
      <c r="A23" s="16" t="inlineStr">
        <is>
          <t>8712345968526</t>
        </is>
      </c>
      <c r="B23" s="7" t="inlineStr">
        <is>
          <t>White bloomer, 800g</t>
        </is>
      </c>
      <c r="C23" s="7" t="inlineStr">
        <is>
          <t>Bramblecote</t>
        </is>
      </c>
      <c r="D23" s="7" t="inlineStr">
        <is>
          <t>Bread</t>
        </is>
      </c>
      <c r="E23" s="7" t="inlineStr">
        <is>
          <t>FG5</t>
        </is>
      </c>
      <c r="F23" s="50">
        <f>Data!Y88</f>
        <v/>
      </c>
      <c r="G23" s="19">
        <f>Data!AA88</f>
        <v/>
      </c>
      <c r="H23" s="51">
        <f>Data!M88</f>
        <v/>
      </c>
      <c r="I23" s="52">
        <f>Data!AF88/1000</f>
        <v/>
      </c>
      <c r="J23" s="52">
        <f>Data!AG88/1000</f>
        <v/>
      </c>
      <c r="K23" s="30">
        <f>IFERROR(I23/(I23+J23),0)</f>
        <v/>
      </c>
    </row>
    <row r="24">
      <c r="A24" s="16" t="inlineStr">
        <is>
          <t>8712345935467</t>
        </is>
      </c>
      <c r="B24" s="7" t="inlineStr">
        <is>
          <t>Brown basmati rice, 1kg</t>
        </is>
      </c>
      <c r="C24" s="7" t="inlineStr">
        <is>
          <t>Harbour Market</t>
        </is>
      </c>
      <c r="D24" s="7" t="inlineStr">
        <is>
          <t>Rice &amp; Grains</t>
        </is>
      </c>
      <c r="E24" s="7" t="inlineStr">
        <is>
          <t>FG5</t>
        </is>
      </c>
      <c r="F24" s="50">
        <f>Data!Y92</f>
        <v/>
      </c>
      <c r="G24" s="19">
        <f>Data!AA92</f>
        <v/>
      </c>
      <c r="H24" s="51">
        <f>Data!M92</f>
        <v/>
      </c>
      <c r="I24" s="52">
        <f>Data!AF92/1000</f>
        <v/>
      </c>
      <c r="J24" s="52">
        <f>Data!AG92/1000</f>
        <v/>
      </c>
      <c r="K24" s="30">
        <f>IFERROR(I24/(I24+J24),0)</f>
        <v/>
      </c>
    </row>
    <row r="25">
      <c r="A25" s="16" t="inlineStr">
        <is>
          <t>8712345536688</t>
        </is>
      </c>
      <c r="B25" s="7" t="inlineStr">
        <is>
          <t>Unsweetened soya drink, 6x1l</t>
        </is>
      </c>
      <c r="C25" s="7" t="inlineStr">
        <is>
          <t>Solvane</t>
        </is>
      </c>
      <c r="D25" s="7" t="inlineStr">
        <is>
          <t>Plant Drinks</t>
        </is>
      </c>
      <c r="E25" s="7" t="inlineStr">
        <is>
          <t>FG2</t>
        </is>
      </c>
      <c r="F25" s="50">
        <f>Data!Y27</f>
        <v/>
      </c>
      <c r="G25" s="19">
        <f>Data!AA27</f>
        <v/>
      </c>
      <c r="H25" s="51">
        <f>Data!M27</f>
        <v/>
      </c>
      <c r="I25" s="52">
        <f>Data!AF27/1000</f>
        <v/>
      </c>
      <c r="J25" s="52">
        <f>Data!AG27/1000</f>
        <v/>
      </c>
      <c r="K25" s="30">
        <f>IFERROR(I25/(I25+J25),0)</f>
        <v/>
      </c>
    </row>
    <row r="26">
      <c r="A26" s="16" t="inlineStr">
        <is>
          <t>4012345351552</t>
        </is>
      </c>
      <c r="B26" s="7" t="inlineStr">
        <is>
          <t>Fusilli, 3kg</t>
        </is>
      </c>
      <c r="C26" s="7" t="inlineStr">
        <is>
          <t>Harbour Market</t>
        </is>
      </c>
      <c r="D26" s="7" t="inlineStr">
        <is>
          <t>Pasta</t>
        </is>
      </c>
      <c r="E26" s="7" t="inlineStr">
        <is>
          <t>FG5</t>
        </is>
      </c>
      <c r="F26" s="50">
        <f>Data!Y176</f>
        <v/>
      </c>
      <c r="G26" s="19">
        <f>Data!AA176</f>
        <v/>
      </c>
      <c r="H26" s="51">
        <f>Data!M176</f>
        <v/>
      </c>
      <c r="I26" s="52">
        <f>Data!AF176/1000</f>
        <v/>
      </c>
      <c r="J26" s="52">
        <f>Data!AG176/1000</f>
        <v/>
      </c>
      <c r="K26" s="30">
        <f>IFERROR(I26/(I26+J26),0)</f>
        <v/>
      </c>
    </row>
    <row r="27">
      <c r="A27" s="16" t="inlineStr">
        <is>
          <t>0012345230677</t>
        </is>
      </c>
      <c r="B27" s="7" t="inlineStr">
        <is>
          <t>White pitta bread, 6pk 360g</t>
        </is>
      </c>
      <c r="C27" s="7" t="inlineStr">
        <is>
          <t>Bramblecote</t>
        </is>
      </c>
      <c r="D27" s="7" t="inlineStr">
        <is>
          <t>Bread</t>
        </is>
      </c>
      <c r="E27" s="7" t="inlineStr">
        <is>
          <t>FG5</t>
        </is>
      </c>
      <c r="F27" s="50">
        <f>Data!Y129</f>
        <v/>
      </c>
      <c r="G27" s="19">
        <f>Data!AA129</f>
        <v/>
      </c>
      <c r="H27" s="51">
        <f>Data!M129</f>
        <v/>
      </c>
      <c r="I27" s="52">
        <f>Data!AF129/1000</f>
        <v/>
      </c>
      <c r="J27" s="52">
        <f>Data!AG129/1000</f>
        <v/>
      </c>
      <c r="K27" s="30">
        <f>IFERROR(I27/(I27+J27),0)</f>
        <v/>
      </c>
    </row>
    <row r="28">
      <c r="A28" s="16" t="inlineStr">
        <is>
          <t>3012345869447</t>
        </is>
      </c>
      <c r="B28" s="7" t="inlineStr">
        <is>
          <t>Fruit &amp; nut muesli, 500g</t>
        </is>
      </c>
      <c r="C28" s="7" t="inlineStr">
        <is>
          <t>Orvalis</t>
        </is>
      </c>
      <c r="D28" s="7" t="inlineStr">
        <is>
          <t>Cereals</t>
        </is>
      </c>
      <c r="E28" s="7" t="inlineStr">
        <is>
          <t>FG5</t>
        </is>
      </c>
      <c r="F28" s="50">
        <f>Data!Y133</f>
        <v/>
      </c>
      <c r="G28" s="19">
        <f>Data!AA133</f>
        <v/>
      </c>
      <c r="H28" s="51">
        <f>Data!M133</f>
        <v/>
      </c>
      <c r="I28" s="52">
        <f>Data!AF133/1000</f>
        <v/>
      </c>
      <c r="J28" s="52">
        <f>Data!AG133/1000</f>
        <v/>
      </c>
      <c r="K28" s="30">
        <f>IFERROR(I28/(I28+J28),0)</f>
        <v/>
      </c>
    </row>
    <row r="29">
      <c r="A29" s="16" t="inlineStr">
        <is>
          <t>5012345277363</t>
        </is>
      </c>
      <c r="B29" s="7" t="inlineStr">
        <is>
          <t>Long-grain rice, 2kg</t>
        </is>
      </c>
      <c r="C29" s="7" t="inlineStr">
        <is>
          <t>Harbour Market</t>
        </is>
      </c>
      <c r="D29" s="7" t="inlineStr">
        <is>
          <t>Rice &amp; Grains</t>
        </is>
      </c>
      <c r="E29" s="7" t="inlineStr">
        <is>
          <t>FG5</t>
        </is>
      </c>
      <c r="F29" s="50">
        <f>Data!Y96</f>
        <v/>
      </c>
      <c r="G29" s="19">
        <f>Data!AA96</f>
        <v/>
      </c>
      <c r="H29" s="51">
        <f>Data!M96</f>
        <v/>
      </c>
      <c r="I29" s="52">
        <f>Data!AF96/1000</f>
        <v/>
      </c>
      <c r="J29" s="52">
        <f>Data!AG96/1000</f>
        <v/>
      </c>
      <c r="K29" s="30">
        <f>IFERROR(I29/(I29+J29),0)</f>
        <v/>
      </c>
    </row>
    <row r="30">
      <c r="A30" s="16" t="inlineStr">
        <is>
          <t>4012345330366</t>
        </is>
      </c>
      <c r="B30" s="7" t="inlineStr">
        <is>
          <t>Baguette, 800g</t>
        </is>
      </c>
      <c r="C30" s="7" t="inlineStr">
        <is>
          <t>Bramblecote</t>
        </is>
      </c>
      <c r="D30" s="7" t="inlineStr">
        <is>
          <t>Bread</t>
        </is>
      </c>
      <c r="E30" s="7" t="inlineStr">
        <is>
          <t>FG5</t>
        </is>
      </c>
      <c r="F30" s="50">
        <f>Data!Y128</f>
        <v/>
      </c>
      <c r="G30" s="19">
        <f>Data!AA128</f>
        <v/>
      </c>
      <c r="H30" s="51">
        <f>Data!M128</f>
        <v/>
      </c>
      <c r="I30" s="52">
        <f>Data!AF128/1000</f>
        <v/>
      </c>
      <c r="J30" s="52">
        <f>Data!AG128/1000</f>
        <v/>
      </c>
      <c r="K30" s="30">
        <f>IFERROR(I30/(I30+J30),0)</f>
        <v/>
      </c>
    </row>
    <row r="31">
      <c r="A31" s="16" t="inlineStr">
        <is>
          <t>8712345559885</t>
        </is>
      </c>
      <c r="B31" s="7" t="inlineStr">
        <is>
          <t>Tomato &amp; basil pasta sauce, 4x400g</t>
        </is>
      </c>
      <c r="C31" s="7" t="inlineStr">
        <is>
          <t>Castelna</t>
        </is>
      </c>
      <c r="D31" s="7" t="inlineStr">
        <is>
          <t>Canned Vegetables</t>
        </is>
      </c>
      <c r="E31" s="7" t="inlineStr">
        <is>
          <t>FG4</t>
        </is>
      </c>
      <c r="F31" s="50">
        <f>Data!Y14</f>
        <v/>
      </c>
      <c r="G31" s="19">
        <f>Data!AA14</f>
        <v/>
      </c>
      <c r="H31" s="51">
        <f>Data!M14</f>
        <v/>
      </c>
      <c r="I31" s="52">
        <f>Data!AF14/1000</f>
        <v/>
      </c>
      <c r="J31" s="52">
        <f>Data!AG14/1000</f>
        <v/>
      </c>
      <c r="K31" s="30">
        <f>IFERROR(I31/(I31+J31),0)</f>
        <v/>
      </c>
    </row>
    <row r="32">
      <c r="A32" s="16" t="inlineStr">
        <is>
          <t>8712345699499</t>
        </is>
      </c>
      <c r="B32" s="7" t="inlineStr">
        <is>
          <t>Seeded batch loaf, 800g</t>
        </is>
      </c>
      <c r="C32" s="7" t="inlineStr">
        <is>
          <t>Harbour Market</t>
        </is>
      </c>
      <c r="D32" s="7" t="inlineStr">
        <is>
          <t>Bread</t>
        </is>
      </c>
      <c r="E32" s="7" t="inlineStr">
        <is>
          <t>FG5</t>
        </is>
      </c>
      <c r="F32" s="50">
        <f>Data!Y177</f>
        <v/>
      </c>
      <c r="G32" s="19">
        <f>Data!AA177</f>
        <v/>
      </c>
      <c r="H32" s="51">
        <f>Data!M177</f>
        <v/>
      </c>
      <c r="I32" s="52">
        <f>Data!AF177/1000</f>
        <v/>
      </c>
      <c r="J32" s="52">
        <f>Data!AG177/1000</f>
        <v/>
      </c>
      <c r="K32" s="30">
        <f>IFERROR(I32/(I32+J32),0)</f>
        <v/>
      </c>
    </row>
    <row r="33">
      <c r="A33" s="16" t="inlineStr">
        <is>
          <t>4012345903157</t>
        </is>
      </c>
      <c r="B33" s="7" t="inlineStr">
        <is>
          <t>Baby potatoes, 2.5kg</t>
        </is>
      </c>
      <c r="C33" s="7" t="inlineStr">
        <is>
          <t>Harbour Market</t>
        </is>
      </c>
      <c r="D33" s="7" t="inlineStr">
        <is>
          <t>Potatoes</t>
        </is>
      </c>
      <c r="E33" s="7" t="inlineStr">
        <is>
          <t>FG6</t>
        </is>
      </c>
      <c r="F33" s="50">
        <f>Data!Y20</f>
        <v/>
      </c>
      <c r="G33" s="19">
        <f>Data!AA20</f>
        <v/>
      </c>
      <c r="H33" s="51">
        <f>Data!M20</f>
        <v/>
      </c>
      <c r="I33" s="52">
        <f>Data!AF20/1000</f>
        <v/>
      </c>
      <c r="J33" s="52">
        <f>Data!AG20/1000</f>
        <v/>
      </c>
      <c r="K33" s="30">
        <f>IFERROR(I33/(I33+J33),0)</f>
        <v/>
      </c>
    </row>
    <row r="34">
      <c r="A34" s="16" t="inlineStr">
        <is>
          <t>8712345471293</t>
        </is>
      </c>
      <c r="B34" s="7" t="inlineStr">
        <is>
          <t>Wholewheat penne, 1kg</t>
        </is>
      </c>
      <c r="C34" s="7" t="inlineStr">
        <is>
          <t>Harbour Market</t>
        </is>
      </c>
      <c r="D34" s="7" t="inlineStr">
        <is>
          <t>Pasta</t>
        </is>
      </c>
      <c r="E34" s="7" t="inlineStr">
        <is>
          <t>FG5</t>
        </is>
      </c>
      <c r="F34" s="50">
        <f>Data!Y245</f>
        <v/>
      </c>
      <c r="G34" s="19">
        <f>Data!AA245</f>
        <v/>
      </c>
      <c r="H34" s="51">
        <f>Data!M245</f>
        <v/>
      </c>
      <c r="I34" s="52">
        <f>Data!AF245/1000</f>
        <v/>
      </c>
      <c r="J34" s="52">
        <f>Data!AG245/1000</f>
        <v/>
      </c>
      <c r="K34" s="30">
        <f>IFERROR(I34/(I34+J34),0)</f>
        <v/>
      </c>
    </row>
    <row r="35">
      <c r="A35" s="16" t="inlineStr">
        <is>
          <t>3012345121088</t>
        </is>
      </c>
      <c r="B35" s="7" t="inlineStr">
        <is>
          <t>White pitta bread, 800g</t>
        </is>
      </c>
      <c r="C35" s="7" t="inlineStr">
        <is>
          <t>Harbour Market</t>
        </is>
      </c>
      <c r="D35" s="7" t="inlineStr">
        <is>
          <t>Bread</t>
        </is>
      </c>
      <c r="E35" s="7" t="inlineStr">
        <is>
          <t>FG5</t>
        </is>
      </c>
      <c r="F35" s="50">
        <f>Data!Y156</f>
        <v/>
      </c>
      <c r="G35" s="19">
        <f>Data!AA156</f>
        <v/>
      </c>
      <c r="H35" s="51">
        <f>Data!M156</f>
        <v/>
      </c>
      <c r="I35" s="52">
        <f>Data!AF156/1000</f>
        <v/>
      </c>
      <c r="J35" s="52">
        <f>Data!AG156/1000</f>
        <v/>
      </c>
      <c r="K35" s="30">
        <f>IFERROR(I35/(I35+J35),0)</f>
        <v/>
      </c>
    </row>
    <row r="36">
      <c r="A36" s="16" t="inlineStr">
        <is>
          <t>0012345375217</t>
        </is>
      </c>
      <c r="B36" s="7" t="inlineStr">
        <is>
          <t>Classic houmous, 200g</t>
        </is>
      </c>
      <c r="C36" s="7" t="inlineStr">
        <is>
          <t>Solvane</t>
        </is>
      </c>
      <c r="D36" s="7" t="inlineStr">
        <is>
          <t>Dips</t>
        </is>
      </c>
      <c r="E36" s="7" t="inlineStr">
        <is>
          <t>FG1</t>
        </is>
      </c>
      <c r="F36" s="50">
        <f>Data!Y117</f>
        <v/>
      </c>
      <c r="G36" s="19">
        <f>Data!AA117</f>
        <v/>
      </c>
      <c r="H36" s="51">
        <f>Data!M117</f>
        <v/>
      </c>
      <c r="I36" s="52">
        <f>Data!AF117/1000</f>
        <v/>
      </c>
      <c r="J36" s="52">
        <f>Data!AG117/1000</f>
        <v/>
      </c>
      <c r="K36" s="30">
        <f>IFERROR(I36/(I36+J36),0)</f>
        <v/>
      </c>
    </row>
    <row r="37">
      <c r="A37" s="16" t="inlineStr">
        <is>
          <t>3012345771986</t>
        </is>
      </c>
      <c r="B37" s="7" t="inlineStr">
        <is>
          <t>Red kidney beans in water, 4x400g</t>
        </is>
      </c>
      <c r="C37" s="7" t="inlineStr">
        <is>
          <t>Harbour Market</t>
        </is>
      </c>
      <c r="D37" s="7" t="inlineStr">
        <is>
          <t>Pulses</t>
        </is>
      </c>
      <c r="E37" s="7" t="inlineStr">
        <is>
          <t>FG1</t>
        </is>
      </c>
      <c r="F37" s="50">
        <f>Data!Y118</f>
        <v/>
      </c>
      <c r="G37" s="19">
        <f>Data!AA118</f>
        <v/>
      </c>
      <c r="H37" s="51">
        <f>Data!M118</f>
        <v/>
      </c>
      <c r="I37" s="52">
        <f>Data!AF118/1000</f>
        <v/>
      </c>
      <c r="J37" s="52">
        <f>Data!AG118/1000</f>
        <v/>
      </c>
      <c r="K37" s="30">
        <f>IFERROR(I37/(I37+J37),0)</f>
        <v/>
      </c>
    </row>
    <row r="38">
      <c r="A38" s="16" t="inlineStr">
        <is>
          <t>5012345707839</t>
        </is>
      </c>
      <c r="B38" s="7" t="inlineStr">
        <is>
          <t>Garlic bulbs, 1kg</t>
        </is>
      </c>
      <c r="C38" s="7" t="inlineStr">
        <is>
          <t>Harbour Market</t>
        </is>
      </c>
      <c r="D38" s="7" t="inlineStr">
        <is>
          <t>Vegetables</t>
        </is>
      </c>
      <c r="E38" s="7" t="inlineStr">
        <is>
          <t>FG4</t>
        </is>
      </c>
      <c r="F38" s="50">
        <f>Data!Y109</f>
        <v/>
      </c>
      <c r="G38" s="19">
        <f>Data!AA109</f>
        <v/>
      </c>
      <c r="H38" s="51">
        <f>Data!M109</f>
        <v/>
      </c>
      <c r="I38" s="52">
        <f>Data!AF109/1000</f>
        <v/>
      </c>
      <c r="J38" s="52">
        <f>Data!AG109/1000</f>
        <v/>
      </c>
      <c r="K38" s="30">
        <f>IFERROR(I38/(I38+J38),0)</f>
        <v/>
      </c>
    </row>
    <row r="39">
      <c r="A39" s="16" t="inlineStr">
        <is>
          <t>8712345691684</t>
        </is>
      </c>
      <c r="B39" s="7" t="inlineStr">
        <is>
          <t>Basmati rice, 1kg</t>
        </is>
      </c>
      <c r="C39" s="7" t="inlineStr">
        <is>
          <t>Orvalis</t>
        </is>
      </c>
      <c r="D39" s="7" t="inlineStr">
        <is>
          <t>Rice &amp; Grains</t>
        </is>
      </c>
      <c r="E39" s="7" t="inlineStr">
        <is>
          <t>FG5</t>
        </is>
      </c>
      <c r="F39" s="50">
        <f>Data!Y139</f>
        <v/>
      </c>
      <c r="G39" s="19">
        <f>Data!AA139</f>
        <v/>
      </c>
      <c r="H39" s="51">
        <f>Data!M139</f>
        <v/>
      </c>
      <c r="I39" s="52">
        <f>Data!AF139/1000</f>
        <v/>
      </c>
      <c r="J39" s="52">
        <f>Data!AG139/1000</f>
        <v/>
      </c>
      <c r="K39" s="30">
        <f>IFERROR(I39/(I39+J39),0)</f>
        <v/>
      </c>
    </row>
    <row r="40">
      <c r="A40" s="16" t="inlineStr">
        <is>
          <t>8712345578220</t>
        </is>
      </c>
      <c r="B40" s="7" t="inlineStr">
        <is>
          <t>Crunchy peanut butter, 1kg</t>
        </is>
      </c>
      <c r="C40" s="7" t="inlineStr">
        <is>
          <t>Penrock</t>
        </is>
      </c>
      <c r="D40" s="7" t="inlineStr">
        <is>
          <t>Spreads</t>
        </is>
      </c>
      <c r="E40" s="7" t="inlineStr">
        <is>
          <t>FG1</t>
        </is>
      </c>
      <c r="F40" s="50">
        <f>Data!Y413</f>
        <v/>
      </c>
      <c r="G40" s="19">
        <f>Data!AA413</f>
        <v/>
      </c>
      <c r="H40" s="51">
        <f>Data!M413</f>
        <v/>
      </c>
      <c r="I40" s="52">
        <f>Data!AF413/1000</f>
        <v/>
      </c>
      <c r="J40" s="52">
        <f>Data!AG413/1000</f>
        <v/>
      </c>
      <c r="K40" s="30">
        <f>IFERROR(I40/(I40+J40),0)</f>
        <v/>
      </c>
    </row>
    <row r="41">
      <c r="A41" s="16" t="inlineStr">
        <is>
          <t>3012345459082</t>
        </is>
      </c>
      <c r="B41" s="7" t="inlineStr">
        <is>
          <t>Butter beans in water, 410g</t>
        </is>
      </c>
      <c r="C41" s="7" t="inlineStr">
        <is>
          <t>Orvalis</t>
        </is>
      </c>
      <c r="D41" s="7" t="inlineStr">
        <is>
          <t>Pulses</t>
        </is>
      </c>
      <c r="E41" s="7" t="inlineStr">
        <is>
          <t>FG1</t>
        </is>
      </c>
      <c r="F41" s="50">
        <f>Data!Y152</f>
        <v/>
      </c>
      <c r="G41" s="19">
        <f>Data!AA152</f>
        <v/>
      </c>
      <c r="H41" s="51">
        <f>Data!M152</f>
        <v/>
      </c>
      <c r="I41" s="52">
        <f>Data!AF152/1000</f>
        <v/>
      </c>
      <c r="J41" s="52">
        <f>Data!AG152/1000</f>
        <v/>
      </c>
      <c r="K41" s="30">
        <f>IFERROR(I41/(I41+J41),0)</f>
        <v/>
      </c>
    </row>
    <row r="42">
      <c r="A42" s="16" t="inlineStr">
        <is>
          <t>3012345724210</t>
        </is>
      </c>
      <c r="B42" s="7" t="inlineStr">
        <is>
          <t>Walnut halves, 500g</t>
        </is>
      </c>
      <c r="C42" s="7" t="inlineStr">
        <is>
          <t>Penrock</t>
        </is>
      </c>
      <c r="D42" s="7" t="inlineStr">
        <is>
          <t>Nuts &amp; Seeds</t>
        </is>
      </c>
      <c r="E42" s="7" t="inlineStr">
        <is>
          <t>FG1</t>
        </is>
      </c>
      <c r="F42" s="50">
        <f>Data!Y315</f>
        <v/>
      </c>
      <c r="G42" s="19">
        <f>Data!AA315</f>
        <v/>
      </c>
      <c r="H42" s="51">
        <f>Data!M315</f>
        <v/>
      </c>
      <c r="I42" s="52">
        <f>Data!AF315/1000</f>
        <v/>
      </c>
      <c r="J42" s="52">
        <f>Data!AG315/1000</f>
        <v/>
      </c>
      <c r="K42" s="30">
        <f>IFERROR(I42/(I42+J42),0)</f>
        <v/>
      </c>
    </row>
    <row r="43">
      <c r="A43" s="16" t="inlineStr">
        <is>
          <t>4012345507997</t>
        </is>
      </c>
      <c r="B43" s="7" t="inlineStr">
        <is>
          <t>Pumpkin seeds, 300g</t>
        </is>
      </c>
      <c r="C43" s="7" t="inlineStr">
        <is>
          <t>Harbour Market</t>
        </is>
      </c>
      <c r="D43" s="7" t="inlineStr">
        <is>
          <t>Nuts &amp; Seeds</t>
        </is>
      </c>
      <c r="E43" s="7" t="inlineStr">
        <is>
          <t>FG1</t>
        </is>
      </c>
      <c r="F43" s="50">
        <f>Data!Y477</f>
        <v/>
      </c>
      <c r="G43" s="19">
        <f>Data!AA477</f>
        <v/>
      </c>
      <c r="H43" s="51">
        <f>Data!M477</f>
        <v/>
      </c>
      <c r="I43" s="52">
        <f>Data!AF477/1000</f>
        <v/>
      </c>
      <c r="J43" s="52">
        <f>Data!AG477/1000</f>
        <v/>
      </c>
      <c r="K43" s="30">
        <f>IFERROR(I43/(I43+J43),0)</f>
        <v/>
      </c>
    </row>
    <row r="44">
      <c r="A44" s="16" t="inlineStr">
        <is>
          <t>5012345111018</t>
        </is>
      </c>
      <c r="B44" s="7" t="inlineStr">
        <is>
          <t>Yellow split peas, 1kg</t>
        </is>
      </c>
      <c r="C44" s="7" t="inlineStr">
        <is>
          <t>Harbour Market</t>
        </is>
      </c>
      <c r="D44" s="7" t="inlineStr">
        <is>
          <t>Pulses</t>
        </is>
      </c>
      <c r="E44" s="7" t="inlineStr">
        <is>
          <t>FG1</t>
        </is>
      </c>
      <c r="F44" s="50">
        <f>Data!Y404</f>
        <v/>
      </c>
      <c r="G44" s="19">
        <f>Data!AA404</f>
        <v/>
      </c>
      <c r="H44" s="51">
        <f>Data!M404</f>
        <v/>
      </c>
      <c r="I44" s="52">
        <f>Data!AF404/1000</f>
        <v/>
      </c>
      <c r="J44" s="52">
        <f>Data!AG404/1000</f>
        <v/>
      </c>
      <c r="K44" s="30">
        <f>IFERROR(I44/(I44+J44),0)</f>
        <v/>
      </c>
    </row>
    <row r="45">
      <c r="A45" s="16" t="inlineStr">
        <is>
          <t>8712345176662</t>
        </is>
      </c>
      <c r="B45" s="7" t="inlineStr">
        <is>
          <t>Bran flakes, 1kg</t>
        </is>
      </c>
      <c r="C45" s="7" t="inlineStr">
        <is>
          <t>Harbour Market</t>
        </is>
      </c>
      <c r="D45" s="7" t="inlineStr">
        <is>
          <t>Cereals</t>
        </is>
      </c>
      <c r="E45" s="7" t="inlineStr">
        <is>
          <t>FG5</t>
        </is>
      </c>
      <c r="F45" s="50">
        <f>Data!Y247</f>
        <v/>
      </c>
      <c r="G45" s="19">
        <f>Data!AA247</f>
        <v/>
      </c>
      <c r="H45" s="51">
        <f>Data!M247</f>
        <v/>
      </c>
      <c r="I45" s="52">
        <f>Data!AF247/1000</f>
        <v/>
      </c>
      <c r="J45" s="52">
        <f>Data!AG247/1000</f>
        <v/>
      </c>
      <c r="K45" s="30">
        <f>IFERROR(I45/(I45+J45),0)</f>
        <v/>
      </c>
    </row>
    <row r="46">
      <c r="A46" s="16" t="inlineStr">
        <is>
          <t>4012345051568</t>
        </is>
      </c>
      <c r="B46" s="7" t="inlineStr">
        <is>
          <t>Fusilli, 1kg</t>
        </is>
      </c>
      <c r="C46" s="7" t="inlineStr">
        <is>
          <t>Harbour Market</t>
        </is>
      </c>
      <c r="D46" s="7" t="inlineStr">
        <is>
          <t>Pasta</t>
        </is>
      </c>
      <c r="E46" s="7" t="inlineStr">
        <is>
          <t>FG5</t>
        </is>
      </c>
      <c r="F46" s="50">
        <f>Data!Y290</f>
        <v/>
      </c>
      <c r="G46" s="19">
        <f>Data!AA290</f>
        <v/>
      </c>
      <c r="H46" s="51">
        <f>Data!M290</f>
        <v/>
      </c>
      <c r="I46" s="52">
        <f>Data!AF290/1000</f>
        <v/>
      </c>
      <c r="J46" s="52">
        <f>Data!AG290/1000</f>
        <v/>
      </c>
      <c r="K46" s="30">
        <f>IFERROR(I46/(I46+J46),0)</f>
        <v/>
      </c>
    </row>
    <row r="47">
      <c r="A47" s="16" t="inlineStr">
        <is>
          <t>8712345043087</t>
        </is>
      </c>
      <c r="B47" s="7" t="inlineStr">
        <is>
          <t>Thick sliced white bread, 250g</t>
        </is>
      </c>
      <c r="C47" s="7" t="inlineStr">
        <is>
          <t>Harbour Market</t>
        </is>
      </c>
      <c r="D47" s="7" t="inlineStr">
        <is>
          <t>Bread</t>
        </is>
      </c>
      <c r="E47" s="7" t="inlineStr">
        <is>
          <t>FG5</t>
        </is>
      </c>
      <c r="F47" s="50">
        <f>Data!Y205</f>
        <v/>
      </c>
      <c r="G47" s="19">
        <f>Data!AA205</f>
        <v/>
      </c>
      <c r="H47" s="51">
        <f>Data!M205</f>
        <v/>
      </c>
      <c r="I47" s="52">
        <f>Data!AF205/1000</f>
        <v/>
      </c>
      <c r="J47" s="52">
        <f>Data!AG205/1000</f>
        <v/>
      </c>
      <c r="K47" s="30">
        <f>IFERROR(I47/(I47+J47),0)</f>
        <v/>
      </c>
    </row>
    <row r="48">
      <c r="A48" s="16" t="inlineStr">
        <is>
          <t>4012345389791</t>
        </is>
      </c>
      <c r="B48" s="7" t="inlineStr">
        <is>
          <t>Thick sliced white bread, 6pk 360g</t>
        </is>
      </c>
      <c r="C48" s="7" t="inlineStr">
        <is>
          <t>Bramblecote</t>
        </is>
      </c>
      <c r="D48" s="7" t="inlineStr">
        <is>
          <t>Bread</t>
        </is>
      </c>
      <c r="E48" s="7" t="inlineStr">
        <is>
          <t>FG5</t>
        </is>
      </c>
      <c r="F48" s="50">
        <f>Data!Y227</f>
        <v/>
      </c>
      <c r="G48" s="19">
        <f>Data!AA227</f>
        <v/>
      </c>
      <c r="H48" s="51">
        <f>Data!M227</f>
        <v/>
      </c>
      <c r="I48" s="52">
        <f>Data!AF227/1000</f>
        <v/>
      </c>
      <c r="J48" s="52">
        <f>Data!AG227/1000</f>
        <v/>
      </c>
      <c r="K48" s="30">
        <f>IFERROR(I48/(I48+J48),0)</f>
        <v/>
      </c>
    </row>
    <row r="49">
      <c r="A49" s="16" t="inlineStr">
        <is>
          <t>5012345545509</t>
        </is>
      </c>
      <c r="B49" s="7" t="inlineStr">
        <is>
          <t>White bloomer, 6pk 360g</t>
        </is>
      </c>
      <c r="C49" s="7" t="inlineStr">
        <is>
          <t>Harbour Market</t>
        </is>
      </c>
      <c r="D49" s="7" t="inlineStr">
        <is>
          <t>Bread</t>
        </is>
      </c>
      <c r="E49" s="7" t="inlineStr">
        <is>
          <t>FG5</t>
        </is>
      </c>
      <c r="F49" s="50">
        <f>Data!Y231</f>
        <v/>
      </c>
      <c r="G49" s="19">
        <f>Data!AA231</f>
        <v/>
      </c>
      <c r="H49" s="51">
        <f>Data!M231</f>
        <v/>
      </c>
      <c r="I49" s="52">
        <f>Data!AF231/1000</f>
        <v/>
      </c>
      <c r="J49" s="52">
        <f>Data!AG231/1000</f>
        <v/>
      </c>
      <c r="K49" s="30">
        <f>IFERROR(I49/(I49+J49),0)</f>
        <v/>
      </c>
    </row>
    <row r="50">
      <c r="A50" s="16" t="inlineStr">
        <is>
          <t>3012345156455</t>
        </is>
      </c>
      <c r="B50" s="7" t="inlineStr">
        <is>
          <t>Chickpeas in water, 4x400g</t>
        </is>
      </c>
      <c r="C50" s="7" t="inlineStr">
        <is>
          <t>Harbour Market</t>
        </is>
      </c>
      <c r="D50" s="7" t="inlineStr">
        <is>
          <t>Pulses</t>
        </is>
      </c>
      <c r="E50" s="7" t="inlineStr">
        <is>
          <t>FG1</t>
        </is>
      </c>
      <c r="F50" s="50">
        <f>Data!Y201</f>
        <v/>
      </c>
      <c r="G50" s="19">
        <f>Data!AA201</f>
        <v/>
      </c>
      <c r="H50" s="51">
        <f>Data!M201</f>
        <v/>
      </c>
      <c r="I50" s="52">
        <f>Data!AF201/1000</f>
        <v/>
      </c>
      <c r="J50" s="52">
        <f>Data!AG201/1000</f>
        <v/>
      </c>
      <c r="K50" s="30">
        <f>IFERROR(I50/(I50+J50),0)</f>
        <v/>
      </c>
    </row>
    <row r="51">
      <c r="A51" s="16" t="inlineStr">
        <is>
          <t>4012345350432</t>
        </is>
      </c>
      <c r="B51" s="7" t="inlineStr">
        <is>
          <t>Corn flakes, 1kg</t>
        </is>
      </c>
      <c r="C51" s="7" t="inlineStr">
        <is>
          <t>Harbour Market</t>
        </is>
      </c>
      <c r="D51" s="7" t="inlineStr">
        <is>
          <t>Cereals</t>
        </is>
      </c>
      <c r="E51" s="7" t="inlineStr">
        <is>
          <t>FG5</t>
        </is>
      </c>
      <c r="F51" s="50">
        <f>Data!Y204</f>
        <v/>
      </c>
      <c r="G51" s="19">
        <f>Data!AA204</f>
        <v/>
      </c>
      <c r="H51" s="51">
        <f>Data!M204</f>
        <v/>
      </c>
      <c r="I51" s="52">
        <f>Data!AF204/1000</f>
        <v/>
      </c>
      <c r="J51" s="52">
        <f>Data!AG204/1000</f>
        <v/>
      </c>
      <c r="K51" s="30">
        <f>IFERROR(I51/(I51+J51),0)</f>
        <v/>
      </c>
    </row>
    <row r="52">
      <c r="A52" s="16" t="inlineStr">
        <is>
          <t>8712345281137</t>
        </is>
      </c>
      <c r="B52" s="7" t="inlineStr">
        <is>
          <t>White potatoes, 2.5kg</t>
        </is>
      </c>
      <c r="C52" s="7" t="inlineStr">
        <is>
          <t>Harbour Market</t>
        </is>
      </c>
      <c r="D52" s="7" t="inlineStr">
        <is>
          <t>Potatoes</t>
        </is>
      </c>
      <c r="E52" s="7" t="inlineStr">
        <is>
          <t>FG6</t>
        </is>
      </c>
      <c r="F52" s="50">
        <f>Data!Y39</f>
        <v/>
      </c>
      <c r="G52" s="19">
        <f>Data!AA39</f>
        <v/>
      </c>
      <c r="H52" s="51">
        <f>Data!M39</f>
        <v/>
      </c>
      <c r="I52" s="52">
        <f>Data!AF39/1000</f>
        <v/>
      </c>
      <c r="J52" s="52">
        <f>Data!AG39/1000</f>
        <v/>
      </c>
      <c r="K52" s="30">
        <f>IFERROR(I52/(I52+J52),0)</f>
        <v/>
      </c>
    </row>
    <row r="53">
      <c r="A53" s="16" t="inlineStr">
        <is>
          <t>8712345052614</t>
        </is>
      </c>
      <c r="B53" s="7" t="inlineStr">
        <is>
          <t>Plain tortilla wraps, 800g</t>
        </is>
      </c>
      <c r="C53" s="7" t="inlineStr">
        <is>
          <t>Bramblecote</t>
        </is>
      </c>
      <c r="D53" s="7" t="inlineStr">
        <is>
          <t>Bread</t>
        </is>
      </c>
      <c r="E53" s="7" t="inlineStr">
        <is>
          <t>FG5</t>
        </is>
      </c>
      <c r="F53" s="50">
        <f>Data!Y244</f>
        <v/>
      </c>
      <c r="G53" s="19">
        <f>Data!AA244</f>
        <v/>
      </c>
      <c r="H53" s="51">
        <f>Data!M244</f>
        <v/>
      </c>
      <c r="I53" s="52">
        <f>Data!AF244/1000</f>
        <v/>
      </c>
      <c r="J53" s="52">
        <f>Data!AG244/1000</f>
        <v/>
      </c>
      <c r="K53" s="30">
        <f>IFERROR(I53/(I53+J53),0)</f>
        <v/>
      </c>
    </row>
    <row r="54">
      <c r="A54" s="16" t="inlineStr">
        <is>
          <t>4012345416879</t>
        </is>
      </c>
      <c r="B54" s="7" t="inlineStr">
        <is>
          <t>Ginger nut biscuits, 300g</t>
        </is>
      </c>
      <c r="C54" s="7" t="inlineStr">
        <is>
          <t>Harbour Market</t>
        </is>
      </c>
      <c r="D54" s="7" t="inlineStr">
        <is>
          <t>Biscuits</t>
        </is>
      </c>
      <c r="E54" s="7" t="inlineStr">
        <is>
          <t>FG7</t>
        </is>
      </c>
      <c r="F54" s="50">
        <f>Data!Y221</f>
        <v/>
      </c>
      <c r="G54" s="19">
        <f>Data!AA221</f>
        <v/>
      </c>
      <c r="H54" s="51">
        <f>Data!M221</f>
        <v/>
      </c>
      <c r="I54" s="52">
        <f>Data!AF221/1000</f>
        <v/>
      </c>
      <c r="J54" s="52">
        <f>Data!AG221/1000</f>
        <v/>
      </c>
      <c r="K54" s="30">
        <f>IFERROR(I54/(I54+J54),0)</f>
        <v/>
      </c>
    </row>
    <row r="55">
      <c r="A55" s="16" t="inlineStr">
        <is>
          <t>8712345847418</t>
        </is>
      </c>
      <c r="B55" s="7" t="inlineStr">
        <is>
          <t>Plant-based sausages, 400g</t>
        </is>
      </c>
      <c r="C55" s="7" t="inlineStr">
        <is>
          <t>Solvane</t>
        </is>
      </c>
      <c r="D55" s="7" t="inlineStr">
        <is>
          <t>Meat Alternatives</t>
        </is>
      </c>
      <c r="E55" s="7" t="inlineStr">
        <is>
          <t>FG1</t>
        </is>
      </c>
      <c r="F55" s="50">
        <f>Data!Y409</f>
        <v/>
      </c>
      <c r="G55" s="19">
        <f>Data!AA409</f>
        <v/>
      </c>
      <c r="H55" s="51">
        <f>Data!M409</f>
        <v/>
      </c>
      <c r="I55" s="52">
        <f>Data!AF409/1000</f>
        <v/>
      </c>
      <c r="J55" s="52">
        <f>Data!AG409/1000</f>
        <v/>
      </c>
      <c r="K55" s="30">
        <f>IFERROR(I55/(I55+J55),0)</f>
        <v/>
      </c>
    </row>
    <row r="56">
      <c r="A56" s="16" t="inlineStr">
        <is>
          <t>5012345245973</t>
        </is>
      </c>
      <c r="B56" s="7" t="inlineStr">
        <is>
          <t>Arborio rice, 1kg</t>
        </is>
      </c>
      <c r="C56" s="7" t="inlineStr">
        <is>
          <t>Orvalis</t>
        </is>
      </c>
      <c r="D56" s="7" t="inlineStr">
        <is>
          <t>Rice &amp; Grains</t>
        </is>
      </c>
      <c r="E56" s="7" t="inlineStr">
        <is>
          <t>FG5</t>
        </is>
      </c>
      <c r="F56" s="50">
        <f>Data!Y225</f>
        <v/>
      </c>
      <c r="G56" s="19">
        <f>Data!AA225</f>
        <v/>
      </c>
      <c r="H56" s="51">
        <f>Data!M225</f>
        <v/>
      </c>
      <c r="I56" s="52">
        <f>Data!AF225/1000</f>
        <v/>
      </c>
      <c r="J56" s="52">
        <f>Data!AG225/1000</f>
        <v/>
      </c>
      <c r="K56" s="30">
        <f>IFERROR(I56/(I56+J56),0)</f>
        <v/>
      </c>
    </row>
    <row r="57">
      <c r="A57" s="16" t="inlineStr">
        <is>
          <t>8712345792923</t>
        </is>
      </c>
      <c r="B57" s="7" t="inlineStr">
        <is>
          <t>Ginger nut biscuits, 300g</t>
        </is>
      </c>
      <c r="C57" s="7" t="inlineStr">
        <is>
          <t>Bramblecote</t>
        </is>
      </c>
      <c r="D57" s="7" t="inlineStr">
        <is>
          <t>Biscuits</t>
        </is>
      </c>
      <c r="E57" s="7" t="inlineStr">
        <is>
          <t>FG7</t>
        </is>
      </c>
      <c r="F57" s="50">
        <f>Data!Y214</f>
        <v/>
      </c>
      <c r="G57" s="19">
        <f>Data!AA214</f>
        <v/>
      </c>
      <c r="H57" s="51">
        <f>Data!M214</f>
        <v/>
      </c>
      <c r="I57" s="52">
        <f>Data!AF214/1000</f>
        <v/>
      </c>
      <c r="J57" s="52">
        <f>Data!AG214/1000</f>
        <v/>
      </c>
      <c r="K57" s="30">
        <f>IFERROR(I57/(I57+J57),0)</f>
        <v/>
      </c>
    </row>
    <row r="58">
      <c r="A58" s="16" t="inlineStr">
        <is>
          <t>8712345506728</t>
        </is>
      </c>
      <c r="B58" s="7" t="inlineStr">
        <is>
          <t>Yellow split peas, 1kg</t>
        </is>
      </c>
      <c r="C58" s="7" t="inlineStr">
        <is>
          <t>Orvalis</t>
        </is>
      </c>
      <c r="D58" s="7" t="inlineStr">
        <is>
          <t>Pulses</t>
        </is>
      </c>
      <c r="E58" s="7" t="inlineStr">
        <is>
          <t>FG1</t>
        </is>
      </c>
      <c r="F58" s="50">
        <f>Data!Y500</f>
        <v/>
      </c>
      <c r="G58" s="19">
        <f>Data!AA500</f>
        <v/>
      </c>
      <c r="H58" s="51">
        <f>Data!M500</f>
        <v/>
      </c>
      <c r="I58" s="52">
        <f>Data!AF500/1000</f>
        <v/>
      </c>
      <c r="J58" s="52">
        <f>Data!AG500/1000</f>
        <v/>
      </c>
      <c r="K58" s="30">
        <f>IFERROR(I58/(I58+J58),0)</f>
        <v/>
      </c>
    </row>
    <row r="61" ht="25.5" customHeight="1">
      <c r="A61" s="53" t="inlineStr">
        <is>
          <t xml:space="preserve">  The 50 most animal</t>
        </is>
      </c>
    </row>
    <row r="63" ht="30" customHeight="1">
      <c r="A63" s="12" t="inlineStr">
        <is>
          <t>EAN 13</t>
        </is>
      </c>
      <c r="B63" s="13" t="inlineStr">
        <is>
          <t>Product</t>
        </is>
      </c>
      <c r="C63" s="13" t="inlineStr">
        <is>
          <t>Brand</t>
        </is>
      </c>
      <c r="D63" s="13" t="inlineStr">
        <is>
          <t>Family</t>
        </is>
      </c>
      <c r="E63" s="13" t="inlineStr">
        <is>
          <t>Food group</t>
        </is>
      </c>
      <c r="F63" s="13" t="inlineStr">
        <is>
          <t>Unit weight (kg)</t>
        </is>
      </c>
      <c r="G63" s="13" t="inlineStr">
        <is>
          <t>Units sold</t>
        </is>
      </c>
      <c r="H63" s="13" t="inlineStr">
        <is>
          <t>Protein (g/100 g)</t>
        </is>
      </c>
      <c r="I63" s="13" t="inlineStr">
        <is>
          <t>Plant protein (t)</t>
        </is>
      </c>
      <c r="J63" s="13" t="inlineStr">
        <is>
          <t>Animal protein (t)</t>
        </is>
      </c>
      <c r="K63" s="13" t="inlineStr">
        <is>
          <t>Plant share (protein)</t>
        </is>
      </c>
    </row>
    <row r="64">
      <c r="A64" s="16" t="inlineStr">
        <is>
          <t>8712345836122</t>
        </is>
      </c>
      <c r="B64" s="7" t="inlineStr">
        <is>
          <t>Beef mince, 15% fat, 400g</t>
        </is>
      </c>
      <c r="C64" s="7" t="inlineStr">
        <is>
          <t>Harbour Market</t>
        </is>
      </c>
      <c r="D64" s="7" t="inlineStr">
        <is>
          <t>Beef</t>
        </is>
      </c>
      <c r="E64" s="7" t="inlineStr">
        <is>
          <t>FG1</t>
        </is>
      </c>
      <c r="F64" s="50">
        <f>Data!Y21</f>
        <v/>
      </c>
      <c r="G64" s="19">
        <f>Data!AA21</f>
        <v/>
      </c>
      <c r="H64" s="51">
        <f>Data!M21</f>
        <v/>
      </c>
      <c r="I64" s="52">
        <f>Data!AF21/1000</f>
        <v/>
      </c>
      <c r="J64" s="52">
        <f>Data!AG21/1000</f>
        <v/>
      </c>
      <c r="K64" s="30">
        <f>IFERROR(I64/(I64+J64),0)</f>
        <v/>
      </c>
    </row>
    <row r="65">
      <c r="A65" s="16" t="inlineStr">
        <is>
          <t>8712345576776</t>
        </is>
      </c>
      <c r="B65" s="7" t="inlineStr">
        <is>
          <t>Mild cheddar, 800g</t>
        </is>
      </c>
      <c r="C65" s="7" t="inlineStr">
        <is>
          <t>Alderwick</t>
        </is>
      </c>
      <c r="D65" s="7" t="inlineStr">
        <is>
          <t>Hard Cheese</t>
        </is>
      </c>
      <c r="E65" s="7" t="inlineStr">
        <is>
          <t>FG2</t>
        </is>
      </c>
      <c r="F65" s="50">
        <f>Data!Y28</f>
        <v/>
      </c>
      <c r="G65" s="19">
        <f>Data!AA28</f>
        <v/>
      </c>
      <c r="H65" s="51">
        <f>Data!M28</f>
        <v/>
      </c>
      <c r="I65" s="52">
        <f>Data!AF28/1000</f>
        <v/>
      </c>
      <c r="J65" s="52">
        <f>Data!AG28/1000</f>
        <v/>
      </c>
      <c r="K65" s="30">
        <f>IFERROR(I65/(I65+J65),0)</f>
        <v/>
      </c>
    </row>
    <row r="66">
      <c r="A66" s="16" t="inlineStr">
        <is>
          <t>4012345039900</t>
        </is>
      </c>
      <c r="B66" s="7" t="inlineStr">
        <is>
          <t>Chicken mini fillets, 650g</t>
        </is>
      </c>
      <c r="C66" s="7" t="inlineStr">
        <is>
          <t>Harbour Market</t>
        </is>
      </c>
      <c r="D66" s="7" t="inlineStr">
        <is>
          <t>Poultry</t>
        </is>
      </c>
      <c r="E66" s="7" t="inlineStr">
        <is>
          <t>FG1</t>
        </is>
      </c>
      <c r="F66" s="50">
        <f>Data!Y45</f>
        <v/>
      </c>
      <c r="G66" s="19">
        <f>Data!AA45</f>
        <v/>
      </c>
      <c r="H66" s="51">
        <f>Data!M45</f>
        <v/>
      </c>
      <c r="I66" s="52">
        <f>Data!AF45/1000</f>
        <v/>
      </c>
      <c r="J66" s="52">
        <f>Data!AG45/1000</f>
        <v/>
      </c>
      <c r="K66" s="30">
        <f>IFERROR(I66/(I66+J66),0)</f>
        <v/>
      </c>
    </row>
    <row r="67">
      <c r="A67" s="16" t="inlineStr">
        <is>
          <t>5012345249353</t>
        </is>
      </c>
      <c r="B67" s="7" t="inlineStr">
        <is>
          <t>Beef mince, 15% fat, 1kg</t>
        </is>
      </c>
      <c r="C67" s="7" t="inlineStr">
        <is>
          <t>Harbour Market</t>
        </is>
      </c>
      <c r="D67" s="7" t="inlineStr">
        <is>
          <t>Beef</t>
        </is>
      </c>
      <c r="E67" s="7" t="inlineStr">
        <is>
          <t>FG1</t>
        </is>
      </c>
      <c r="F67" s="50">
        <f>Data!Y29</f>
        <v/>
      </c>
      <c r="G67" s="19">
        <f>Data!AA29</f>
        <v/>
      </c>
      <c r="H67" s="51">
        <f>Data!M29</f>
        <v/>
      </c>
      <c r="I67" s="52">
        <f>Data!AF29/1000</f>
        <v/>
      </c>
      <c r="J67" s="52">
        <f>Data!AG29/1000</f>
        <v/>
      </c>
      <c r="K67" s="30">
        <f>IFERROR(I67/(I67+J67),0)</f>
        <v/>
      </c>
    </row>
    <row r="68">
      <c r="A68" s="16" t="inlineStr">
        <is>
          <t>8712345280499</t>
        </is>
      </c>
      <c r="B68" s="7" t="inlineStr">
        <is>
          <t>Mild cheddar, 400g</t>
        </is>
      </c>
      <c r="C68" s="7" t="inlineStr">
        <is>
          <t>Harbour Market</t>
        </is>
      </c>
      <c r="D68" s="7" t="inlineStr">
        <is>
          <t>Hard Cheese</t>
        </is>
      </c>
      <c r="E68" s="7" t="inlineStr">
        <is>
          <t>FG2</t>
        </is>
      </c>
      <c r="F68" s="50">
        <f>Data!Y99</f>
        <v/>
      </c>
      <c r="G68" s="19">
        <f>Data!AA99</f>
        <v/>
      </c>
      <c r="H68" s="51">
        <f>Data!M99</f>
        <v/>
      </c>
      <c r="I68" s="52">
        <f>Data!AF99/1000</f>
        <v/>
      </c>
      <c r="J68" s="52">
        <f>Data!AG99/1000</f>
        <v/>
      </c>
      <c r="K68" s="30">
        <f>IFERROR(I68/(I68+J68),0)</f>
        <v/>
      </c>
    </row>
    <row r="69">
      <c r="A69" s="16" t="inlineStr">
        <is>
          <t>8712345077167</t>
        </is>
      </c>
      <c r="B69" s="7" t="inlineStr">
        <is>
          <t>Beef mince, 5% fat, 750g</t>
        </is>
      </c>
      <c r="C69" s="7" t="inlineStr">
        <is>
          <t>Harbour Market</t>
        </is>
      </c>
      <c r="D69" s="7" t="inlineStr">
        <is>
          <t>Beef</t>
        </is>
      </c>
      <c r="E69" s="7" t="inlineStr">
        <is>
          <t>FG1</t>
        </is>
      </c>
      <c r="F69" s="50">
        <f>Data!Y89</f>
        <v/>
      </c>
      <c r="G69" s="19">
        <f>Data!AA89</f>
        <v/>
      </c>
      <c r="H69" s="51">
        <f>Data!M89</f>
        <v/>
      </c>
      <c r="I69" s="52">
        <f>Data!AF89/1000</f>
        <v/>
      </c>
      <c r="J69" s="52">
        <f>Data!AG89/1000</f>
        <v/>
      </c>
      <c r="K69" s="30">
        <f>IFERROR(I69/(I69+J69),0)</f>
        <v/>
      </c>
    </row>
    <row r="70">
      <c r="A70" s="16" t="inlineStr">
        <is>
          <t>3012345110730</t>
        </is>
      </c>
      <c r="B70" s="7" t="inlineStr">
        <is>
          <t>Chicken wings, 1kg</t>
        </is>
      </c>
      <c r="C70" s="7" t="inlineStr">
        <is>
          <t>Harbour Market</t>
        </is>
      </c>
      <c r="D70" s="7" t="inlineStr">
        <is>
          <t>Poultry</t>
        </is>
      </c>
      <c r="E70" s="7" t="inlineStr">
        <is>
          <t>FG1</t>
        </is>
      </c>
      <c r="F70" s="50">
        <f>Data!Y66</f>
        <v/>
      </c>
      <c r="G70" s="19">
        <f>Data!AA66</f>
        <v/>
      </c>
      <c r="H70" s="51">
        <f>Data!M66</f>
        <v/>
      </c>
      <c r="I70" s="52">
        <f>Data!AF66/1000</f>
        <v/>
      </c>
      <c r="J70" s="52">
        <f>Data!AG66/1000</f>
        <v/>
      </c>
      <c r="K70" s="30">
        <f>IFERROR(I70/(I70+J70),0)</f>
        <v/>
      </c>
    </row>
    <row r="71">
      <c r="A71" s="16" t="inlineStr">
        <is>
          <t>3012345809092</t>
        </is>
      </c>
      <c r="B71" s="7" t="inlineStr">
        <is>
          <t>Chicken thighs, 650g</t>
        </is>
      </c>
      <c r="C71" s="7" t="inlineStr">
        <is>
          <t>Tarrow Farm</t>
        </is>
      </c>
      <c r="D71" s="7" t="inlineStr">
        <is>
          <t>Poultry</t>
        </is>
      </c>
      <c r="E71" s="7" t="inlineStr">
        <is>
          <t>FG1</t>
        </is>
      </c>
      <c r="F71" s="50">
        <f>Data!Y78</f>
        <v/>
      </c>
      <c r="G71" s="19">
        <f>Data!AA78</f>
        <v/>
      </c>
      <c r="H71" s="51">
        <f>Data!M78</f>
        <v/>
      </c>
      <c r="I71" s="52">
        <f>Data!AF78/1000</f>
        <v/>
      </c>
      <c r="J71" s="52">
        <f>Data!AG78/1000</f>
        <v/>
      </c>
      <c r="K71" s="30">
        <f>IFERROR(I71/(I71+J71),0)</f>
        <v/>
      </c>
    </row>
    <row r="72">
      <c r="A72" s="16" t="inlineStr">
        <is>
          <t>5012345682891</t>
        </is>
      </c>
      <c r="B72" s="7" t="inlineStr">
        <is>
          <t>Skimmed milk, 4pt 2.27l</t>
        </is>
      </c>
      <c r="C72" s="7" t="inlineStr">
        <is>
          <t>Harbour Market</t>
        </is>
      </c>
      <c r="D72" s="7" t="inlineStr">
        <is>
          <t>Milk</t>
        </is>
      </c>
      <c r="E72" s="7" t="inlineStr">
        <is>
          <t>FG2</t>
        </is>
      </c>
      <c r="F72" s="50">
        <f>Data!Y8</f>
        <v/>
      </c>
      <c r="G72" s="19">
        <f>Data!AA8</f>
        <v/>
      </c>
      <c r="H72" s="51">
        <f>Data!M8</f>
        <v/>
      </c>
      <c r="I72" s="52">
        <f>Data!AF8/1000</f>
        <v/>
      </c>
      <c r="J72" s="52">
        <f>Data!AG8/1000</f>
        <v/>
      </c>
      <c r="K72" s="30">
        <f>IFERROR(I72/(I72+J72),0)</f>
        <v/>
      </c>
    </row>
    <row r="73">
      <c r="A73" s="16" t="inlineStr">
        <is>
          <t>3012345822404</t>
        </is>
      </c>
      <c r="B73" s="7" t="inlineStr">
        <is>
          <t>Natural skyr, 500g</t>
        </is>
      </c>
      <c r="C73" s="7" t="inlineStr">
        <is>
          <t>Fjelda</t>
        </is>
      </c>
      <c r="D73" s="7" t="inlineStr">
        <is>
          <t>Yoghurt</t>
        </is>
      </c>
      <c r="E73" s="7" t="inlineStr">
        <is>
          <t>FG2</t>
        </is>
      </c>
      <c r="F73" s="50">
        <f>Data!Y37</f>
        <v/>
      </c>
      <c r="G73" s="19">
        <f>Data!AA37</f>
        <v/>
      </c>
      <c r="H73" s="51">
        <f>Data!M37</f>
        <v/>
      </c>
      <c r="I73" s="52">
        <f>Data!AF37/1000</f>
        <v/>
      </c>
      <c r="J73" s="52">
        <f>Data!AG37/1000</f>
        <v/>
      </c>
      <c r="K73" s="30">
        <f>IFERROR(I73/(I73+J73),0)</f>
        <v/>
      </c>
    </row>
    <row r="74">
      <c r="A74" s="16" t="inlineStr">
        <is>
          <t>4012345263091</t>
        </is>
      </c>
      <c r="B74" s="7" t="inlineStr">
        <is>
          <t>Chicken drumsticks, 500g</t>
        </is>
      </c>
      <c r="C74" s="7" t="inlineStr">
        <is>
          <t>Tarrow Farm</t>
        </is>
      </c>
      <c r="D74" s="7" t="inlineStr">
        <is>
          <t>Poultry</t>
        </is>
      </c>
      <c r="E74" s="7" t="inlineStr">
        <is>
          <t>FG1</t>
        </is>
      </c>
      <c r="F74" s="50">
        <f>Data!Y86</f>
        <v/>
      </c>
      <c r="G74" s="19">
        <f>Data!AA86</f>
        <v/>
      </c>
      <c r="H74" s="51">
        <f>Data!M86</f>
        <v/>
      </c>
      <c r="I74" s="52">
        <f>Data!AF86/1000</f>
        <v/>
      </c>
      <c r="J74" s="52">
        <f>Data!AG86/1000</f>
        <v/>
      </c>
      <c r="K74" s="30">
        <f>IFERROR(I74/(I74+J74),0)</f>
        <v/>
      </c>
    </row>
    <row r="75">
      <c r="A75" s="16" t="inlineStr">
        <is>
          <t>4012345803983</t>
        </is>
      </c>
      <c r="B75" s="7" t="inlineStr">
        <is>
          <t>Whole chicken, 300g</t>
        </is>
      </c>
      <c r="C75" s="7" t="inlineStr">
        <is>
          <t>Tarrow Farm</t>
        </is>
      </c>
      <c r="D75" s="7" t="inlineStr">
        <is>
          <t>Poultry</t>
        </is>
      </c>
      <c r="E75" s="7" t="inlineStr">
        <is>
          <t>FG1</t>
        </is>
      </c>
      <c r="F75" s="50">
        <f>Data!Y110</f>
        <v/>
      </c>
      <c r="G75" s="19">
        <f>Data!AA110</f>
        <v/>
      </c>
      <c r="H75" s="51">
        <f>Data!M110</f>
        <v/>
      </c>
      <c r="I75" s="52">
        <f>Data!AF110/1000</f>
        <v/>
      </c>
      <c r="J75" s="52">
        <f>Data!AG110/1000</f>
        <v/>
      </c>
      <c r="K75" s="30">
        <f>IFERROR(I75/(I75+J75),0)</f>
        <v/>
      </c>
    </row>
    <row r="76">
      <c r="A76" s="16" t="inlineStr">
        <is>
          <t>8712345606770</t>
        </is>
      </c>
      <c r="B76" s="7" t="inlineStr">
        <is>
          <t>Chicken breast fillets, 300g</t>
        </is>
      </c>
      <c r="C76" s="7" t="inlineStr">
        <is>
          <t>Tarrow Farm</t>
        </is>
      </c>
      <c r="D76" s="7" t="inlineStr">
        <is>
          <t>Poultry</t>
        </is>
      </c>
      <c r="E76" s="7" t="inlineStr">
        <is>
          <t>FG1</t>
        </is>
      </c>
      <c r="F76" s="50">
        <f>Data!Y130</f>
        <v/>
      </c>
      <c r="G76" s="19">
        <f>Data!AA130</f>
        <v/>
      </c>
      <c r="H76" s="51">
        <f>Data!M130</f>
        <v/>
      </c>
      <c r="I76" s="52">
        <f>Data!AF130/1000</f>
        <v/>
      </c>
      <c r="J76" s="52">
        <f>Data!AG130/1000</f>
        <v/>
      </c>
      <c r="K76" s="30">
        <f>IFERROR(I76/(I76+J76),0)</f>
        <v/>
      </c>
    </row>
    <row r="77">
      <c r="A77" s="16" t="inlineStr">
        <is>
          <t>8712345104481</t>
        </is>
      </c>
      <c r="B77" s="7" t="inlineStr">
        <is>
          <t>Diced beef for stewing, 250g</t>
        </is>
      </c>
      <c r="C77" s="7" t="inlineStr">
        <is>
          <t>Tarrow Farm</t>
        </is>
      </c>
      <c r="D77" s="7" t="inlineStr">
        <is>
          <t>Beef</t>
        </is>
      </c>
      <c r="E77" s="7" t="inlineStr">
        <is>
          <t>FG1</t>
        </is>
      </c>
      <c r="F77" s="50">
        <f>Data!Y123</f>
        <v/>
      </c>
      <c r="G77" s="19">
        <f>Data!AA123</f>
        <v/>
      </c>
      <c r="H77" s="51">
        <f>Data!M123</f>
        <v/>
      </c>
      <c r="I77" s="52">
        <f>Data!AF123/1000</f>
        <v/>
      </c>
      <c r="J77" s="52">
        <f>Data!AG123/1000</f>
        <v/>
      </c>
      <c r="K77" s="30">
        <f>IFERROR(I77/(I77+J77),0)</f>
        <v/>
      </c>
    </row>
    <row r="78">
      <c r="A78" s="16" t="inlineStr">
        <is>
          <t>5012345403236</t>
        </is>
      </c>
      <c r="B78" s="7" t="inlineStr">
        <is>
          <t>Free-range eggs, 15pk</t>
        </is>
      </c>
      <c r="C78" s="7" t="inlineStr">
        <is>
          <t>Tarrow Farm</t>
        </is>
      </c>
      <c r="D78" s="7" t="inlineStr">
        <is>
          <t>Eggs</t>
        </is>
      </c>
      <c r="E78" s="7" t="inlineStr">
        <is>
          <t>FG1</t>
        </is>
      </c>
      <c r="F78" s="50">
        <f>Data!Y62</f>
        <v/>
      </c>
      <c r="G78" s="19">
        <f>Data!AA62</f>
        <v/>
      </c>
      <c r="H78" s="51">
        <f>Data!M62</f>
        <v/>
      </c>
      <c r="I78" s="52">
        <f>Data!AF62/1000</f>
        <v/>
      </c>
      <c r="J78" s="52">
        <f>Data!AG62/1000</f>
        <v/>
      </c>
      <c r="K78" s="30">
        <f>IFERROR(I78/(I78+J78),0)</f>
        <v/>
      </c>
    </row>
    <row r="79">
      <c r="A79" s="16" t="inlineStr">
        <is>
          <t>8712345206383</t>
        </is>
      </c>
      <c r="B79" s="7" t="inlineStr">
        <is>
          <t>Pork chipolatas, 454g</t>
        </is>
      </c>
      <c r="C79" s="7" t="inlineStr">
        <is>
          <t>Harbour Market</t>
        </is>
      </c>
      <c r="D79" s="7" t="inlineStr">
        <is>
          <t>Sausages &amp; Burgers</t>
        </is>
      </c>
      <c r="E79" s="7" t="inlineStr">
        <is>
          <t>FG1</t>
        </is>
      </c>
      <c r="F79" s="50">
        <f>Data!Y76</f>
        <v/>
      </c>
      <c r="G79" s="19">
        <f>Data!AA76</f>
        <v/>
      </c>
      <c r="H79" s="51">
        <f>Data!M76</f>
        <v/>
      </c>
      <c r="I79" s="52">
        <f>Data!AF76/1000</f>
        <v/>
      </c>
      <c r="J79" s="52">
        <f>Data!AG76/1000</f>
        <v/>
      </c>
      <c r="K79" s="30">
        <f>IFERROR(I79/(I79+J79),0)</f>
        <v/>
      </c>
    </row>
    <row r="80">
      <c r="A80" s="16" t="inlineStr">
        <is>
          <t>3012345548496</t>
        </is>
      </c>
      <c r="B80" s="7" t="inlineStr">
        <is>
          <t>Chicken breast fillets, 1.4kg</t>
        </is>
      </c>
      <c r="C80" s="7" t="inlineStr">
        <is>
          <t>Harbour Market</t>
        </is>
      </c>
      <c r="D80" s="7" t="inlineStr">
        <is>
          <t>Poultry</t>
        </is>
      </c>
      <c r="E80" s="7" t="inlineStr">
        <is>
          <t>FG1</t>
        </is>
      </c>
      <c r="F80" s="50">
        <f>Data!Y143</f>
        <v/>
      </c>
      <c r="G80" s="19">
        <f>Data!AA143</f>
        <v/>
      </c>
      <c r="H80" s="51">
        <f>Data!M143</f>
        <v/>
      </c>
      <c r="I80" s="52">
        <f>Data!AF143/1000</f>
        <v/>
      </c>
      <c r="J80" s="52">
        <f>Data!AG143/1000</f>
        <v/>
      </c>
      <c r="K80" s="30">
        <f>IFERROR(I80/(I80+J80),0)</f>
        <v/>
      </c>
    </row>
    <row r="81">
      <c r="A81" s="16" t="inlineStr">
        <is>
          <t>5012345048253</t>
        </is>
      </c>
      <c r="B81" s="7" t="inlineStr">
        <is>
          <t>Strawberry skyr, 6x125g</t>
        </is>
      </c>
      <c r="C81" s="7" t="inlineStr">
        <is>
          <t>Harbour Market</t>
        </is>
      </c>
      <c r="D81" s="7" t="inlineStr">
        <is>
          <t>Yoghurt</t>
        </is>
      </c>
      <c r="E81" s="7" t="inlineStr">
        <is>
          <t>FG2</t>
        </is>
      </c>
      <c r="F81" s="50">
        <f>Data!Y53</f>
        <v/>
      </c>
      <c r="G81" s="19">
        <f>Data!AA53</f>
        <v/>
      </c>
      <c r="H81" s="51">
        <f>Data!M53</f>
        <v/>
      </c>
      <c r="I81" s="52">
        <f>Data!AF53/1000</f>
        <v/>
      </c>
      <c r="J81" s="52">
        <f>Data!AG53/1000</f>
        <v/>
      </c>
      <c r="K81" s="30">
        <f>IFERROR(I81/(I81+J81),0)</f>
        <v/>
      </c>
    </row>
    <row r="82">
      <c r="A82" s="16" t="inlineStr">
        <is>
          <t>4012345770476</t>
        </is>
      </c>
      <c r="B82" s="7" t="inlineStr">
        <is>
          <t>Large eggs, 15pk</t>
        </is>
      </c>
      <c r="C82" s="7" t="inlineStr">
        <is>
          <t>Tarrow Farm</t>
        </is>
      </c>
      <c r="D82" s="7" t="inlineStr">
        <is>
          <t>Eggs</t>
        </is>
      </c>
      <c r="E82" s="7" t="inlineStr">
        <is>
          <t>FG1</t>
        </is>
      </c>
      <c r="F82" s="50">
        <f>Data!Y71</f>
        <v/>
      </c>
      <c r="G82" s="19">
        <f>Data!AA71</f>
        <v/>
      </c>
      <c r="H82" s="51">
        <f>Data!M71</f>
        <v/>
      </c>
      <c r="I82" s="52">
        <f>Data!AF71/1000</f>
        <v/>
      </c>
      <c r="J82" s="52">
        <f>Data!AG71/1000</f>
        <v/>
      </c>
      <c r="K82" s="30">
        <f>IFERROR(I82/(I82+J82),0)</f>
        <v/>
      </c>
    </row>
    <row r="83">
      <c r="A83" s="16" t="inlineStr">
        <is>
          <t>0712345523471</t>
        </is>
      </c>
      <c r="B83" s="7" t="inlineStr">
        <is>
          <t>Skinless salmon fillets, 2x140g</t>
        </is>
      </c>
      <c r="C83" s="7" t="inlineStr">
        <is>
          <t>Kestrel Bay</t>
        </is>
      </c>
      <c r="D83" s="7" t="inlineStr">
        <is>
          <t>Fresh Fish</t>
        </is>
      </c>
      <c r="E83" s="7" t="inlineStr">
        <is>
          <t>FG1</t>
        </is>
      </c>
      <c r="F83" s="50">
        <f>Data!Y150</f>
        <v/>
      </c>
      <c r="G83" s="19">
        <f>Data!AA150</f>
        <v/>
      </c>
      <c r="H83" s="51">
        <f>Data!M150</f>
        <v/>
      </c>
      <c r="I83" s="52">
        <f>Data!AF150/1000</f>
        <v/>
      </c>
      <c r="J83" s="52">
        <f>Data!AG150/1000</f>
        <v/>
      </c>
      <c r="K83" s="30">
        <f>IFERROR(I83/(I83+J83),0)</f>
        <v/>
      </c>
    </row>
    <row r="84">
      <c r="A84" s="16" t="inlineStr">
        <is>
          <t>3012345692403</t>
        </is>
      </c>
      <c r="B84" s="7" t="inlineStr">
        <is>
          <t>Sardines in olive oil, 3x145g</t>
        </is>
      </c>
      <c r="C84" s="7" t="inlineStr">
        <is>
          <t>Harbour Market</t>
        </is>
      </c>
      <c r="D84" s="7" t="inlineStr">
        <is>
          <t>Canned Fish</t>
        </is>
      </c>
      <c r="E84" s="7" t="inlineStr">
        <is>
          <t>FG1</t>
        </is>
      </c>
      <c r="F84" s="50">
        <f>Data!Y178</f>
        <v/>
      </c>
      <c r="G84" s="19">
        <f>Data!AA178</f>
        <v/>
      </c>
      <c r="H84" s="51">
        <f>Data!M178</f>
        <v/>
      </c>
      <c r="I84" s="52">
        <f>Data!AF178/1000</f>
        <v/>
      </c>
      <c r="J84" s="52">
        <f>Data!AG178/1000</f>
        <v/>
      </c>
      <c r="K84" s="30">
        <f>IFERROR(I84/(I84+J84),0)</f>
        <v/>
      </c>
    </row>
    <row r="85">
      <c r="A85" s="16" t="inlineStr">
        <is>
          <t>5012345419374</t>
        </is>
      </c>
      <c r="B85" s="7" t="inlineStr">
        <is>
          <t>Pork loin chops, 1kg</t>
        </is>
      </c>
      <c r="C85" s="7" t="inlineStr">
        <is>
          <t>Tarrow Farm</t>
        </is>
      </c>
      <c r="D85" s="7" t="inlineStr">
        <is>
          <t>Pork</t>
        </is>
      </c>
      <c r="E85" s="7" t="inlineStr">
        <is>
          <t>FG1</t>
        </is>
      </c>
      <c r="F85" s="50">
        <f>Data!Y145</f>
        <v/>
      </c>
      <c r="G85" s="19">
        <f>Data!AA145</f>
        <v/>
      </c>
      <c r="H85" s="51">
        <f>Data!M145</f>
        <v/>
      </c>
      <c r="I85" s="52">
        <f>Data!AF145/1000</f>
        <v/>
      </c>
      <c r="J85" s="52">
        <f>Data!AG145/1000</f>
        <v/>
      </c>
      <c r="K85" s="30">
        <f>IFERROR(I85/(I85+J85),0)</f>
        <v/>
      </c>
    </row>
    <row r="86">
      <c r="A86" s="16" t="inlineStr">
        <is>
          <t>3012345223812</t>
        </is>
      </c>
      <c r="B86" s="7" t="inlineStr">
        <is>
          <t>Pork shoulder joint, 1kg</t>
        </is>
      </c>
      <c r="C86" s="7" t="inlineStr">
        <is>
          <t>Harbour Market</t>
        </is>
      </c>
      <c r="D86" s="7" t="inlineStr">
        <is>
          <t>Pork</t>
        </is>
      </c>
      <c r="E86" s="7" t="inlineStr">
        <is>
          <t>FG1</t>
        </is>
      </c>
      <c r="F86" s="50">
        <f>Data!Y165</f>
        <v/>
      </c>
      <c r="G86" s="19">
        <f>Data!AA165</f>
        <v/>
      </c>
      <c r="H86" s="51">
        <f>Data!M165</f>
        <v/>
      </c>
      <c r="I86" s="52">
        <f>Data!AF165/1000</f>
        <v/>
      </c>
      <c r="J86" s="52">
        <f>Data!AG165/1000</f>
        <v/>
      </c>
      <c r="K86" s="30">
        <f>IFERROR(I86/(I86+J86),0)</f>
        <v/>
      </c>
    </row>
    <row r="87">
      <c r="A87" s="16" t="inlineStr">
        <is>
          <t>4012345555738</t>
        </is>
      </c>
      <c r="B87" s="7" t="inlineStr">
        <is>
          <t>Sea bass fillets, 240g</t>
        </is>
      </c>
      <c r="C87" s="7" t="inlineStr">
        <is>
          <t>Kestrel Bay</t>
        </is>
      </c>
      <c r="D87" s="7" t="inlineStr">
        <is>
          <t>Fresh Fish</t>
        </is>
      </c>
      <c r="E87" s="7" t="inlineStr">
        <is>
          <t>FG1</t>
        </is>
      </c>
      <c r="F87" s="50">
        <f>Data!Y158</f>
        <v/>
      </c>
      <c r="G87" s="19">
        <f>Data!AA158</f>
        <v/>
      </c>
      <c r="H87" s="51">
        <f>Data!M158</f>
        <v/>
      </c>
      <c r="I87" s="52">
        <f>Data!AF158/1000</f>
        <v/>
      </c>
      <c r="J87" s="52">
        <f>Data!AG158/1000</f>
        <v/>
      </c>
      <c r="K87" s="30">
        <f>IFERROR(I87/(I87+J87),0)</f>
        <v/>
      </c>
    </row>
    <row r="88">
      <c r="A88" s="16" t="inlineStr">
        <is>
          <t>4012345464030</t>
        </is>
      </c>
      <c r="B88" s="7" t="inlineStr">
        <is>
          <t>Pork mince, 4pk 600g</t>
        </is>
      </c>
      <c r="C88" s="7" t="inlineStr">
        <is>
          <t>Harbour Market</t>
        </is>
      </c>
      <c r="D88" s="7" t="inlineStr">
        <is>
          <t>Pork</t>
        </is>
      </c>
      <c r="E88" s="7" t="inlineStr">
        <is>
          <t>FG1</t>
        </is>
      </c>
      <c r="F88" s="50">
        <f>Data!Y173</f>
        <v/>
      </c>
      <c r="G88" s="19">
        <f>Data!AA173</f>
        <v/>
      </c>
      <c r="H88" s="51">
        <f>Data!M173</f>
        <v/>
      </c>
      <c r="I88" s="52">
        <f>Data!AF173/1000</f>
        <v/>
      </c>
      <c r="J88" s="52">
        <f>Data!AG173/1000</f>
        <v/>
      </c>
      <c r="K88" s="30">
        <f>IFERROR(I88/(I88+J88),0)</f>
        <v/>
      </c>
    </row>
    <row r="89">
      <c r="A89" s="16" t="inlineStr">
        <is>
          <t>8712345249090</t>
        </is>
      </c>
      <c r="B89" s="7" t="inlineStr">
        <is>
          <t>Whole milk, 4pt 2.27l</t>
        </is>
      </c>
      <c r="C89" s="7" t="inlineStr">
        <is>
          <t>Fjelda</t>
        </is>
      </c>
      <c r="D89" s="7" t="inlineStr">
        <is>
          <t>Milk</t>
        </is>
      </c>
      <c r="E89" s="7" t="inlineStr">
        <is>
          <t>FG2</t>
        </is>
      </c>
      <c r="F89" s="50">
        <f>Data!Y16</f>
        <v/>
      </c>
      <c r="G89" s="19">
        <f>Data!AA16</f>
        <v/>
      </c>
      <c r="H89" s="51">
        <f>Data!M16</f>
        <v/>
      </c>
      <c r="I89" s="52">
        <f>Data!AF16/1000</f>
        <v/>
      </c>
      <c r="J89" s="52">
        <f>Data!AG16/1000</f>
        <v/>
      </c>
      <c r="K89" s="30">
        <f>IFERROR(I89/(I89+J89),0)</f>
        <v/>
      </c>
    </row>
    <row r="90">
      <c r="A90" s="16" t="inlineStr">
        <is>
          <t>5012345090108</t>
        </is>
      </c>
      <c r="B90" s="7" t="inlineStr">
        <is>
          <t>Beef rump steak, 300g</t>
        </is>
      </c>
      <c r="C90" s="7" t="inlineStr">
        <is>
          <t>Tarrow Farm</t>
        </is>
      </c>
      <c r="D90" s="7" t="inlineStr">
        <is>
          <t>Beef</t>
        </is>
      </c>
      <c r="E90" s="7" t="inlineStr">
        <is>
          <t>FG1</t>
        </is>
      </c>
      <c r="F90" s="50">
        <f>Data!Y190</f>
        <v/>
      </c>
      <c r="G90" s="19">
        <f>Data!AA190</f>
        <v/>
      </c>
      <c r="H90" s="51">
        <f>Data!M190</f>
        <v/>
      </c>
      <c r="I90" s="52">
        <f>Data!AF190/1000</f>
        <v/>
      </c>
      <c r="J90" s="52">
        <f>Data!AG190/1000</f>
        <v/>
      </c>
      <c r="K90" s="30">
        <f>IFERROR(I90/(I90+J90),0)</f>
        <v/>
      </c>
    </row>
    <row r="91">
      <c r="A91" s="16" t="inlineStr">
        <is>
          <t>3012345149075</t>
        </is>
      </c>
      <c r="B91" s="7" t="inlineStr">
        <is>
          <t>Chicken thighs, 500g</t>
        </is>
      </c>
      <c r="C91" s="7" t="inlineStr">
        <is>
          <t>Harbour Market</t>
        </is>
      </c>
      <c r="D91" s="7" t="inlineStr">
        <is>
          <t>Poultry</t>
        </is>
      </c>
      <c r="E91" s="7" t="inlineStr">
        <is>
          <t>FG1</t>
        </is>
      </c>
      <c r="F91" s="50">
        <f>Data!Y182</f>
        <v/>
      </c>
      <c r="G91" s="19">
        <f>Data!AA182</f>
        <v/>
      </c>
      <c r="H91" s="51">
        <f>Data!M182</f>
        <v/>
      </c>
      <c r="I91" s="52">
        <f>Data!AF182/1000</f>
        <v/>
      </c>
      <c r="J91" s="52">
        <f>Data!AG182/1000</f>
        <v/>
      </c>
      <c r="K91" s="30">
        <f>IFERROR(I91/(I91+J91),0)</f>
        <v/>
      </c>
    </row>
    <row r="92">
      <c r="A92" s="16" t="inlineStr">
        <is>
          <t>4012345280975</t>
        </is>
      </c>
      <c r="B92" s="7" t="inlineStr">
        <is>
          <t>Honey-roast ham, 400g</t>
        </is>
      </c>
      <c r="C92" s="7" t="inlineStr">
        <is>
          <t>Harbour Market</t>
        </is>
      </c>
      <c r="D92" s="7" t="inlineStr">
        <is>
          <t>Cooked Meats</t>
        </is>
      </c>
      <c r="E92" s="7" t="inlineStr">
        <is>
          <t>FG1</t>
        </is>
      </c>
      <c r="F92" s="50">
        <f>Data!Y179</f>
        <v/>
      </c>
      <c r="G92" s="19">
        <f>Data!AA179</f>
        <v/>
      </c>
      <c r="H92" s="51">
        <f>Data!M179</f>
        <v/>
      </c>
      <c r="I92" s="52">
        <f>Data!AF179/1000</f>
        <v/>
      </c>
      <c r="J92" s="52">
        <f>Data!AG179/1000</f>
        <v/>
      </c>
      <c r="K92" s="30">
        <f>IFERROR(I92/(I92+J92),0)</f>
        <v/>
      </c>
    </row>
    <row r="93">
      <c r="A93" s="16" t="inlineStr">
        <is>
          <t>8712345077921</t>
        </is>
      </c>
      <c r="B93" s="7" t="inlineStr">
        <is>
          <t>Natural skyr, 4x125g</t>
        </is>
      </c>
      <c r="C93" s="7" t="inlineStr">
        <is>
          <t>Fjelda</t>
        </is>
      </c>
      <c r="D93" s="7" t="inlineStr">
        <is>
          <t>Yoghurt</t>
        </is>
      </c>
      <c r="E93" s="7" t="inlineStr">
        <is>
          <t>FG2</t>
        </is>
      </c>
      <c r="F93" s="50">
        <f>Data!Y100</f>
        <v/>
      </c>
      <c r="G93" s="19">
        <f>Data!AA100</f>
        <v/>
      </c>
      <c r="H93" s="51">
        <f>Data!M100</f>
        <v/>
      </c>
      <c r="I93" s="52">
        <f>Data!AF100/1000</f>
        <v/>
      </c>
      <c r="J93" s="52">
        <f>Data!AG100/1000</f>
        <v/>
      </c>
      <c r="K93" s="30">
        <f>IFERROR(I93/(I93+J93),0)</f>
        <v/>
      </c>
    </row>
    <row r="94">
      <c r="A94" s="16" t="inlineStr">
        <is>
          <t>4012345234831</t>
        </is>
      </c>
      <c r="B94" s="7" t="inlineStr">
        <is>
          <t>Chicken drumsticks, 650g</t>
        </is>
      </c>
      <c r="C94" s="7" t="inlineStr">
        <is>
          <t>Harbour Market</t>
        </is>
      </c>
      <c r="D94" s="7" t="inlineStr">
        <is>
          <t>Poultry</t>
        </is>
      </c>
      <c r="E94" s="7" t="inlineStr">
        <is>
          <t>FG1</t>
        </is>
      </c>
      <c r="F94" s="50">
        <f>Data!Y198</f>
        <v/>
      </c>
      <c r="G94" s="19">
        <f>Data!AA198</f>
        <v/>
      </c>
      <c r="H94" s="51">
        <f>Data!M198</f>
        <v/>
      </c>
      <c r="I94" s="52">
        <f>Data!AF198/1000</f>
        <v/>
      </c>
      <c r="J94" s="52">
        <f>Data!AG198/1000</f>
        <v/>
      </c>
      <c r="K94" s="30">
        <f>IFERROR(I94/(I94+J94),0)</f>
        <v/>
      </c>
    </row>
    <row r="95">
      <c r="A95" s="16" t="inlineStr">
        <is>
          <t>5012345518169</t>
        </is>
      </c>
      <c r="B95" s="7" t="inlineStr">
        <is>
          <t>Beef mince, 20% fat, 400g</t>
        </is>
      </c>
      <c r="C95" s="7" t="inlineStr">
        <is>
          <t>Harbour Market</t>
        </is>
      </c>
      <c r="D95" s="7" t="inlineStr">
        <is>
          <t>Beef</t>
        </is>
      </c>
      <c r="E95" s="7" t="inlineStr">
        <is>
          <t>FG1</t>
        </is>
      </c>
      <c r="F95" s="50">
        <f>Data!Y183</f>
        <v/>
      </c>
      <c r="G95" s="19">
        <f>Data!AA183</f>
        <v/>
      </c>
      <c r="H95" s="51">
        <f>Data!M183</f>
        <v/>
      </c>
      <c r="I95" s="52">
        <f>Data!AF183/1000</f>
        <v/>
      </c>
      <c r="J95" s="52">
        <f>Data!AG183/1000</f>
        <v/>
      </c>
      <c r="K95" s="30">
        <f>IFERROR(I95/(I95+J95),0)</f>
        <v/>
      </c>
    </row>
    <row r="96">
      <c r="A96" s="16" t="inlineStr">
        <is>
          <t>3012345351287</t>
        </is>
      </c>
      <c r="B96" s="7" t="inlineStr">
        <is>
          <t>Pork shoulder joint, 500g</t>
        </is>
      </c>
      <c r="C96" s="7" t="inlineStr">
        <is>
          <t>Harbour Market</t>
        </is>
      </c>
      <c r="D96" s="7" t="inlineStr">
        <is>
          <t>Pork</t>
        </is>
      </c>
      <c r="E96" s="7" t="inlineStr">
        <is>
          <t>FG1</t>
        </is>
      </c>
      <c r="F96" s="50">
        <f>Data!Y212</f>
        <v/>
      </c>
      <c r="G96" s="19">
        <f>Data!AA212</f>
        <v/>
      </c>
      <c r="H96" s="51">
        <f>Data!M212</f>
        <v/>
      </c>
      <c r="I96" s="52">
        <f>Data!AF212/1000</f>
        <v/>
      </c>
      <c r="J96" s="52">
        <f>Data!AG212/1000</f>
        <v/>
      </c>
      <c r="K96" s="30">
        <f>IFERROR(I96/(I96+J96),0)</f>
        <v/>
      </c>
    </row>
    <row r="97">
      <c r="A97" s="16" t="inlineStr">
        <is>
          <t>3012345694865</t>
        </is>
      </c>
      <c r="B97" s="7" t="inlineStr">
        <is>
          <t>Whole chicken, 1kg</t>
        </is>
      </c>
      <c r="C97" s="7" t="inlineStr">
        <is>
          <t>Harbour Market</t>
        </is>
      </c>
      <c r="D97" s="7" t="inlineStr">
        <is>
          <t>Poultry</t>
        </is>
      </c>
      <c r="E97" s="7" t="inlineStr">
        <is>
          <t>FG1</t>
        </is>
      </c>
      <c r="F97" s="50">
        <f>Data!Y217</f>
        <v/>
      </c>
      <c r="G97" s="19">
        <f>Data!AA217</f>
        <v/>
      </c>
      <c r="H97" s="51">
        <f>Data!M217</f>
        <v/>
      </c>
      <c r="I97" s="52">
        <f>Data!AF217/1000</f>
        <v/>
      </c>
      <c r="J97" s="52">
        <f>Data!AG217/1000</f>
        <v/>
      </c>
      <c r="K97" s="30">
        <f>IFERROR(I97/(I97+J97),0)</f>
        <v/>
      </c>
    </row>
    <row r="98">
      <c r="A98" s="16" t="inlineStr">
        <is>
          <t>4012345192285</t>
        </is>
      </c>
      <c r="B98" s="7" t="inlineStr">
        <is>
          <t>Brie, 200g</t>
        </is>
      </c>
      <c r="C98" s="7" t="inlineStr">
        <is>
          <t>Harbour Market</t>
        </is>
      </c>
      <c r="D98" s="7" t="inlineStr">
        <is>
          <t>Soft Cheese</t>
        </is>
      </c>
      <c r="E98" s="7" t="inlineStr">
        <is>
          <t>FG2</t>
        </is>
      </c>
      <c r="F98" s="50">
        <f>Data!Y224</f>
        <v/>
      </c>
      <c r="G98" s="19">
        <f>Data!AA224</f>
        <v/>
      </c>
      <c r="H98" s="51">
        <f>Data!M224</f>
        <v/>
      </c>
      <c r="I98" s="52">
        <f>Data!AF224/1000</f>
        <v/>
      </c>
      <c r="J98" s="52">
        <f>Data!AG224/1000</f>
        <v/>
      </c>
      <c r="K98" s="30">
        <f>IFERROR(I98/(I98+J98),0)</f>
        <v/>
      </c>
    </row>
    <row r="99">
      <c r="A99" s="16" t="inlineStr">
        <is>
          <t>5012345963150</t>
        </is>
      </c>
      <c r="B99" s="7" t="inlineStr">
        <is>
          <t>Beef burgers, 4 pack, 454g</t>
        </is>
      </c>
      <c r="C99" s="7" t="inlineStr">
        <is>
          <t>Tarrow Farm</t>
        </is>
      </c>
      <c r="D99" s="7" t="inlineStr">
        <is>
          <t>Sausages &amp; Burgers</t>
        </is>
      </c>
      <c r="E99" s="7" t="inlineStr">
        <is>
          <t>FG1</t>
        </is>
      </c>
      <c r="F99" s="50">
        <f>Data!Y153</f>
        <v/>
      </c>
      <c r="G99" s="19">
        <f>Data!AA153</f>
        <v/>
      </c>
      <c r="H99" s="51">
        <f>Data!M153</f>
        <v/>
      </c>
      <c r="I99" s="52">
        <f>Data!AF153/1000</f>
        <v/>
      </c>
      <c r="J99" s="52">
        <f>Data!AG153/1000</f>
        <v/>
      </c>
      <c r="K99" s="30">
        <f>IFERROR(I99/(I99+J99),0)</f>
        <v/>
      </c>
    </row>
    <row r="100">
      <c r="A100" s="16" t="inlineStr">
        <is>
          <t>4012345525977</t>
        </is>
      </c>
      <c r="B100" s="7" t="inlineStr">
        <is>
          <t>Pork mince, 400g</t>
        </is>
      </c>
      <c r="C100" s="7" t="inlineStr">
        <is>
          <t>Harbour Market</t>
        </is>
      </c>
      <c r="D100" s="7" t="inlineStr">
        <is>
          <t>Pork</t>
        </is>
      </c>
      <c r="E100" s="7" t="inlineStr">
        <is>
          <t>FG1</t>
        </is>
      </c>
      <c r="F100" s="50">
        <f>Data!Y226</f>
        <v/>
      </c>
      <c r="G100" s="19">
        <f>Data!AA226</f>
        <v/>
      </c>
      <c r="H100" s="51">
        <f>Data!M226</f>
        <v/>
      </c>
      <c r="I100" s="52">
        <f>Data!AF226/1000</f>
        <v/>
      </c>
      <c r="J100" s="52">
        <f>Data!AG226/1000</f>
        <v/>
      </c>
      <c r="K100" s="30">
        <f>IFERROR(I100/(I100+J100),0)</f>
        <v/>
      </c>
    </row>
    <row r="101">
      <c r="A101" s="16" t="inlineStr">
        <is>
          <t>4012345833027</t>
        </is>
      </c>
      <c r="B101" s="7" t="inlineStr">
        <is>
          <t>Skimmed milk, 2l</t>
        </is>
      </c>
      <c r="C101" s="7" t="inlineStr">
        <is>
          <t>Harbour Market</t>
        </is>
      </c>
      <c r="D101" s="7" t="inlineStr">
        <is>
          <t>Milk</t>
        </is>
      </c>
      <c r="E101" s="7" t="inlineStr">
        <is>
          <t>FG2</t>
        </is>
      </c>
      <c r="F101" s="50">
        <f>Data!Y24</f>
        <v/>
      </c>
      <c r="G101" s="19">
        <f>Data!AA24</f>
        <v/>
      </c>
      <c r="H101" s="51">
        <f>Data!M24</f>
        <v/>
      </c>
      <c r="I101" s="52">
        <f>Data!AF24/1000</f>
        <v/>
      </c>
      <c r="J101" s="52">
        <f>Data!AG24/1000</f>
        <v/>
      </c>
      <c r="K101" s="30">
        <f>IFERROR(I101/(I101+J101),0)</f>
        <v/>
      </c>
    </row>
    <row r="102">
      <c r="A102" s="16" t="inlineStr">
        <is>
          <t>3012345058216</t>
        </is>
      </c>
      <c r="B102" s="7" t="inlineStr">
        <is>
          <t>Skimmed milk, 1l</t>
        </is>
      </c>
      <c r="C102" s="7" t="inlineStr">
        <is>
          <t>Harbour Market</t>
        </is>
      </c>
      <c r="D102" s="7" t="inlineStr">
        <is>
          <t>Milk</t>
        </is>
      </c>
      <c r="E102" s="7" t="inlineStr">
        <is>
          <t>FG2</t>
        </is>
      </c>
      <c r="F102" s="50">
        <f>Data!Y25</f>
        <v/>
      </c>
      <c r="G102" s="19">
        <f>Data!AA25</f>
        <v/>
      </c>
      <c r="H102" s="51">
        <f>Data!M25</f>
        <v/>
      </c>
      <c r="I102" s="52">
        <f>Data!AF25/1000</f>
        <v/>
      </c>
      <c r="J102" s="52">
        <f>Data!AG25/1000</f>
        <v/>
      </c>
      <c r="K102" s="30">
        <f>IFERROR(I102/(I102+J102),0)</f>
        <v/>
      </c>
    </row>
    <row r="103">
      <c r="A103" s="16" t="inlineStr">
        <is>
          <t>4012345338065</t>
        </is>
      </c>
      <c r="B103" s="7" t="inlineStr">
        <is>
          <t>Whole chicken, 500g</t>
        </is>
      </c>
      <c r="C103" s="7" t="inlineStr">
        <is>
          <t>Harbour Market</t>
        </is>
      </c>
      <c r="D103" s="7" t="inlineStr">
        <is>
          <t>Poultry</t>
        </is>
      </c>
      <c r="E103" s="7" t="inlineStr">
        <is>
          <t>FG1</t>
        </is>
      </c>
      <c r="F103" s="50">
        <f>Data!Y256</f>
        <v/>
      </c>
      <c r="G103" s="19">
        <f>Data!AA256</f>
        <v/>
      </c>
      <c r="H103" s="51">
        <f>Data!M256</f>
        <v/>
      </c>
      <c r="I103" s="52">
        <f>Data!AF256/1000</f>
        <v/>
      </c>
      <c r="J103" s="52">
        <f>Data!AG256/1000</f>
        <v/>
      </c>
      <c r="K103" s="30">
        <f>IFERROR(I103/(I103+J103),0)</f>
        <v/>
      </c>
    </row>
    <row r="104">
      <c r="A104" s="16" t="inlineStr">
        <is>
          <t>5012345236483</t>
        </is>
      </c>
      <c r="B104" s="7" t="inlineStr">
        <is>
          <t>Beef burgers, 4 pack, 400g</t>
        </is>
      </c>
      <c r="C104" s="7" t="inlineStr">
        <is>
          <t>Tarrow Farm</t>
        </is>
      </c>
      <c r="D104" s="7" t="inlineStr">
        <is>
          <t>Sausages &amp; Burgers</t>
        </is>
      </c>
      <c r="E104" s="7" t="inlineStr">
        <is>
          <t>FG1</t>
        </is>
      </c>
      <c r="F104" s="50">
        <f>Data!Y181</f>
        <v/>
      </c>
      <c r="G104" s="19">
        <f>Data!AA181</f>
        <v/>
      </c>
      <c r="H104" s="51">
        <f>Data!M181</f>
        <v/>
      </c>
      <c r="I104" s="52">
        <f>Data!AF181/1000</f>
        <v/>
      </c>
      <c r="J104" s="52">
        <f>Data!AG181/1000</f>
        <v/>
      </c>
      <c r="K104" s="30">
        <f>IFERROR(I104/(I104+J104),0)</f>
        <v/>
      </c>
    </row>
    <row r="105">
      <c r="A105" s="16" t="inlineStr">
        <is>
          <t>4012345869095</t>
        </is>
      </c>
      <c r="B105" s="7" t="inlineStr">
        <is>
          <t>Chicken mini fillets, 650g</t>
        </is>
      </c>
      <c r="C105" s="7" t="inlineStr">
        <is>
          <t>Tarrow Farm</t>
        </is>
      </c>
      <c r="D105" s="7" t="inlineStr">
        <is>
          <t>Poultry</t>
        </is>
      </c>
      <c r="E105" s="7" t="inlineStr">
        <is>
          <t>FG1</t>
        </is>
      </c>
      <c r="F105" s="50">
        <f>Data!Y276</f>
        <v/>
      </c>
      <c r="G105" s="19">
        <f>Data!AA276</f>
        <v/>
      </c>
      <c r="H105" s="51">
        <f>Data!M276</f>
        <v/>
      </c>
      <c r="I105" s="52">
        <f>Data!AF276/1000</f>
        <v/>
      </c>
      <c r="J105" s="52">
        <f>Data!AG276/1000</f>
        <v/>
      </c>
      <c r="K105" s="30">
        <f>IFERROR(I105/(I105+J105),0)</f>
        <v/>
      </c>
    </row>
    <row r="106">
      <c r="A106" s="16" t="inlineStr">
        <is>
          <t>3012345602952</t>
        </is>
      </c>
      <c r="B106" s="7" t="inlineStr">
        <is>
          <t>Marinated BBQ pork ribs, 700g</t>
        </is>
      </c>
      <c r="C106" s="7" t="inlineStr">
        <is>
          <t>Tarrow Farm</t>
        </is>
      </c>
      <c r="D106" s="7" t="inlineStr">
        <is>
          <t>BBQ &amp; Marinated</t>
        </is>
      </c>
      <c r="E106" s="7" t="inlineStr">
        <is>
          <t>FG1</t>
        </is>
      </c>
      <c r="F106" s="50">
        <f>Data!Y215</f>
        <v/>
      </c>
      <c r="G106" s="19">
        <f>Data!AA215</f>
        <v/>
      </c>
      <c r="H106" s="51">
        <f>Data!M215</f>
        <v/>
      </c>
      <c r="I106" s="52">
        <f>Data!AF215/1000</f>
        <v/>
      </c>
      <c r="J106" s="52">
        <f>Data!AG215/1000</f>
        <v/>
      </c>
      <c r="K106" s="30">
        <f>IFERROR(I106/(I106+J106),0)</f>
        <v/>
      </c>
    </row>
    <row r="107">
      <c r="A107" s="16" t="inlineStr">
        <is>
          <t>8712345720889</t>
        </is>
      </c>
      <c r="B107" s="7" t="inlineStr">
        <is>
          <t>Diced beef for stewing, 300g</t>
        </is>
      </c>
      <c r="C107" s="7" t="inlineStr">
        <is>
          <t>Tarrow Farm</t>
        </is>
      </c>
      <c r="D107" s="7" t="inlineStr">
        <is>
          <t>Beef</t>
        </is>
      </c>
      <c r="E107" s="7" t="inlineStr">
        <is>
          <t>FG1</t>
        </is>
      </c>
      <c r="F107" s="50">
        <f>Data!Y291</f>
        <v/>
      </c>
      <c r="G107" s="19">
        <f>Data!AA291</f>
        <v/>
      </c>
      <c r="H107" s="51">
        <f>Data!M291</f>
        <v/>
      </c>
      <c r="I107" s="52">
        <f>Data!AF291/1000</f>
        <v/>
      </c>
      <c r="J107" s="52">
        <f>Data!AG291/1000</f>
        <v/>
      </c>
      <c r="K107" s="30">
        <f>IFERROR(I107/(I107+J107),0)</f>
        <v/>
      </c>
    </row>
    <row r="108">
      <c r="A108" s="16" t="inlineStr">
        <is>
          <t>4012345037371</t>
        </is>
      </c>
      <c r="B108" s="7" t="inlineStr">
        <is>
          <t>Sea bass fillets, 4x125g</t>
        </is>
      </c>
      <c r="C108" s="7" t="inlineStr">
        <is>
          <t>Harbour Market</t>
        </is>
      </c>
      <c r="D108" s="7" t="inlineStr">
        <is>
          <t>Fresh Fish</t>
        </is>
      </c>
      <c r="E108" s="7" t="inlineStr">
        <is>
          <t>FG1</t>
        </is>
      </c>
      <c r="F108" s="50">
        <f>Data!Y263</f>
        <v/>
      </c>
      <c r="G108" s="19">
        <f>Data!AA263</f>
        <v/>
      </c>
      <c r="H108" s="51">
        <f>Data!M263</f>
        <v/>
      </c>
      <c r="I108" s="52">
        <f>Data!AF263/1000</f>
        <v/>
      </c>
      <c r="J108" s="52">
        <f>Data!AG263/1000</f>
        <v/>
      </c>
      <c r="K108" s="30">
        <f>IFERROR(I108/(I108+J108),0)</f>
        <v/>
      </c>
    </row>
    <row r="109">
      <c r="A109" s="16" t="inlineStr">
        <is>
          <t>5012345615714</t>
        </is>
      </c>
      <c r="B109" s="7" t="inlineStr">
        <is>
          <t>Emmental slices, 10sl 250g</t>
        </is>
      </c>
      <c r="C109" s="7" t="inlineStr">
        <is>
          <t>Alderwick</t>
        </is>
      </c>
      <c r="D109" s="7" t="inlineStr">
        <is>
          <t>Hard Cheese</t>
        </is>
      </c>
      <c r="E109" s="7" t="inlineStr">
        <is>
          <t>FG2</t>
        </is>
      </c>
      <c r="F109" s="50">
        <f>Data!Y333</f>
        <v/>
      </c>
      <c r="G109" s="19">
        <f>Data!AA333</f>
        <v/>
      </c>
      <c r="H109" s="51">
        <f>Data!M333</f>
        <v/>
      </c>
      <c r="I109" s="52">
        <f>Data!AF333/1000</f>
        <v/>
      </c>
      <c r="J109" s="52">
        <f>Data!AG333/1000</f>
        <v/>
      </c>
      <c r="K109" s="30">
        <f>IFERROR(I109/(I109+J109),0)</f>
        <v/>
      </c>
    </row>
    <row r="110">
      <c r="A110" s="16" t="inlineStr">
        <is>
          <t>8712345922443</t>
        </is>
      </c>
      <c r="B110" s="7" t="inlineStr">
        <is>
          <t>Chicken breast fillets, 1.4kg</t>
        </is>
      </c>
      <c r="C110" s="7" t="inlineStr">
        <is>
          <t>Tarrow Farm</t>
        </is>
      </c>
      <c r="D110" s="7" t="inlineStr">
        <is>
          <t>Poultry</t>
        </is>
      </c>
      <c r="E110" s="7" t="inlineStr">
        <is>
          <t>FG1</t>
        </is>
      </c>
      <c r="F110" s="50">
        <f>Data!Y311</f>
        <v/>
      </c>
      <c r="G110" s="19">
        <f>Data!AA311</f>
        <v/>
      </c>
      <c r="H110" s="51">
        <f>Data!M311</f>
        <v/>
      </c>
      <c r="I110" s="52">
        <f>Data!AF311/1000</f>
        <v/>
      </c>
      <c r="J110" s="52">
        <f>Data!AG311/1000</f>
        <v/>
      </c>
      <c r="K110" s="30">
        <f>IFERROR(I110/(I110+J110),0)</f>
        <v/>
      </c>
    </row>
    <row r="111">
      <c r="A111" s="16" t="inlineStr">
        <is>
          <t>3012345173919</t>
        </is>
      </c>
      <c r="B111" s="7" t="inlineStr">
        <is>
          <t>Chicken wings, 1.4kg</t>
        </is>
      </c>
      <c r="C111" s="7" t="inlineStr">
        <is>
          <t>Tarrow Farm</t>
        </is>
      </c>
      <c r="D111" s="7" t="inlineStr">
        <is>
          <t>Poultry</t>
        </is>
      </c>
      <c r="E111" s="7" t="inlineStr">
        <is>
          <t>FG1</t>
        </is>
      </c>
      <c r="F111" s="50">
        <f>Data!Y258</f>
        <v/>
      </c>
      <c r="G111" s="19">
        <f>Data!AA258</f>
        <v/>
      </c>
      <c r="H111" s="51">
        <f>Data!M258</f>
        <v/>
      </c>
      <c r="I111" s="52">
        <f>Data!AF258/1000</f>
        <v/>
      </c>
      <c r="J111" s="52">
        <f>Data!AG258/1000</f>
        <v/>
      </c>
      <c r="K111" s="30">
        <f>IFERROR(I111/(I111+J111),0)</f>
        <v/>
      </c>
    </row>
    <row r="112">
      <c r="A112" s="16" t="inlineStr">
        <is>
          <t>5012345248189</t>
        </is>
      </c>
      <c r="B112" s="7" t="inlineStr">
        <is>
          <t>Smoked ham, 400g</t>
        </is>
      </c>
      <c r="C112" s="7" t="inlineStr">
        <is>
          <t>Tarrow Farm</t>
        </is>
      </c>
      <c r="D112" s="7" t="inlineStr">
        <is>
          <t>Cooked Meats</t>
        </is>
      </c>
      <c r="E112" s="7" t="inlineStr">
        <is>
          <t>FG1</t>
        </is>
      </c>
      <c r="F112" s="50">
        <f>Data!Y271</f>
        <v/>
      </c>
      <c r="G112" s="19">
        <f>Data!AA271</f>
        <v/>
      </c>
      <c r="H112" s="51">
        <f>Data!M271</f>
        <v/>
      </c>
      <c r="I112" s="52">
        <f>Data!AF271/1000</f>
        <v/>
      </c>
      <c r="J112" s="52">
        <f>Data!AG271/1000</f>
        <v/>
      </c>
      <c r="K112" s="30">
        <f>IFERROR(I112/(I112+J112),0)</f>
        <v/>
      </c>
    </row>
    <row r="113">
      <c r="A113" s="16" t="inlineStr">
        <is>
          <t>5012345839035</t>
        </is>
      </c>
      <c r="B113" s="7" t="inlineStr">
        <is>
          <t>Natural skyr, 4x125g</t>
        </is>
      </c>
      <c r="C113" s="7" t="inlineStr">
        <is>
          <t>Harbour Market</t>
        </is>
      </c>
      <c r="D113" s="7" t="inlineStr">
        <is>
          <t>Yoghurt</t>
        </is>
      </c>
      <c r="E113" s="7" t="inlineStr">
        <is>
          <t>FG2</t>
        </is>
      </c>
      <c r="F113" s="50">
        <f>Data!Y185</f>
        <v/>
      </c>
      <c r="G113" s="19">
        <f>Data!AA185</f>
        <v/>
      </c>
      <c r="H113" s="51">
        <f>Data!M185</f>
        <v/>
      </c>
      <c r="I113" s="52">
        <f>Data!AF185/1000</f>
        <v/>
      </c>
      <c r="J113" s="52">
        <f>Data!AG185/1000</f>
        <v/>
      </c>
      <c r="K113" s="30">
        <f>IFERROR(I113/(I113+J113),0)</f>
        <v/>
      </c>
    </row>
  </sheetData>
  <mergeCells count="5">
    <mergeCell ref="A61:K61"/>
    <mergeCell ref="A6:K6"/>
    <mergeCell ref="A4:K4"/>
    <mergeCell ref="A3:K3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8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32" customWidth="1" min="3" max="3"/>
    <col width="34" customWidth="1" min="4" max="4"/>
    <col width="16" customWidth="1" min="5" max="5"/>
    <col width="20" customWidth="1" min="6" max="6"/>
    <col width="20" customWidth="1" min="7" max="7"/>
    <col width="9" customWidth="1" min="8" max="8"/>
    <col width="22" customWidth="1" min="9" max="9"/>
    <col width="26" customWidth="1" min="10" max="10"/>
    <col width="8" customWidth="1" min="11" max="11"/>
    <col width="24" customWidth="1" min="12" max="12"/>
    <col width="10" customWidth="1" min="13" max="13"/>
    <col width="36" customWidth="1" min="14" max="14"/>
    <col width="10" customWidth="1" min="15" max="15"/>
    <col width="10" customWidth="1" min="16" max="16"/>
    <col width="9" customWidth="1" min="17" max="17"/>
    <col width="11" customWidth="1" min="18" max="18"/>
    <col width="8" customWidth="1" min="19" max="19"/>
    <col width="20" customWidth="1" min="20" max="20"/>
    <col width="9" customWidth="1" min="21" max="21"/>
    <col width="14" customWidth="1" min="22" max="22"/>
    <col width="16" customWidth="1" min="23" max="23"/>
    <col width="8" customWidth="1" min="24" max="24"/>
    <col width="10" customWidth="1" min="25" max="25"/>
    <col width="13" customWidth="1" min="26" max="26"/>
    <col width="11" customWidth="1" min="27" max="27"/>
    <col width="11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0" customWidth="1" min="34" max="34"/>
    <col width="11" customWidth="1" min="35" max="35"/>
  </cols>
  <sheetData>
    <row r="1" ht="25.5" customHeight="1">
      <c r="A1" s="20" t="inlineStr">
        <is>
          <t xml:space="preserve">  DATA — one row per product</t>
        </is>
      </c>
    </row>
    <row r="2">
      <c r="A2" s="23" t="inlineStr">
        <is>
          <t>FICTITIOUS DATA — demo file. Harbour Market, its brands, its products and every figure are invented. Volumes come from the yellow columns of the Welcome tab; every other tab reads this one.</t>
        </is>
      </c>
    </row>
    <row r="4" ht="30" customHeight="1">
      <c r="A4" s="12" t="inlineStr">
        <is>
          <t>Product ID</t>
        </is>
      </c>
      <c r="B4" s="13" t="inlineStr">
        <is>
          <t>EAN 13</t>
        </is>
      </c>
      <c r="C4" s="13" t="inlineStr">
        <is>
          <t>Till label</t>
        </is>
      </c>
      <c r="D4" s="13" t="inlineStr">
        <is>
          <t>Product name</t>
        </is>
      </c>
      <c r="E4" s="13" t="inlineStr">
        <is>
          <t>Brand</t>
        </is>
      </c>
      <c r="F4" s="13" t="inlineStr">
        <is>
          <t>Department</t>
        </is>
      </c>
      <c r="G4" s="13" t="inlineStr">
        <is>
          <t>Family</t>
        </is>
      </c>
      <c r="H4" s="13" t="inlineStr">
        <is>
          <t>In scope</t>
        </is>
      </c>
      <c r="I4" s="13" t="inlineStr">
        <is>
          <t>Protein Tracker class</t>
        </is>
      </c>
      <c r="J4" s="13" t="inlineStr">
        <is>
          <t>Class detail (GPA)</t>
        </is>
      </c>
      <c r="K4" s="13" t="inlineStr">
        <is>
          <t>Data level</t>
        </is>
      </c>
      <c r="L4" s="13" t="inlineStr">
        <is>
          <t>Split source</t>
        </is>
      </c>
      <c r="M4" s="13" t="inlineStr">
        <is>
          <t>Protein (g/100 g)</t>
        </is>
      </c>
      <c r="N4" s="13" t="inlineStr">
        <is>
          <t>Protein source</t>
        </is>
      </c>
      <c r="O4" s="13" t="inlineStr">
        <is>
          <t>Plant protein (g/100 g)</t>
        </is>
      </c>
      <c r="P4" s="13" t="inlineStr">
        <is>
          <t>Animal protein (g/100 g)</t>
        </is>
      </c>
      <c r="Q4" s="13" t="inlineStr">
        <is>
          <t>WWF scope</t>
        </is>
      </c>
      <c r="R4" s="13" t="inlineStr">
        <is>
          <t>WWF structure</t>
        </is>
      </c>
      <c r="S4" s="13" t="inlineStr">
        <is>
          <t>Food group</t>
        </is>
      </c>
      <c r="T4" s="13" t="inlineStr">
        <is>
          <t>WWF sub-group</t>
        </is>
      </c>
      <c r="U4" s="13" t="inlineStr">
        <is>
          <t>WWF origin</t>
        </is>
      </c>
      <c r="V4" s="13" t="inlineStr">
        <is>
          <t>Composite category</t>
        </is>
      </c>
      <c r="W4" s="13" t="inlineStr">
        <is>
          <t>WWF exclusion (Appendix A)</t>
        </is>
      </c>
      <c r="X4" s="13" t="inlineStr">
        <is>
          <t>Dairy factor</t>
        </is>
      </c>
      <c r="Y4" s="13" t="inlineStr">
        <is>
          <t>Unit weight (kg)</t>
        </is>
      </c>
      <c r="Z4" s="13" t="inlineStr">
        <is>
          <t>Weight source</t>
        </is>
      </c>
      <c r="AA4" s="13" t="inlineStr">
        <is>
          <t>Units sold</t>
        </is>
      </c>
      <c r="AB4" s="13" t="inlineStr">
        <is>
          <t>kg sold (typed)</t>
        </is>
      </c>
      <c r="AC4" s="13" t="inlineStr">
        <is>
          <t>kg sold</t>
        </is>
      </c>
      <c r="AD4" s="13" t="inlineStr">
        <is>
          <t>Mass in scope (kg)</t>
        </is>
      </c>
      <c r="AE4" s="13" t="inlineStr">
        <is>
          <t>Protein (kg)</t>
        </is>
      </c>
      <c r="AF4" s="13" t="inlineStr">
        <is>
          <t>Plant protein (kg)</t>
        </is>
      </c>
      <c r="AG4" s="13" t="inlineStr">
        <is>
          <t>Animal protein (kg)</t>
        </is>
      </c>
      <c r="AH4" s="13" t="inlineStr">
        <is>
          <t>WWF mass (t)</t>
        </is>
      </c>
      <c r="AI4" s="13" t="inlineStr">
        <is>
          <t>WWF mass, dairy eq. (t)</t>
        </is>
      </c>
    </row>
    <row r="5">
      <c r="A5" s="7" t="inlineStr">
        <is>
          <t>HM00626</t>
        </is>
      </c>
      <c r="B5" s="16" t="inlineStr">
        <is>
          <t>4012345996470</t>
        </is>
      </c>
      <c r="C5" s="7" t="inlineStr">
        <is>
          <t>HM STILL WATER 6X1.5L</t>
        </is>
      </c>
      <c r="D5" s="7" t="inlineStr">
        <is>
          <t>Still mineral water, 6x1.5l</t>
        </is>
      </c>
      <c r="E5" s="7" t="inlineStr">
        <is>
          <t>Harbour Market</t>
        </is>
      </c>
      <c r="F5" s="7" t="inlineStr">
        <is>
          <t>Soft Drinks &amp; Water</t>
        </is>
      </c>
      <c r="G5" s="7" t="inlineStr">
        <is>
          <t>Water</t>
        </is>
      </c>
      <c r="H5" s="7" t="inlineStr">
        <is>
          <t>yes</t>
        </is>
      </c>
      <c r="I5" s="7" t="inlineStr">
        <is>
          <t>Plant-based non-core</t>
        </is>
      </c>
      <c r="J5" s="7" t="inlineStr">
        <is>
          <t>Outside the WWF scope</t>
        </is>
      </c>
      <c r="K5" s="7" t="inlineStr">
        <is>
          <t>A</t>
        </is>
      </c>
      <c r="L5" s="7" t="inlineStr">
        <is>
          <t>All ingredients on one side</t>
        </is>
      </c>
      <c r="M5" s="51" t="n">
        <v>0</v>
      </c>
      <c r="N5" s="7" t="inlineStr">
        <is>
          <t>Declared by the retailer</t>
        </is>
      </c>
      <c r="O5" s="54" t="n">
        <v>0</v>
      </c>
      <c r="P5" s="54" t="n">
        <v>0</v>
      </c>
      <c r="Q5" s="7" t="inlineStr">
        <is>
          <t>no</t>
        </is>
      </c>
      <c r="R5" s="7" t="n"/>
      <c r="S5" s="7" t="n"/>
      <c r="T5" s="7" t="n"/>
      <c r="U5" s="7" t="n"/>
      <c r="V5" s="7" t="n"/>
      <c r="W5" s="7" t="inlineStr">
        <is>
          <t>beverage</t>
        </is>
      </c>
      <c r="X5" s="55" t="n">
        <v>1</v>
      </c>
      <c r="Y5" s="50" t="n">
        <v>9</v>
      </c>
      <c r="Z5" s="7" t="inlineStr">
        <is>
          <t>declared</t>
        </is>
      </c>
      <c r="AA5" s="19">
        <f>IF(ISBLANK(Welcome!D31),"",Welcome!D31)</f>
        <v/>
      </c>
      <c r="AB5" s="29">
        <f>IF(ISBLANK(Welcome!E31),"",Welcome!E31)</f>
        <v/>
      </c>
      <c r="AC5" s="29">
        <f>IF(N(AB5)&gt;0,N(AB5),N(AA5)*Y5)</f>
        <v/>
      </c>
      <c r="AD5" s="29">
        <f>IF(H5="yes",AC5,0)</f>
        <v/>
      </c>
      <c r="AE5" s="29">
        <f>AD5*N(M5)/100</f>
        <v/>
      </c>
      <c r="AF5" s="29">
        <f>AD5*N(O5)/100</f>
        <v/>
      </c>
      <c r="AG5" s="29">
        <f>AD5*N(P5)/100</f>
        <v/>
      </c>
      <c r="AH5" s="50">
        <f>IF(Q5="yes",AD5/1000,0)</f>
        <v/>
      </c>
      <c r="AI5" s="50">
        <f>IF(S5="FG2",AH5*X5,AH5)</f>
        <v/>
      </c>
    </row>
    <row r="6">
      <c r="A6" s="7" t="inlineStr">
        <is>
          <t>HM00054</t>
        </is>
      </c>
      <c r="B6" s="16" t="inlineStr">
        <is>
          <t>5012345744889</t>
        </is>
      </c>
      <c r="C6" s="7" t="inlineStr">
        <is>
          <t>PENWARD APPLE CIDER 12X440ML</t>
        </is>
      </c>
      <c r="D6" s="7" t="inlineStr">
        <is>
          <t>Apple cider, 12x440ml</t>
        </is>
      </c>
      <c r="E6" s="7" t="inlineStr">
        <is>
          <t>Penward</t>
        </is>
      </c>
      <c r="F6" s="7" t="inlineStr">
        <is>
          <t>Beer, Wine &amp; Spirits</t>
        </is>
      </c>
      <c r="G6" s="7" t="inlineStr">
        <is>
          <t>Beer &amp; Cider</t>
        </is>
      </c>
      <c r="H6" s="7" t="inlineStr">
        <is>
          <t>yes</t>
        </is>
      </c>
      <c r="I6" s="7" t="inlineStr">
        <is>
          <t>Plant-based non-core</t>
        </is>
      </c>
      <c r="J6" s="7" t="inlineStr">
        <is>
          <t>Outside the WWF scope</t>
        </is>
      </c>
      <c r="K6" s="7" t="inlineStr">
        <is>
          <t>A</t>
        </is>
      </c>
      <c r="L6" s="7" t="inlineStr">
        <is>
          <t>All ingredients on one side</t>
        </is>
      </c>
      <c r="M6" s="51" t="n">
        <v>0</v>
      </c>
      <c r="N6" s="7" t="inlineStr">
        <is>
          <t>Open Food Facts and NEVO, by EAN</t>
        </is>
      </c>
      <c r="O6" s="54" t="n">
        <v>0</v>
      </c>
      <c r="P6" s="54" t="n">
        <v>0</v>
      </c>
      <c r="Q6" s="7" t="inlineStr">
        <is>
          <t>no</t>
        </is>
      </c>
      <c r="R6" s="7" t="n"/>
      <c r="S6" s="7" t="n"/>
      <c r="T6" s="7" t="n"/>
      <c r="U6" s="7" t="n"/>
      <c r="V6" s="7" t="n"/>
      <c r="W6" s="7" t="inlineStr">
        <is>
          <t>alcohol</t>
        </is>
      </c>
      <c r="X6" s="55" t="n">
        <v>1</v>
      </c>
      <c r="Y6" s="50" t="n">
        <v>5.28</v>
      </c>
      <c r="Z6" s="7" t="inlineStr">
        <is>
          <t>label</t>
        </is>
      </c>
      <c r="AA6" s="19">
        <f>IF(ISBLANK(Welcome!D32),"",Welcome!D32)</f>
        <v/>
      </c>
      <c r="AB6" s="29">
        <f>IF(ISBLANK(Welcome!E32),"",Welcome!E32)</f>
        <v/>
      </c>
      <c r="AC6" s="29">
        <f>IF(N(AB6)&gt;0,N(AB6),N(AA6)*Y6)</f>
        <v/>
      </c>
      <c r="AD6" s="29">
        <f>IF(H6="yes",AC6,0)</f>
        <v/>
      </c>
      <c r="AE6" s="29">
        <f>AD6*N(M6)/100</f>
        <v/>
      </c>
      <c r="AF6" s="29">
        <f>AD6*N(O6)/100</f>
        <v/>
      </c>
      <c r="AG6" s="29">
        <f>AD6*N(P6)/100</f>
        <v/>
      </c>
      <c r="AH6" s="50">
        <f>IF(Q6="yes",AD6/1000,0)</f>
        <v/>
      </c>
      <c r="AI6" s="50">
        <f>IF(S6="FG2",AH6*X6,AH6)</f>
        <v/>
      </c>
    </row>
    <row r="7">
      <c r="A7" s="7" t="inlineStr">
        <is>
          <t>HM00477</t>
        </is>
      </c>
      <c r="B7" s="16" t="inlineStr">
        <is>
          <t>5012345617145</t>
        </is>
      </c>
      <c r="C7" s="7" t="inlineStr">
        <is>
          <t>HM GARDEN PEAS 1.5KG</t>
        </is>
      </c>
      <c r="D7" s="7" t="inlineStr">
        <is>
          <t>Garden peas, 1.5kg</t>
        </is>
      </c>
      <c r="E7" s="7" t="inlineStr">
        <is>
          <t>Harbour Market</t>
        </is>
      </c>
      <c r="F7" s="7" t="inlineStr">
        <is>
          <t>Frozen</t>
        </is>
      </c>
      <c r="G7" s="7" t="inlineStr">
        <is>
          <t>Frozen Vegetables</t>
        </is>
      </c>
      <c r="H7" s="7" t="inlineStr">
        <is>
          <t>yes</t>
        </is>
      </c>
      <c r="I7" s="7" t="inlineStr">
        <is>
          <t>Plant-based core</t>
        </is>
      </c>
      <c r="J7" s="7" t="inlineStr">
        <is>
          <t>Pulses</t>
        </is>
      </c>
      <c r="K7" s="7" t="inlineStr">
        <is>
          <t>A</t>
        </is>
      </c>
      <c r="L7" s="7" t="inlineStr">
        <is>
          <t>All ingredients on one side</t>
        </is>
      </c>
      <c r="M7" s="51" t="n">
        <v>5.6</v>
      </c>
      <c r="N7" s="7" t="inlineStr">
        <is>
          <t>Declared by the retailer</t>
        </is>
      </c>
      <c r="O7" s="54" t="n">
        <v>5.6</v>
      </c>
      <c r="P7" s="54" t="n">
        <v>0</v>
      </c>
      <c r="Q7" s="7" t="inlineStr">
        <is>
          <t>yes</t>
        </is>
      </c>
      <c r="R7" s="7" t="inlineStr">
        <is>
          <t>whole</t>
        </is>
      </c>
      <c r="S7" s="7" t="inlineStr">
        <is>
          <t>FG1</t>
        </is>
      </c>
      <c r="T7" s="7" t="inlineStr">
        <is>
          <t>Pulses</t>
        </is>
      </c>
      <c r="U7" s="7" t="inlineStr">
        <is>
          <t>plant</t>
        </is>
      </c>
      <c r="V7" s="7" t="n"/>
      <c r="W7" s="7" t="n"/>
      <c r="X7" s="55" t="n">
        <v>1</v>
      </c>
      <c r="Y7" s="50" t="n">
        <v>1.5</v>
      </c>
      <c r="Z7" s="7" t="inlineStr">
        <is>
          <t>declared</t>
        </is>
      </c>
      <c r="AA7" s="19">
        <f>IF(ISBLANK(Welcome!D33),"",Welcome!D33)</f>
        <v/>
      </c>
      <c r="AB7" s="29">
        <f>IF(ISBLANK(Welcome!E33),"",Welcome!E33)</f>
        <v/>
      </c>
      <c r="AC7" s="29">
        <f>IF(N(AB7)&gt;0,N(AB7),N(AA7)*Y7)</f>
        <v/>
      </c>
      <c r="AD7" s="29">
        <f>IF(H7="yes",AC7,0)</f>
        <v/>
      </c>
      <c r="AE7" s="29">
        <f>AD7*N(M7)/100</f>
        <v/>
      </c>
      <c r="AF7" s="29">
        <f>AD7*N(O7)/100</f>
        <v/>
      </c>
      <c r="AG7" s="29">
        <f>AD7*N(P7)/100</f>
        <v/>
      </c>
      <c r="AH7" s="50">
        <f>IF(Q7="yes",AD7/1000,0)</f>
        <v/>
      </c>
      <c r="AI7" s="50">
        <f>IF(S7="FG2",AH7*X7,AH7)</f>
        <v/>
      </c>
    </row>
    <row r="8">
      <c r="A8" s="7" t="inlineStr">
        <is>
          <t>HM00568</t>
        </is>
      </c>
      <c r="B8" s="16" t="inlineStr">
        <is>
          <t>5012345682891</t>
        </is>
      </c>
      <c r="C8" s="7" t="inlineStr">
        <is>
          <t>HM SKMD MILK 4PT 2.27L</t>
        </is>
      </c>
      <c r="D8" s="7" t="inlineStr">
        <is>
          <t>Skimmed milk, 4pt 2.27l</t>
        </is>
      </c>
      <c r="E8" s="7" t="inlineStr">
        <is>
          <t>Harbour Market</t>
        </is>
      </c>
      <c r="F8" s="7" t="inlineStr">
        <is>
          <t>Dairy &amp; Eggs</t>
        </is>
      </c>
      <c r="G8" s="7" t="inlineStr">
        <is>
          <t>Milk</t>
        </is>
      </c>
      <c r="H8" s="7" t="inlineStr">
        <is>
          <t>yes</t>
        </is>
      </c>
      <c r="I8" s="7" t="inlineStr">
        <is>
          <t>Animal core</t>
        </is>
      </c>
      <c r="J8" s="7" t="inlineStr">
        <is>
          <t>Milk, yoghurt and cream</t>
        </is>
      </c>
      <c r="K8" s="7" t="inlineStr">
        <is>
          <t>A</t>
        </is>
      </c>
      <c r="L8" s="7" t="inlineStr">
        <is>
          <t>All ingredients on one side</t>
        </is>
      </c>
      <c r="M8" s="51" t="n">
        <v>3.4</v>
      </c>
      <c r="N8" s="7" t="inlineStr">
        <is>
          <t>Median of the family</t>
        </is>
      </c>
      <c r="O8" s="54" t="n">
        <v>0</v>
      </c>
      <c r="P8" s="54" t="n">
        <v>3.4</v>
      </c>
      <c r="Q8" s="7" t="inlineStr">
        <is>
          <t>yes</t>
        </is>
      </c>
      <c r="R8" s="7" t="inlineStr">
        <is>
          <t>whole</t>
        </is>
      </c>
      <c r="S8" s="7" t="inlineStr">
        <is>
          <t>FG2</t>
        </is>
      </c>
      <c r="T8" s="7" t="inlineStr">
        <is>
          <t>Dairy</t>
        </is>
      </c>
      <c r="U8" s="7" t="inlineStr">
        <is>
          <t>animal</t>
        </is>
      </c>
      <c r="V8" s="7" t="n"/>
      <c r="W8" s="7" t="n"/>
      <c r="X8" s="55" t="n">
        <v>1</v>
      </c>
      <c r="Y8" s="50" t="n">
        <v>2.34</v>
      </c>
      <c r="Z8" s="7" t="inlineStr">
        <is>
          <t>declared</t>
        </is>
      </c>
      <c r="AA8" s="19">
        <f>IF(ISBLANK(Welcome!D34),"",Welcome!D34)</f>
        <v/>
      </c>
      <c r="AB8" s="29">
        <f>IF(ISBLANK(Welcome!E34),"",Welcome!E34)</f>
        <v/>
      </c>
      <c r="AC8" s="29">
        <f>IF(N(AB8)&gt;0,N(AB8),N(AA8)*Y8)</f>
        <v/>
      </c>
      <c r="AD8" s="29">
        <f>IF(H8="yes",AC8,0)</f>
        <v/>
      </c>
      <c r="AE8" s="29">
        <f>AD8*N(M8)/100</f>
        <v/>
      </c>
      <c r="AF8" s="29">
        <f>AD8*N(O8)/100</f>
        <v/>
      </c>
      <c r="AG8" s="29">
        <f>AD8*N(P8)/100</f>
        <v/>
      </c>
      <c r="AH8" s="50">
        <f>IF(Q8="yes",AD8/1000,0)</f>
        <v/>
      </c>
      <c r="AI8" s="50">
        <f>IF(S8="FG2",AH8*X8,AH8)</f>
        <v/>
      </c>
    </row>
    <row r="9">
      <c r="A9" s="7" t="inlineStr">
        <is>
          <t>HM00395</t>
        </is>
      </c>
      <c r="B9" s="16" t="inlineStr">
        <is>
          <t>5012345845791</t>
        </is>
      </c>
      <c r="C9" s="7" t="inlineStr">
        <is>
          <t>HM SPARKLING WATER 12X500ML</t>
        </is>
      </c>
      <c r="D9" s="7" t="inlineStr">
        <is>
          <t>Sparkling mineral water, 12x500ml</t>
        </is>
      </c>
      <c r="E9" s="7" t="inlineStr">
        <is>
          <t>Harbour Market</t>
        </is>
      </c>
      <c r="F9" s="7" t="inlineStr">
        <is>
          <t>Soft Drinks &amp; Water</t>
        </is>
      </c>
      <c r="G9" s="7" t="inlineStr">
        <is>
          <t>Water</t>
        </is>
      </c>
      <c r="H9" s="7" t="inlineStr">
        <is>
          <t>yes</t>
        </is>
      </c>
      <c r="I9" s="7" t="inlineStr">
        <is>
          <t>Plant-based non-core</t>
        </is>
      </c>
      <c r="J9" s="7" t="inlineStr">
        <is>
          <t>Outside the WWF scope</t>
        </is>
      </c>
      <c r="K9" s="7" t="inlineStr">
        <is>
          <t>A</t>
        </is>
      </c>
      <c r="L9" s="7" t="inlineStr">
        <is>
          <t>All ingredients on one side</t>
        </is>
      </c>
      <c r="M9" s="51" t="n">
        <v>0</v>
      </c>
      <c r="N9" s="7" t="inlineStr">
        <is>
          <t>Open Food Facts and NEVO, by EAN</t>
        </is>
      </c>
      <c r="O9" s="54" t="n">
        <v>0</v>
      </c>
      <c r="P9" s="54" t="n">
        <v>0</v>
      </c>
      <c r="Q9" s="7" t="inlineStr">
        <is>
          <t>no</t>
        </is>
      </c>
      <c r="R9" s="7" t="n"/>
      <c r="S9" s="7" t="n"/>
      <c r="T9" s="7" t="n"/>
      <c r="U9" s="7" t="n"/>
      <c r="V9" s="7" t="n"/>
      <c r="W9" s="7" t="inlineStr">
        <is>
          <t>beverage</t>
        </is>
      </c>
      <c r="X9" s="55" t="n">
        <v>1</v>
      </c>
      <c r="Y9" s="50" t="n">
        <v>6</v>
      </c>
      <c r="Z9" s="7" t="inlineStr">
        <is>
          <t>declared</t>
        </is>
      </c>
      <c r="AA9" s="19">
        <f>IF(ISBLANK(Welcome!D35),"",Welcome!D35)</f>
        <v/>
      </c>
      <c r="AB9" s="29">
        <f>IF(ISBLANK(Welcome!E35),"",Welcome!E35)</f>
        <v/>
      </c>
      <c r="AC9" s="29">
        <f>IF(N(AB9)&gt;0,N(AB9),N(AA9)*Y9)</f>
        <v/>
      </c>
      <c r="AD9" s="29">
        <f>IF(H9="yes",AC9,0)</f>
        <v/>
      </c>
      <c r="AE9" s="29">
        <f>AD9*N(M9)/100</f>
        <v/>
      </c>
      <c r="AF9" s="29">
        <f>AD9*N(O9)/100</f>
        <v/>
      </c>
      <c r="AG9" s="29">
        <f>AD9*N(P9)/100</f>
        <v/>
      </c>
      <c r="AH9" s="50">
        <f>IF(Q9="yes",AD9/1000,0)</f>
        <v/>
      </c>
      <c r="AI9" s="50">
        <f>IF(S9="FG2",AH9*X9,AH9)</f>
        <v/>
      </c>
    </row>
    <row r="10">
      <c r="A10" s="7" t="inlineStr">
        <is>
          <t>HM00532</t>
        </is>
      </c>
      <c r="B10" s="16" t="inlineStr">
        <is>
          <t>8712345926991</t>
        </is>
      </c>
      <c r="C10" s="7" t="inlineStr">
        <is>
          <t>HM LAGER 12X440ML</t>
        </is>
      </c>
      <c r="D10" s="7" t="inlineStr">
        <is>
          <t>Lager, 12x440ml</t>
        </is>
      </c>
      <c r="E10" s="7" t="inlineStr">
        <is>
          <t>Harbour Market</t>
        </is>
      </c>
      <c r="F10" s="7" t="inlineStr">
        <is>
          <t>Beer, Wine &amp; Spirits</t>
        </is>
      </c>
      <c r="G10" s="7" t="inlineStr">
        <is>
          <t>Beer &amp; Cider</t>
        </is>
      </c>
      <c r="H10" s="7" t="inlineStr">
        <is>
          <t>yes</t>
        </is>
      </c>
      <c r="I10" s="7" t="inlineStr">
        <is>
          <t>Plant-based non-core</t>
        </is>
      </c>
      <c r="J10" s="7" t="inlineStr">
        <is>
          <t>Outside the WWF scope</t>
        </is>
      </c>
      <c r="K10" s="7" t="inlineStr">
        <is>
          <t>A</t>
        </is>
      </c>
      <c r="L10" s="7" t="inlineStr">
        <is>
          <t>All ingredients on one side</t>
        </is>
      </c>
      <c r="M10" s="51" t="n">
        <v>0.42</v>
      </c>
      <c r="N10" s="7" t="inlineStr">
        <is>
          <t>National food table (CIQUAL in France)</t>
        </is>
      </c>
      <c r="O10" s="54" t="n">
        <v>0.42</v>
      </c>
      <c r="P10" s="54" t="n">
        <v>0</v>
      </c>
      <c r="Q10" s="7" t="inlineStr">
        <is>
          <t>no</t>
        </is>
      </c>
      <c r="R10" s="7" t="n"/>
      <c r="S10" s="7" t="n"/>
      <c r="T10" s="7" t="n"/>
      <c r="U10" s="7" t="n"/>
      <c r="V10" s="7" t="n"/>
      <c r="W10" s="7" t="inlineStr">
        <is>
          <t>alcohol</t>
        </is>
      </c>
      <c r="X10" s="55" t="n">
        <v>1</v>
      </c>
      <c r="Y10" s="50" t="n">
        <v>5.28</v>
      </c>
      <c r="Z10" s="7" t="inlineStr">
        <is>
          <t>declared</t>
        </is>
      </c>
      <c r="AA10" s="19">
        <f>IF(ISBLANK(Welcome!D36),"",Welcome!D36)</f>
        <v/>
      </c>
      <c r="AB10" s="29">
        <f>IF(ISBLANK(Welcome!E36),"",Welcome!E36)</f>
        <v/>
      </c>
      <c r="AC10" s="29">
        <f>IF(N(AB10)&gt;0,N(AB10),N(AA10)*Y10)</f>
        <v/>
      </c>
      <c r="AD10" s="29">
        <f>IF(H10="yes",AC10,0)</f>
        <v/>
      </c>
      <c r="AE10" s="29">
        <f>AD10*N(M10)/100</f>
        <v/>
      </c>
      <c r="AF10" s="29">
        <f>AD10*N(O10)/100</f>
        <v/>
      </c>
      <c r="AG10" s="29">
        <f>AD10*N(P10)/100</f>
        <v/>
      </c>
      <c r="AH10" s="50">
        <f>IF(Q10="yes",AD10/1000,0)</f>
        <v/>
      </c>
      <c r="AI10" s="50">
        <f>IF(S10="FG2",AH10*X10,AH10)</f>
        <v/>
      </c>
    </row>
    <row r="11">
      <c r="A11" s="7" t="inlineStr">
        <is>
          <t>HM00190</t>
        </is>
      </c>
      <c r="B11" s="16" t="inlineStr">
        <is>
          <t>2011149331090</t>
        </is>
      </c>
      <c r="C11" s="7" t="inlineStr">
        <is>
          <t>HM APPLES GALA KG</t>
        </is>
      </c>
      <c r="D11" s="7" t="inlineStr">
        <is>
          <t>Gala apples</t>
        </is>
      </c>
      <c r="E11" s="7" t="inlineStr">
        <is>
          <t>Harbour Market</t>
        </is>
      </c>
      <c r="F11" s="7" t="inlineStr">
        <is>
          <t>Fruit &amp; Vegetables</t>
        </is>
      </c>
      <c r="G11" s="7" t="inlineStr">
        <is>
          <t>Fruit</t>
        </is>
      </c>
      <c r="H11" s="7" t="inlineStr">
        <is>
          <t>yes</t>
        </is>
      </c>
      <c r="I11" s="7" t="inlineStr">
        <is>
          <t>Plant-based non-core</t>
        </is>
      </c>
      <c r="J11" s="7" t="inlineStr">
        <is>
          <t>Fruit and vegetables</t>
        </is>
      </c>
      <c r="K11" s="7" t="inlineStr">
        <is>
          <t>B</t>
        </is>
      </c>
      <c r="L11" s="7" t="inlineStr">
        <is>
          <t>Follows the class</t>
        </is>
      </c>
      <c r="M11" s="51" t="n">
        <v>0.29</v>
      </c>
      <c r="N11" s="7" t="inlineStr">
        <is>
          <t>Declared by the retailer</t>
        </is>
      </c>
      <c r="O11" s="54" t="n">
        <v>0.29</v>
      </c>
      <c r="P11" s="54" t="n">
        <v>0</v>
      </c>
      <c r="Q11" s="7" t="inlineStr">
        <is>
          <t>yes</t>
        </is>
      </c>
      <c r="R11" s="7" t="inlineStr">
        <is>
          <t>whole</t>
        </is>
      </c>
      <c r="S11" s="7" t="inlineStr">
        <is>
          <t>FG4</t>
        </is>
      </c>
      <c r="T11" s="7" t="n"/>
      <c r="U11" s="7" t="inlineStr">
        <is>
          <t>plant</t>
        </is>
      </c>
      <c r="V11" s="7" t="n"/>
      <c r="W11" s="7" t="n"/>
      <c r="X11" s="55" t="n">
        <v>1</v>
      </c>
      <c r="Y11" s="50" t="n">
        <v>1</v>
      </c>
      <c r="Z11" s="7" t="inlineStr">
        <is>
          <t>variable</t>
        </is>
      </c>
      <c r="AA11" s="19">
        <f>IF(ISBLANK(Welcome!D37),"",Welcome!D37)</f>
        <v/>
      </c>
      <c r="AB11" s="29">
        <f>IF(ISBLANK(Welcome!E37),"",Welcome!E37)</f>
        <v/>
      </c>
      <c r="AC11" s="29">
        <f>IF(N(AB11)&gt;0,N(AB11),N(AA11)*Y11)</f>
        <v/>
      </c>
      <c r="AD11" s="29">
        <f>IF(H11="yes",AC11,0)</f>
        <v/>
      </c>
      <c r="AE11" s="29">
        <f>AD11*N(M11)/100</f>
        <v/>
      </c>
      <c r="AF11" s="29">
        <f>AD11*N(O11)/100</f>
        <v/>
      </c>
      <c r="AG11" s="29">
        <f>AD11*N(P11)/100</f>
        <v/>
      </c>
      <c r="AH11" s="50">
        <f>IF(Q11="yes",AD11/1000,0)</f>
        <v/>
      </c>
      <c r="AI11" s="50">
        <f>IF(S11="FG2",AH11*X11,AH11)</f>
        <v/>
      </c>
    </row>
    <row r="12">
      <c r="A12" s="7" t="inlineStr">
        <is>
          <t>HM00284</t>
        </is>
      </c>
      <c r="B12" s="16" t="inlineStr">
        <is>
          <t>3012345763554</t>
        </is>
      </c>
      <c r="C12" s="7" t="inlineStr">
        <is>
          <t>NUVELLE SPARKLING WATER 6X1.5L</t>
        </is>
      </c>
      <c r="D12" s="7" t="inlineStr">
        <is>
          <t>Sparkling mineral water, 6x1.5l</t>
        </is>
      </c>
      <c r="E12" s="7" t="inlineStr">
        <is>
          <t>Nuvelle</t>
        </is>
      </c>
      <c r="F12" s="7" t="inlineStr">
        <is>
          <t>Soft Drinks &amp; Water</t>
        </is>
      </c>
      <c r="G12" s="7" t="inlineStr">
        <is>
          <t>Water</t>
        </is>
      </c>
      <c r="H12" s="7" t="inlineStr">
        <is>
          <t>yes</t>
        </is>
      </c>
      <c r="I12" s="7" t="inlineStr">
        <is>
          <t>Plant-based non-core</t>
        </is>
      </c>
      <c r="J12" s="7" t="inlineStr">
        <is>
          <t>Outside the WWF scope</t>
        </is>
      </c>
      <c r="K12" s="7" t="inlineStr">
        <is>
          <t>A</t>
        </is>
      </c>
      <c r="L12" s="7" t="inlineStr">
        <is>
          <t>All ingredients on one side</t>
        </is>
      </c>
      <c r="M12" s="51" t="n">
        <v>0</v>
      </c>
      <c r="N12" s="7" t="inlineStr">
        <is>
          <t>National food table (CIQUAL in France)</t>
        </is>
      </c>
      <c r="O12" s="54" t="n">
        <v>0</v>
      </c>
      <c r="P12" s="54" t="n">
        <v>0</v>
      </c>
      <c r="Q12" s="7" t="inlineStr">
        <is>
          <t>no</t>
        </is>
      </c>
      <c r="R12" s="7" t="n"/>
      <c r="S12" s="7" t="n"/>
      <c r="T12" s="7" t="n"/>
      <c r="U12" s="7" t="n"/>
      <c r="V12" s="7" t="n"/>
      <c r="W12" s="7" t="inlineStr">
        <is>
          <t>beverage</t>
        </is>
      </c>
      <c r="X12" s="55" t="n">
        <v>1</v>
      </c>
      <c r="Y12" s="50" t="n">
        <v>9</v>
      </c>
      <c r="Z12" s="7" t="inlineStr">
        <is>
          <t>declared</t>
        </is>
      </c>
      <c r="AA12" s="19">
        <f>IF(ISBLANK(Welcome!D38),"",Welcome!D38)</f>
        <v/>
      </c>
      <c r="AB12" s="29">
        <f>IF(ISBLANK(Welcome!E38),"",Welcome!E38)</f>
        <v/>
      </c>
      <c r="AC12" s="29">
        <f>IF(N(AB12)&gt;0,N(AB12),N(AA12)*Y12)</f>
        <v/>
      </c>
      <c r="AD12" s="29">
        <f>IF(H12="yes",AC12,0)</f>
        <v/>
      </c>
      <c r="AE12" s="29">
        <f>AD12*N(M12)/100</f>
        <v/>
      </c>
      <c r="AF12" s="29">
        <f>AD12*N(O12)/100</f>
        <v/>
      </c>
      <c r="AG12" s="29">
        <f>AD12*N(P12)/100</f>
        <v/>
      </c>
      <c r="AH12" s="50">
        <f>IF(Q12="yes",AD12/1000,0)</f>
        <v/>
      </c>
      <c r="AI12" s="50">
        <f>IF(S12="FG2",AH12*X12,AH12)</f>
        <v/>
      </c>
    </row>
    <row r="13">
      <c r="A13" s="7" t="inlineStr">
        <is>
          <t>HM00631</t>
        </is>
      </c>
      <c r="B13" s="16" t="inlineStr">
        <is>
          <t>3012345268806</t>
        </is>
      </c>
      <c r="C13" s="7" t="inlineStr">
        <is>
          <t>NUVELLE STILL WATER 12X500ML</t>
        </is>
      </c>
      <c r="D13" s="7" t="inlineStr">
        <is>
          <t>Still mineral water, 12x500ml</t>
        </is>
      </c>
      <c r="E13" s="7" t="inlineStr">
        <is>
          <t>Nuvelle</t>
        </is>
      </c>
      <c r="F13" s="7" t="inlineStr">
        <is>
          <t>Soft Drinks &amp; Water</t>
        </is>
      </c>
      <c r="G13" s="7" t="inlineStr">
        <is>
          <t>Water</t>
        </is>
      </c>
      <c r="H13" s="7" t="inlineStr">
        <is>
          <t>yes</t>
        </is>
      </c>
      <c r="I13" s="7" t="inlineStr">
        <is>
          <t>Plant-based non-core</t>
        </is>
      </c>
      <c r="J13" s="7" t="inlineStr">
        <is>
          <t>Outside the WWF scope</t>
        </is>
      </c>
      <c r="K13" s="7" t="inlineStr">
        <is>
          <t>A</t>
        </is>
      </c>
      <c r="L13" s="7" t="inlineStr">
        <is>
          <t>All ingredients on one side</t>
        </is>
      </c>
      <c r="M13" s="51" t="n">
        <v>0</v>
      </c>
      <c r="N13" s="7" t="inlineStr">
        <is>
          <t>Altera reference base</t>
        </is>
      </c>
      <c r="O13" s="54" t="n">
        <v>0</v>
      </c>
      <c r="P13" s="54" t="n">
        <v>0</v>
      </c>
      <c r="Q13" s="7" t="inlineStr">
        <is>
          <t>no</t>
        </is>
      </c>
      <c r="R13" s="7" t="n"/>
      <c r="S13" s="7" t="n"/>
      <c r="T13" s="7" t="n"/>
      <c r="U13" s="7" t="n"/>
      <c r="V13" s="7" t="n"/>
      <c r="W13" s="7" t="inlineStr">
        <is>
          <t>beverage</t>
        </is>
      </c>
      <c r="X13" s="55" t="n">
        <v>1</v>
      </c>
      <c r="Y13" s="50" t="n">
        <v>6</v>
      </c>
      <c r="Z13" s="7" t="inlineStr">
        <is>
          <t>declared</t>
        </is>
      </c>
      <c r="AA13" s="19">
        <f>IF(ISBLANK(Welcome!D39),"",Welcome!D39)</f>
        <v/>
      </c>
      <c r="AB13" s="29">
        <f>IF(ISBLANK(Welcome!E39),"",Welcome!E39)</f>
        <v/>
      </c>
      <c r="AC13" s="29">
        <f>IF(N(AB13)&gt;0,N(AB13),N(AA13)*Y13)</f>
        <v/>
      </c>
      <c r="AD13" s="29">
        <f>IF(H13="yes",AC13,0)</f>
        <v/>
      </c>
      <c r="AE13" s="29">
        <f>AD13*N(M13)/100</f>
        <v/>
      </c>
      <c r="AF13" s="29">
        <f>AD13*N(O13)/100</f>
        <v/>
      </c>
      <c r="AG13" s="29">
        <f>AD13*N(P13)/100</f>
        <v/>
      </c>
      <c r="AH13" s="50">
        <f>IF(Q13="yes",AD13/1000,0)</f>
        <v/>
      </c>
      <c r="AI13" s="50">
        <f>IF(S13="FG2",AH13*X13,AH13)</f>
        <v/>
      </c>
    </row>
    <row r="14">
      <c r="A14" s="7" t="inlineStr">
        <is>
          <t>HM00789</t>
        </is>
      </c>
      <c r="B14" s="16" t="inlineStr">
        <is>
          <t>8712345559885</t>
        </is>
      </c>
      <c r="C14" s="7" t="inlineStr">
        <is>
          <t>TOM BASIL PASTA SCE 4X400G CASTELNA</t>
        </is>
      </c>
      <c r="D14" s="7" t="inlineStr">
        <is>
          <t>Tomato &amp; basil pasta sauce, 4x400g</t>
        </is>
      </c>
      <c r="E14" s="7" t="inlineStr">
        <is>
          <t>Castelna</t>
        </is>
      </c>
      <c r="F14" s="7" t="inlineStr">
        <is>
          <t>Grocery</t>
        </is>
      </c>
      <c r="G14" s="7" t="inlineStr">
        <is>
          <t>Canned Vegetables</t>
        </is>
      </c>
      <c r="H14" s="7" t="inlineStr">
        <is>
          <t>yes</t>
        </is>
      </c>
      <c r="I14" s="7" t="inlineStr">
        <is>
          <t>Plant-based non-core</t>
        </is>
      </c>
      <c r="J14" s="7" t="inlineStr">
        <is>
          <t>Fruit and vegetables</t>
        </is>
      </c>
      <c r="K14" s="7" t="inlineStr">
        <is>
          <t>A</t>
        </is>
      </c>
      <c r="L14" s="7" t="inlineStr">
        <is>
          <t>All ingredients on one side</t>
        </is>
      </c>
      <c r="M14" s="51" t="n">
        <v>1.6</v>
      </c>
      <c r="N14" s="7" t="inlineStr">
        <is>
          <t>National food table (CIQUAL in France)</t>
        </is>
      </c>
      <c r="O14" s="54" t="n">
        <v>1.6</v>
      </c>
      <c r="P14" s="54" t="n">
        <v>0</v>
      </c>
      <c r="Q14" s="7" t="inlineStr">
        <is>
          <t>yes</t>
        </is>
      </c>
      <c r="R14" s="7" t="inlineStr">
        <is>
          <t>whole</t>
        </is>
      </c>
      <c r="S14" s="7" t="inlineStr">
        <is>
          <t>FG4</t>
        </is>
      </c>
      <c r="T14" s="7" t="n"/>
      <c r="U14" s="7" t="inlineStr">
        <is>
          <t>plant</t>
        </is>
      </c>
      <c r="V14" s="7" t="n"/>
      <c r="W14" s="7" t="n"/>
      <c r="X14" s="55" t="n">
        <v>1</v>
      </c>
      <c r="Y14" s="50" t="n">
        <v>1.6</v>
      </c>
      <c r="Z14" s="7" t="inlineStr">
        <is>
          <t>declared</t>
        </is>
      </c>
      <c r="AA14" s="19">
        <f>IF(ISBLANK(Welcome!D40),"",Welcome!D40)</f>
        <v/>
      </c>
      <c r="AB14" s="29">
        <f>IF(ISBLANK(Welcome!E40),"",Welcome!E40)</f>
        <v/>
      </c>
      <c r="AC14" s="29">
        <f>IF(N(AB14)&gt;0,N(AB14),N(AA14)*Y14)</f>
        <v/>
      </c>
      <c r="AD14" s="29">
        <f>IF(H14="yes",AC14,0)</f>
        <v/>
      </c>
      <c r="AE14" s="29">
        <f>AD14*N(M14)/100</f>
        <v/>
      </c>
      <c r="AF14" s="29">
        <f>AD14*N(O14)/100</f>
        <v/>
      </c>
      <c r="AG14" s="29">
        <f>AD14*N(P14)/100</f>
        <v/>
      </c>
      <c r="AH14" s="50">
        <f>IF(Q14="yes",AD14/1000,0)</f>
        <v/>
      </c>
      <c r="AI14" s="50">
        <f>IF(S14="FG2",AH14*X14,AH14)</f>
        <v/>
      </c>
    </row>
    <row r="15">
      <c r="A15" s="7" t="inlineStr">
        <is>
          <t>HM00052</t>
        </is>
      </c>
      <c r="B15" s="16" t="inlineStr">
        <is>
          <t>5012345024721</t>
        </is>
      </c>
      <c r="C15" s="7" t="inlineStr">
        <is>
          <t>HM LEMONS 1KG</t>
        </is>
      </c>
      <c r="D15" s="7" t="inlineStr">
        <is>
          <t>Lemons, 1kg</t>
        </is>
      </c>
      <c r="E15" s="7" t="inlineStr">
        <is>
          <t>Harbour Market</t>
        </is>
      </c>
      <c r="F15" s="7" t="inlineStr">
        <is>
          <t>Fruit &amp; Vegetables</t>
        </is>
      </c>
      <c r="G15" s="7" t="inlineStr">
        <is>
          <t>Fruit</t>
        </is>
      </c>
      <c r="H15" s="7" t="inlineStr">
        <is>
          <t>yes</t>
        </is>
      </c>
      <c r="I15" s="7" t="inlineStr">
        <is>
          <t>Plant-based non-core</t>
        </is>
      </c>
      <c r="J15" s="7" t="inlineStr">
        <is>
          <t>Fruit and vegetables</t>
        </is>
      </c>
      <c r="K15" s="7" t="inlineStr">
        <is>
          <t>B</t>
        </is>
      </c>
      <c r="L15" s="7" t="inlineStr">
        <is>
          <t>Follows the class</t>
        </is>
      </c>
      <c r="M15" s="51" t="n">
        <v>0.63</v>
      </c>
      <c r="N15" s="7" t="inlineStr">
        <is>
          <t>Altera reference base</t>
        </is>
      </c>
      <c r="O15" s="54" t="n">
        <v>0.63</v>
      </c>
      <c r="P15" s="54" t="n">
        <v>0</v>
      </c>
      <c r="Q15" s="7" t="inlineStr">
        <is>
          <t>yes</t>
        </is>
      </c>
      <c r="R15" s="7" t="inlineStr">
        <is>
          <t>whole</t>
        </is>
      </c>
      <c r="S15" s="7" t="inlineStr">
        <is>
          <t>FG4</t>
        </is>
      </c>
      <c r="T15" s="7" t="n"/>
      <c r="U15" s="7" t="inlineStr">
        <is>
          <t>plant</t>
        </is>
      </c>
      <c r="V15" s="7" t="n"/>
      <c r="W15" s="7" t="n"/>
      <c r="X15" s="55" t="n">
        <v>1</v>
      </c>
      <c r="Y15" s="50" t="n">
        <v>1</v>
      </c>
      <c r="Z15" s="7" t="inlineStr">
        <is>
          <t>declared</t>
        </is>
      </c>
      <c r="AA15" s="19">
        <f>IF(ISBLANK(Welcome!D41),"",Welcome!D41)</f>
        <v/>
      </c>
      <c r="AB15" s="29">
        <f>IF(ISBLANK(Welcome!E41),"",Welcome!E41)</f>
        <v/>
      </c>
      <c r="AC15" s="29">
        <f>IF(N(AB15)&gt;0,N(AB15),N(AA15)*Y15)</f>
        <v/>
      </c>
      <c r="AD15" s="29">
        <f>IF(H15="yes",AC15,0)</f>
        <v/>
      </c>
      <c r="AE15" s="29">
        <f>AD15*N(M15)/100</f>
        <v/>
      </c>
      <c r="AF15" s="29">
        <f>AD15*N(O15)/100</f>
        <v/>
      </c>
      <c r="AG15" s="29">
        <f>AD15*N(P15)/100</f>
        <v/>
      </c>
      <c r="AH15" s="50">
        <f>IF(Q15="yes",AD15/1000,0)</f>
        <v/>
      </c>
      <c r="AI15" s="50">
        <f>IF(S15="FG2",AH15*X15,AH15)</f>
        <v/>
      </c>
    </row>
    <row r="16">
      <c r="A16" s="7" t="inlineStr">
        <is>
          <t>HM00663</t>
        </is>
      </c>
      <c r="B16" s="16" t="inlineStr">
        <is>
          <t>8712345249090</t>
        </is>
      </c>
      <c r="C16" s="7" t="inlineStr">
        <is>
          <t>WHOLE MILK 4PT 2.27L FJELDA</t>
        </is>
      </c>
      <c r="D16" s="7" t="inlineStr">
        <is>
          <t>Whole milk, 4pt 2.27l</t>
        </is>
      </c>
      <c r="E16" s="7" t="inlineStr">
        <is>
          <t>Fjelda</t>
        </is>
      </c>
      <c r="F16" s="7" t="inlineStr">
        <is>
          <t>Dairy &amp; Eggs</t>
        </is>
      </c>
      <c r="G16" s="7" t="inlineStr">
        <is>
          <t>Milk</t>
        </is>
      </c>
      <c r="H16" s="7" t="inlineStr">
        <is>
          <t>yes</t>
        </is>
      </c>
      <c r="I16" s="7" t="inlineStr">
        <is>
          <t>Animal core</t>
        </is>
      </c>
      <c r="J16" s="7" t="inlineStr">
        <is>
          <t>Milk, yoghurt and cream</t>
        </is>
      </c>
      <c r="K16" s="7" t="inlineStr">
        <is>
          <t>A</t>
        </is>
      </c>
      <c r="L16" s="7" t="inlineStr">
        <is>
          <t>All ingredients on one side</t>
        </is>
      </c>
      <c r="M16" s="51" t="n">
        <v>3.3</v>
      </c>
      <c r="N16" s="7" t="inlineStr">
        <is>
          <t>National food table (CIQUAL in France)</t>
        </is>
      </c>
      <c r="O16" s="54" t="n">
        <v>0</v>
      </c>
      <c r="P16" s="54" t="n">
        <v>3.3</v>
      </c>
      <c r="Q16" s="7" t="inlineStr">
        <is>
          <t>yes</t>
        </is>
      </c>
      <c r="R16" s="7" t="inlineStr">
        <is>
          <t>whole</t>
        </is>
      </c>
      <c r="S16" s="7" t="inlineStr">
        <is>
          <t>FG2</t>
        </is>
      </c>
      <c r="T16" s="7" t="inlineStr">
        <is>
          <t>Dairy</t>
        </is>
      </c>
      <c r="U16" s="7" t="inlineStr">
        <is>
          <t>animal</t>
        </is>
      </c>
      <c r="V16" s="7" t="n"/>
      <c r="W16" s="7" t="n"/>
      <c r="X16" s="55" t="n">
        <v>1</v>
      </c>
      <c r="Y16" s="50" t="n">
        <v>2.34</v>
      </c>
      <c r="Z16" s="7" t="inlineStr">
        <is>
          <t>declared</t>
        </is>
      </c>
      <c r="AA16" s="19">
        <f>IF(ISBLANK(Welcome!D42),"",Welcome!D42)</f>
        <v/>
      </c>
      <c r="AB16" s="29">
        <f>IF(ISBLANK(Welcome!E42),"",Welcome!E42)</f>
        <v/>
      </c>
      <c r="AC16" s="29">
        <f>IF(N(AB16)&gt;0,N(AB16),N(AA16)*Y16)</f>
        <v/>
      </c>
      <c r="AD16" s="29">
        <f>IF(H16="yes",AC16,0)</f>
        <v/>
      </c>
      <c r="AE16" s="29">
        <f>AD16*N(M16)/100</f>
        <v/>
      </c>
      <c r="AF16" s="29">
        <f>AD16*N(O16)/100</f>
        <v/>
      </c>
      <c r="AG16" s="29">
        <f>AD16*N(P16)/100</f>
        <v/>
      </c>
      <c r="AH16" s="50">
        <f>IF(Q16="yes",AD16/1000,0)</f>
        <v/>
      </c>
      <c r="AI16" s="50">
        <f>IF(S16="FG2",AH16*X16,AH16)</f>
        <v/>
      </c>
    </row>
    <row r="17">
      <c r="A17" s="7" t="inlineStr">
        <is>
          <t>HM00728</t>
        </is>
      </c>
      <c r="B17" s="16" t="inlineStr">
        <is>
          <t>3012345814577</t>
        </is>
      </c>
      <c r="C17" s="7" t="inlineStr">
        <is>
          <t>HM COLA 2L</t>
        </is>
      </c>
      <c r="D17" s="7" t="inlineStr">
        <is>
          <t>Cola, 2l</t>
        </is>
      </c>
      <c r="E17" s="7" t="inlineStr">
        <is>
          <t>Harbour Market</t>
        </is>
      </c>
      <c r="F17" s="7" t="inlineStr">
        <is>
          <t>Soft Drinks &amp; Water</t>
        </is>
      </c>
      <c r="G17" s="7" t="inlineStr">
        <is>
          <t>Soft Drinks</t>
        </is>
      </c>
      <c r="H17" s="7" t="inlineStr">
        <is>
          <t>yes</t>
        </is>
      </c>
      <c r="I17" s="7" t="inlineStr">
        <is>
          <t>Plant-based non-core</t>
        </is>
      </c>
      <c r="J17" s="7" t="inlineStr">
        <is>
          <t>Outside the WWF scope</t>
        </is>
      </c>
      <c r="K17" s="7" t="inlineStr">
        <is>
          <t>A</t>
        </is>
      </c>
      <c r="L17" s="7" t="inlineStr">
        <is>
          <t>All ingredients on one side</t>
        </is>
      </c>
      <c r="M17" s="51" t="n">
        <v>0</v>
      </c>
      <c r="N17" s="7" t="inlineStr">
        <is>
          <t>Declared by the retailer</t>
        </is>
      </c>
      <c r="O17" s="54" t="n">
        <v>0</v>
      </c>
      <c r="P17" s="54" t="n">
        <v>0</v>
      </c>
      <c r="Q17" s="7" t="inlineStr">
        <is>
          <t>no</t>
        </is>
      </c>
      <c r="R17" s="7" t="n"/>
      <c r="S17" s="7" t="n"/>
      <c r="T17" s="7" t="n"/>
      <c r="U17" s="7" t="n"/>
      <c r="V17" s="7" t="n"/>
      <c r="W17" s="7" t="inlineStr">
        <is>
          <t>beverage</t>
        </is>
      </c>
      <c r="X17" s="55" t="n">
        <v>1</v>
      </c>
      <c r="Y17" s="50" t="n">
        <v>2</v>
      </c>
      <c r="Z17" s="7" t="inlineStr">
        <is>
          <t>declared</t>
        </is>
      </c>
      <c r="AA17" s="19">
        <f>IF(ISBLANK(Welcome!D43),"",Welcome!D43)</f>
        <v/>
      </c>
      <c r="AB17" s="29">
        <f>IF(ISBLANK(Welcome!E43),"",Welcome!E43)</f>
        <v/>
      </c>
      <c r="AC17" s="29">
        <f>IF(N(AB17)&gt;0,N(AB17),N(AA17)*Y17)</f>
        <v/>
      </c>
      <c r="AD17" s="29">
        <f>IF(H17="yes",AC17,0)</f>
        <v/>
      </c>
      <c r="AE17" s="29">
        <f>AD17*N(M17)/100</f>
        <v/>
      </c>
      <c r="AF17" s="29">
        <f>AD17*N(O17)/100</f>
        <v/>
      </c>
      <c r="AG17" s="29">
        <f>AD17*N(P17)/100</f>
        <v/>
      </c>
      <c r="AH17" s="50">
        <f>IF(Q17="yes",AD17/1000,0)</f>
        <v/>
      </c>
      <c r="AI17" s="50">
        <f>IF(S17="FG2",AH17*X17,AH17)</f>
        <v/>
      </c>
    </row>
    <row r="18">
      <c r="A18" s="7" t="inlineStr">
        <is>
          <t>HM00239</t>
        </is>
      </c>
      <c r="B18" s="16" t="inlineStr">
        <is>
          <t>8712345661670</t>
        </is>
      </c>
      <c r="C18" s="7" t="inlineStr">
        <is>
          <t>HM OAT DRINK BARISTA 6X1L</t>
        </is>
      </c>
      <c r="D18" s="7" t="inlineStr">
        <is>
          <t>Oat drink, barista edition, 6x1l</t>
        </is>
      </c>
      <c r="E18" s="7" t="inlineStr">
        <is>
          <t>Harbour Market</t>
        </is>
      </c>
      <c r="F18" s="7" t="inlineStr">
        <is>
          <t>Plant-Based</t>
        </is>
      </c>
      <c r="G18" s="7" t="inlineStr">
        <is>
          <t>Plant Drinks</t>
        </is>
      </c>
      <c r="H18" s="7" t="inlineStr">
        <is>
          <t>yes</t>
        </is>
      </c>
      <c r="I18" s="7" t="inlineStr">
        <is>
          <t>Plant-based core</t>
        </is>
      </c>
      <c r="J18" s="7" t="inlineStr">
        <is>
          <t>Plant-based dairy alternatives</t>
        </is>
      </c>
      <c r="K18" s="7" t="inlineStr">
        <is>
          <t>A</t>
        </is>
      </c>
      <c r="L18" s="7" t="inlineStr">
        <is>
          <t>All ingredients on one side</t>
        </is>
      </c>
      <c r="M18" s="51" t="n">
        <v>1</v>
      </c>
      <c r="N18" s="7" t="inlineStr">
        <is>
          <t>Declared by the retailer</t>
        </is>
      </c>
      <c r="O18" s="54" t="n">
        <v>1</v>
      </c>
      <c r="P18" s="54" t="n">
        <v>0</v>
      </c>
      <c r="Q18" s="7" t="inlineStr">
        <is>
          <t>yes</t>
        </is>
      </c>
      <c r="R18" s="7" t="inlineStr">
        <is>
          <t>whole</t>
        </is>
      </c>
      <c r="S18" s="7" t="inlineStr">
        <is>
          <t>FG2</t>
        </is>
      </c>
      <c r="T18" s="7" t="inlineStr">
        <is>
          <t>Dairy alternatives</t>
        </is>
      </c>
      <c r="U18" s="7" t="inlineStr">
        <is>
          <t>plant</t>
        </is>
      </c>
      <c r="V18" s="7" t="n"/>
      <c r="W18" s="7" t="n"/>
      <c r="X18" s="55" t="n">
        <v>1</v>
      </c>
      <c r="Y18" s="50" t="n">
        <v>6.18</v>
      </c>
      <c r="Z18" s="7" t="inlineStr">
        <is>
          <t>declared</t>
        </is>
      </c>
      <c r="AA18" s="19">
        <f>IF(ISBLANK(Welcome!D44),"",Welcome!D44)</f>
        <v/>
      </c>
      <c r="AB18" s="29">
        <f>IF(ISBLANK(Welcome!E44),"",Welcome!E44)</f>
        <v/>
      </c>
      <c r="AC18" s="29">
        <f>IF(N(AB18)&gt;0,N(AB18),N(AA18)*Y18)</f>
        <v/>
      </c>
      <c r="AD18" s="29">
        <f>IF(H18="yes",AC18,0)</f>
        <v/>
      </c>
      <c r="AE18" s="29">
        <f>AD18*N(M18)/100</f>
        <v/>
      </c>
      <c r="AF18" s="29">
        <f>AD18*N(O18)/100</f>
        <v/>
      </c>
      <c r="AG18" s="29">
        <f>AD18*N(P18)/100</f>
        <v/>
      </c>
      <c r="AH18" s="50">
        <f>IF(Q18="yes",AD18/1000,0)</f>
        <v/>
      </c>
      <c r="AI18" s="50">
        <f>IF(S18="FG2",AH18*X18,AH18)</f>
        <v/>
      </c>
    </row>
    <row r="19">
      <c r="A19" s="7" t="inlineStr">
        <is>
          <t>HM00530</t>
        </is>
      </c>
      <c r="B19" s="16" t="inlineStr">
        <is>
          <t>8712345208295</t>
        </is>
      </c>
      <c r="C19" s="7" t="inlineStr">
        <is>
          <t>HM COLA ZERO 6X330ML</t>
        </is>
      </c>
      <c r="D19" s="7" t="inlineStr">
        <is>
          <t>Cola, no sugar, 6x330ml</t>
        </is>
      </c>
      <c r="E19" s="7" t="inlineStr">
        <is>
          <t>Harbour Market</t>
        </is>
      </c>
      <c r="F19" s="7" t="inlineStr">
        <is>
          <t>Soft Drinks &amp; Water</t>
        </is>
      </c>
      <c r="G19" s="7" t="inlineStr">
        <is>
          <t>Soft Drinks</t>
        </is>
      </c>
      <c r="H19" s="7" t="inlineStr">
        <is>
          <t>yes</t>
        </is>
      </c>
      <c r="I19" s="7" t="inlineStr">
        <is>
          <t>Plant-based non-core</t>
        </is>
      </c>
      <c r="J19" s="7" t="inlineStr">
        <is>
          <t>Outside the WWF scope</t>
        </is>
      </c>
      <c r="K19" s="7" t="inlineStr">
        <is>
          <t>B</t>
        </is>
      </c>
      <c r="L19" s="7" t="inlineStr">
        <is>
          <t>Follows the class</t>
        </is>
      </c>
      <c r="M19" s="51" t="n">
        <v>0</v>
      </c>
      <c r="N19" s="7" t="inlineStr">
        <is>
          <t>National food table (CIQUAL in France)</t>
        </is>
      </c>
      <c r="O19" s="54" t="n">
        <v>0</v>
      </c>
      <c r="P19" s="54" t="n">
        <v>0</v>
      </c>
      <c r="Q19" s="7" t="inlineStr">
        <is>
          <t>no</t>
        </is>
      </c>
      <c r="R19" s="7" t="n"/>
      <c r="S19" s="7" t="n"/>
      <c r="T19" s="7" t="n"/>
      <c r="U19" s="7" t="n"/>
      <c r="V19" s="7" t="n"/>
      <c r="W19" s="7" t="inlineStr">
        <is>
          <t>beverage</t>
        </is>
      </c>
      <c r="X19" s="55" t="n">
        <v>1</v>
      </c>
      <c r="Y19" s="50" t="n">
        <v>1.98</v>
      </c>
      <c r="Z19" s="7" t="inlineStr">
        <is>
          <t>declared</t>
        </is>
      </c>
      <c r="AA19" s="19">
        <f>IF(ISBLANK(Welcome!D45),"",Welcome!D45)</f>
        <v/>
      </c>
      <c r="AB19" s="29">
        <f>IF(ISBLANK(Welcome!E45),"",Welcome!E45)</f>
        <v/>
      </c>
      <c r="AC19" s="29">
        <f>IF(N(AB19)&gt;0,N(AB19),N(AA19)*Y19)</f>
        <v/>
      </c>
      <c r="AD19" s="29">
        <f>IF(H19="yes",AC19,0)</f>
        <v/>
      </c>
      <c r="AE19" s="29">
        <f>AD19*N(M19)/100</f>
        <v/>
      </c>
      <c r="AF19" s="29">
        <f>AD19*N(O19)/100</f>
        <v/>
      </c>
      <c r="AG19" s="29">
        <f>AD19*N(P19)/100</f>
        <v/>
      </c>
      <c r="AH19" s="50">
        <f>IF(Q19="yes",AD19/1000,0)</f>
        <v/>
      </c>
      <c r="AI19" s="50">
        <f>IF(S19="FG2",AH19*X19,AH19)</f>
        <v/>
      </c>
    </row>
    <row r="20">
      <c r="A20" s="7" t="inlineStr">
        <is>
          <t>HM00170</t>
        </is>
      </c>
      <c r="B20" s="16" t="inlineStr">
        <is>
          <t>4012345903157</t>
        </is>
      </c>
      <c r="C20" s="7" t="inlineStr">
        <is>
          <t>HM BABY POTATOES 2.5KG</t>
        </is>
      </c>
      <c r="D20" s="7" t="inlineStr">
        <is>
          <t>Baby potatoes, 2.5kg</t>
        </is>
      </c>
      <c r="E20" s="7" t="inlineStr">
        <is>
          <t>Harbour Market</t>
        </is>
      </c>
      <c r="F20" s="7" t="inlineStr">
        <is>
          <t>Fruit &amp; Vegetables</t>
        </is>
      </c>
      <c r="G20" s="7" t="inlineStr">
        <is>
          <t>Potatoes</t>
        </is>
      </c>
      <c r="H20" s="7" t="inlineStr">
        <is>
          <t>yes</t>
        </is>
      </c>
      <c r="I20" s="7" t="inlineStr">
        <is>
          <t>Plant-based non-core</t>
        </is>
      </c>
      <c r="J20" s="7" t="inlineStr">
        <is>
          <t>Starchy foods</t>
        </is>
      </c>
      <c r="K20" s="7" t="inlineStr">
        <is>
          <t>B</t>
        </is>
      </c>
      <c r="L20" s="7" t="inlineStr">
        <is>
          <t>Follows the class</t>
        </is>
      </c>
      <c r="M20" s="51" t="n">
        <v>2.1</v>
      </c>
      <c r="N20" s="7" t="inlineStr">
        <is>
          <t>Altera reference base</t>
        </is>
      </c>
      <c r="O20" s="54" t="n">
        <v>2.1</v>
      </c>
      <c r="P20" s="54" t="n">
        <v>0</v>
      </c>
      <c r="Q20" s="7" t="inlineStr">
        <is>
          <t>yes</t>
        </is>
      </c>
      <c r="R20" s="7" t="inlineStr">
        <is>
          <t>whole</t>
        </is>
      </c>
      <c r="S20" s="7" t="inlineStr">
        <is>
          <t>FG6</t>
        </is>
      </c>
      <c r="T20" s="7" t="n"/>
      <c r="U20" s="7" t="inlineStr">
        <is>
          <t>plant</t>
        </is>
      </c>
      <c r="V20" s="7" t="n"/>
      <c r="W20" s="7" t="n"/>
      <c r="X20" s="55" t="n">
        <v>1</v>
      </c>
      <c r="Y20" s="50" t="n">
        <v>2.5</v>
      </c>
      <c r="Z20" s="7" t="inlineStr">
        <is>
          <t>declared</t>
        </is>
      </c>
      <c r="AA20" s="19">
        <f>IF(ISBLANK(Welcome!D46),"",Welcome!D46)</f>
        <v/>
      </c>
      <c r="AB20" s="29">
        <f>IF(ISBLANK(Welcome!E46),"",Welcome!E46)</f>
        <v/>
      </c>
      <c r="AC20" s="29">
        <f>IF(N(AB20)&gt;0,N(AB20),N(AA20)*Y20)</f>
        <v/>
      </c>
      <c r="AD20" s="29">
        <f>IF(H20="yes",AC20,0)</f>
        <v/>
      </c>
      <c r="AE20" s="29">
        <f>AD20*N(M20)/100</f>
        <v/>
      </c>
      <c r="AF20" s="29">
        <f>AD20*N(O20)/100</f>
        <v/>
      </c>
      <c r="AG20" s="29">
        <f>AD20*N(P20)/100</f>
        <v/>
      </c>
      <c r="AH20" s="50">
        <f>IF(Q20="yes",AD20/1000,0)</f>
        <v/>
      </c>
      <c r="AI20" s="50">
        <f>IF(S20="FG2",AH20*X20,AH20)</f>
        <v/>
      </c>
    </row>
    <row r="21">
      <c r="A21" s="7" t="inlineStr">
        <is>
          <t>HM00273</t>
        </is>
      </c>
      <c r="B21" s="16" t="inlineStr">
        <is>
          <t>8712345836122</t>
        </is>
      </c>
      <c r="C21" s="7" t="inlineStr">
        <is>
          <t>HM BF MINCE 15% 400G</t>
        </is>
      </c>
      <c r="D21" s="7" t="inlineStr">
        <is>
          <t>Beef mince, 15% fat, 400g</t>
        </is>
      </c>
      <c r="E21" s="7" t="inlineStr">
        <is>
          <t>Harbour Market</t>
        </is>
      </c>
      <c r="F21" s="7" t="inlineStr">
        <is>
          <t>Fresh Meat &amp; Poultry</t>
        </is>
      </c>
      <c r="G21" s="7" t="inlineStr">
        <is>
          <t>Beef</t>
        </is>
      </c>
      <c r="H21" s="7" t="inlineStr">
        <is>
          <t>yes</t>
        </is>
      </c>
      <c r="I21" s="7" t="inlineStr">
        <is>
          <t>Animal core</t>
        </is>
      </c>
      <c r="J21" s="7" t="inlineStr">
        <is>
          <t>Red meat</t>
        </is>
      </c>
      <c r="K21" s="7" t="inlineStr">
        <is>
          <t>B</t>
        </is>
      </c>
      <c r="L21" s="7" t="inlineStr">
        <is>
          <t>Follows the class</t>
        </is>
      </c>
      <c r="M21" s="51" t="n">
        <v>19.3</v>
      </c>
      <c r="N21" s="7" t="inlineStr">
        <is>
          <t>Median of the family</t>
        </is>
      </c>
      <c r="O21" s="54" t="n">
        <v>0</v>
      </c>
      <c r="P21" s="54" t="n">
        <v>19.3</v>
      </c>
      <c r="Q21" s="7" t="inlineStr">
        <is>
          <t>yes</t>
        </is>
      </c>
      <c r="R21" s="7" t="inlineStr">
        <is>
          <t>whole</t>
        </is>
      </c>
      <c r="S21" s="7" t="inlineStr">
        <is>
          <t>FG1</t>
        </is>
      </c>
      <c r="T21" s="7" t="inlineStr">
        <is>
          <t>Red meat</t>
        </is>
      </c>
      <c r="U21" s="7" t="inlineStr">
        <is>
          <t>animal</t>
        </is>
      </c>
      <c r="V21" s="7" t="n"/>
      <c r="W21" s="7" t="n"/>
      <c r="X21" s="55" t="n">
        <v>1</v>
      </c>
      <c r="Y21" s="50" t="n">
        <v>0.4</v>
      </c>
      <c r="Z21" s="7" t="inlineStr">
        <is>
          <t>declared</t>
        </is>
      </c>
      <c r="AA21" s="19">
        <f>IF(ISBLANK(Welcome!D47),"",Welcome!D47)</f>
        <v/>
      </c>
      <c r="AB21" s="29">
        <f>IF(ISBLANK(Welcome!E47),"",Welcome!E47)</f>
        <v/>
      </c>
      <c r="AC21" s="29">
        <f>IF(N(AB21)&gt;0,N(AB21),N(AA21)*Y21)</f>
        <v/>
      </c>
      <c r="AD21" s="29">
        <f>IF(H21="yes",AC21,0)</f>
        <v/>
      </c>
      <c r="AE21" s="29">
        <f>AD21*N(M21)/100</f>
        <v/>
      </c>
      <c r="AF21" s="29">
        <f>AD21*N(O21)/100</f>
        <v/>
      </c>
      <c r="AG21" s="29">
        <f>AD21*N(P21)/100</f>
        <v/>
      </c>
      <c r="AH21" s="50">
        <f>IF(Q21="yes",AD21/1000,0)</f>
        <v/>
      </c>
      <c r="AI21" s="50">
        <f>IF(S21="FG2",AH21*X21,AH21)</f>
        <v/>
      </c>
    </row>
    <row r="22">
      <c r="A22" s="7" t="inlineStr">
        <is>
          <t>HM00607</t>
        </is>
      </c>
      <c r="B22" s="16" t="inlineStr">
        <is>
          <t>8712345174989</t>
        </is>
      </c>
      <c r="C22" s="7" t="inlineStr">
        <is>
          <t>HM RASPBERRIES 250G</t>
        </is>
      </c>
      <c r="D22" s="7" t="inlineStr">
        <is>
          <t>Raspberries, 250g</t>
        </is>
      </c>
      <c r="E22" s="7" t="inlineStr">
        <is>
          <t>Harbour Market</t>
        </is>
      </c>
      <c r="F22" s="7" t="inlineStr">
        <is>
          <t>Fruit &amp; Vegetables</t>
        </is>
      </c>
      <c r="G22" s="7" t="inlineStr">
        <is>
          <t>Fruit</t>
        </is>
      </c>
      <c r="H22" s="7" t="inlineStr">
        <is>
          <t>yes</t>
        </is>
      </c>
      <c r="I22" s="7" t="inlineStr">
        <is>
          <t>Plant-based non-core</t>
        </is>
      </c>
      <c r="J22" s="7" t="inlineStr">
        <is>
          <t>Fruit and vegetables</t>
        </is>
      </c>
      <c r="K22" s="7" t="inlineStr">
        <is>
          <t>B</t>
        </is>
      </c>
      <c r="L22" s="7" t="inlineStr">
        <is>
          <t>Follows the class</t>
        </is>
      </c>
      <c r="M22" s="51" t="n">
        <v>1.1</v>
      </c>
      <c r="N22" s="7" t="inlineStr">
        <is>
          <t>Declared by the retailer</t>
        </is>
      </c>
      <c r="O22" s="54" t="n">
        <v>1.1</v>
      </c>
      <c r="P22" s="54" t="n">
        <v>0</v>
      </c>
      <c r="Q22" s="7" t="inlineStr">
        <is>
          <t>yes</t>
        </is>
      </c>
      <c r="R22" s="7" t="inlineStr">
        <is>
          <t>whole</t>
        </is>
      </c>
      <c r="S22" s="7" t="inlineStr">
        <is>
          <t>FG4</t>
        </is>
      </c>
      <c r="T22" s="7" t="n"/>
      <c r="U22" s="7" t="inlineStr">
        <is>
          <t>plant</t>
        </is>
      </c>
      <c r="V22" s="7" t="n"/>
      <c r="W22" s="7" t="n"/>
      <c r="X22" s="55" t="n">
        <v>1</v>
      </c>
      <c r="Y22" s="50" t="n">
        <v>0.25</v>
      </c>
      <c r="Z22" s="7" t="inlineStr">
        <is>
          <t>declared</t>
        </is>
      </c>
      <c r="AA22" s="19">
        <f>IF(ISBLANK(Welcome!D48),"",Welcome!D48)</f>
        <v/>
      </c>
      <c r="AB22" s="29">
        <f>IF(ISBLANK(Welcome!E48),"",Welcome!E48)</f>
        <v/>
      </c>
      <c r="AC22" s="29">
        <f>IF(N(AB22)&gt;0,N(AB22),N(AA22)*Y22)</f>
        <v/>
      </c>
      <c r="AD22" s="29">
        <f>IF(H22="yes",AC22,0)</f>
        <v/>
      </c>
      <c r="AE22" s="29">
        <f>AD22*N(M22)/100</f>
        <v/>
      </c>
      <c r="AF22" s="29">
        <f>AD22*N(O22)/100</f>
        <v/>
      </c>
      <c r="AG22" s="29">
        <f>AD22*N(P22)/100</f>
        <v/>
      </c>
      <c r="AH22" s="50">
        <f>IF(Q22="yes",AD22/1000,0)</f>
        <v/>
      </c>
      <c r="AI22" s="50">
        <f>IF(S22="FG2",AH22*X22,AH22)</f>
        <v/>
      </c>
    </row>
    <row r="23">
      <c r="A23" s="7" t="inlineStr">
        <is>
          <t>HM00623</t>
        </is>
      </c>
      <c r="B23" s="16" t="inlineStr">
        <is>
          <t>4012345831160</t>
        </is>
      </c>
      <c r="C23" s="7" t="inlineStr">
        <is>
          <t>HM SPARKLING WATER 500ML</t>
        </is>
      </c>
      <c r="D23" s="7" t="inlineStr">
        <is>
          <t>Sparkling mineral water, 500ml</t>
        </is>
      </c>
      <c r="E23" s="7" t="inlineStr">
        <is>
          <t>Harbour Market</t>
        </is>
      </c>
      <c r="F23" s="7" t="inlineStr">
        <is>
          <t>Soft Drinks &amp; Water</t>
        </is>
      </c>
      <c r="G23" s="7" t="inlineStr">
        <is>
          <t>Water</t>
        </is>
      </c>
      <c r="H23" s="7" t="inlineStr">
        <is>
          <t>yes</t>
        </is>
      </c>
      <c r="I23" s="7" t="inlineStr">
        <is>
          <t>Plant-based non-core</t>
        </is>
      </c>
      <c r="J23" s="7" t="inlineStr">
        <is>
          <t>Outside the WWF scope</t>
        </is>
      </c>
      <c r="K23" s="7" t="inlineStr">
        <is>
          <t>B</t>
        </is>
      </c>
      <c r="L23" s="7" t="inlineStr">
        <is>
          <t>Follows the class</t>
        </is>
      </c>
      <c r="M23" s="51" t="n">
        <v>0</v>
      </c>
      <c r="N23" s="7" t="inlineStr">
        <is>
          <t>Declared by the retailer</t>
        </is>
      </c>
      <c r="O23" s="54" t="n">
        <v>0</v>
      </c>
      <c r="P23" s="54" t="n">
        <v>0</v>
      </c>
      <c r="Q23" s="7" t="inlineStr">
        <is>
          <t>no</t>
        </is>
      </c>
      <c r="R23" s="7" t="n"/>
      <c r="S23" s="7" t="n"/>
      <c r="T23" s="7" t="n"/>
      <c r="U23" s="7" t="n"/>
      <c r="V23" s="7" t="n"/>
      <c r="W23" s="7" t="inlineStr">
        <is>
          <t>beverage</t>
        </is>
      </c>
      <c r="X23" s="55" t="n">
        <v>1</v>
      </c>
      <c r="Y23" s="50" t="n">
        <v>0.5</v>
      </c>
      <c r="Z23" s="7" t="inlineStr">
        <is>
          <t>declared</t>
        </is>
      </c>
      <c r="AA23" s="19">
        <f>IF(ISBLANK(Welcome!D49),"",Welcome!D49)</f>
        <v/>
      </c>
      <c r="AB23" s="29">
        <f>IF(ISBLANK(Welcome!E49),"",Welcome!E49)</f>
        <v/>
      </c>
      <c r="AC23" s="29">
        <f>IF(N(AB23)&gt;0,N(AB23),N(AA23)*Y23)</f>
        <v/>
      </c>
      <c r="AD23" s="29">
        <f>IF(H23="yes",AC23,0)</f>
        <v/>
      </c>
      <c r="AE23" s="29">
        <f>AD23*N(M23)/100</f>
        <v/>
      </c>
      <c r="AF23" s="29">
        <f>AD23*N(O23)/100</f>
        <v/>
      </c>
      <c r="AG23" s="29">
        <f>AD23*N(P23)/100</f>
        <v/>
      </c>
      <c r="AH23" s="50">
        <f>IF(Q23="yes",AD23/1000,0)</f>
        <v/>
      </c>
      <c r="AI23" s="50">
        <f>IF(S23="FG2",AH23*X23,AH23)</f>
        <v/>
      </c>
    </row>
    <row r="24">
      <c r="A24" s="7" t="inlineStr">
        <is>
          <t>HM00463</t>
        </is>
      </c>
      <c r="B24" s="16" t="inlineStr">
        <is>
          <t>4012345833027</t>
        </is>
      </c>
      <c r="C24" s="7" t="inlineStr">
        <is>
          <t>HM SKMD MILK 2L</t>
        </is>
      </c>
      <c r="D24" s="7" t="inlineStr">
        <is>
          <t>Skimmed milk, 2l</t>
        </is>
      </c>
      <c r="E24" s="7" t="inlineStr">
        <is>
          <t>Harbour Market</t>
        </is>
      </c>
      <c r="F24" s="7" t="inlineStr">
        <is>
          <t>Dairy &amp; Eggs</t>
        </is>
      </c>
      <c r="G24" s="7" t="inlineStr">
        <is>
          <t>Milk</t>
        </is>
      </c>
      <c r="H24" s="7" t="inlineStr">
        <is>
          <t>yes</t>
        </is>
      </c>
      <c r="I24" s="7" t="inlineStr">
        <is>
          <t>Animal core</t>
        </is>
      </c>
      <c r="J24" s="7" t="inlineStr">
        <is>
          <t>Milk, yoghurt and cream</t>
        </is>
      </c>
      <c r="K24" s="7" t="inlineStr">
        <is>
          <t>A</t>
        </is>
      </c>
      <c r="L24" s="7" t="inlineStr">
        <is>
          <t>All ingredients on one side</t>
        </is>
      </c>
      <c r="M24" s="51" t="n">
        <v>3.6</v>
      </c>
      <c r="N24" s="7" t="inlineStr">
        <is>
          <t>Declared by the retailer</t>
        </is>
      </c>
      <c r="O24" s="54" t="n">
        <v>0</v>
      </c>
      <c r="P24" s="54" t="n">
        <v>3.6</v>
      </c>
      <c r="Q24" s="7" t="inlineStr">
        <is>
          <t>yes</t>
        </is>
      </c>
      <c r="R24" s="7" t="inlineStr">
        <is>
          <t>whole</t>
        </is>
      </c>
      <c r="S24" s="7" t="inlineStr">
        <is>
          <t>FG2</t>
        </is>
      </c>
      <c r="T24" s="7" t="inlineStr">
        <is>
          <t>Dairy</t>
        </is>
      </c>
      <c r="U24" s="7" t="inlineStr">
        <is>
          <t>animal</t>
        </is>
      </c>
      <c r="V24" s="7" t="n"/>
      <c r="W24" s="7" t="n"/>
      <c r="X24" s="55" t="n">
        <v>1</v>
      </c>
      <c r="Y24" s="50" t="n">
        <v>2.06</v>
      </c>
      <c r="Z24" s="7" t="inlineStr">
        <is>
          <t>declared</t>
        </is>
      </c>
      <c r="AA24" s="19">
        <f>IF(ISBLANK(Welcome!D50),"",Welcome!D50)</f>
        <v/>
      </c>
      <c r="AB24" s="29">
        <f>IF(ISBLANK(Welcome!E50),"",Welcome!E50)</f>
        <v/>
      </c>
      <c r="AC24" s="29">
        <f>IF(N(AB24)&gt;0,N(AB24),N(AA24)*Y24)</f>
        <v/>
      </c>
      <c r="AD24" s="29">
        <f>IF(H24="yes",AC24,0)</f>
        <v/>
      </c>
      <c r="AE24" s="29">
        <f>AD24*N(M24)/100</f>
        <v/>
      </c>
      <c r="AF24" s="29">
        <f>AD24*N(O24)/100</f>
        <v/>
      </c>
      <c r="AG24" s="29">
        <f>AD24*N(P24)/100</f>
        <v/>
      </c>
      <c r="AH24" s="50">
        <f>IF(Q24="yes",AD24/1000,0)</f>
        <v/>
      </c>
      <c r="AI24" s="50">
        <f>IF(S24="FG2",AH24*X24,AH24)</f>
        <v/>
      </c>
    </row>
    <row r="25">
      <c r="A25" s="7" t="inlineStr">
        <is>
          <t>HM00673</t>
        </is>
      </c>
      <c r="B25" s="16" t="inlineStr">
        <is>
          <t>3012345058216</t>
        </is>
      </c>
      <c r="C25" s="7" t="inlineStr">
        <is>
          <t>HM SKMD MILK 1L</t>
        </is>
      </c>
      <c r="D25" s="7" t="inlineStr">
        <is>
          <t>Skimmed milk, 1l</t>
        </is>
      </c>
      <c r="E25" s="7" t="inlineStr">
        <is>
          <t>Harbour Market</t>
        </is>
      </c>
      <c r="F25" s="7" t="inlineStr">
        <is>
          <t>Dairy &amp; Eggs</t>
        </is>
      </c>
      <c r="G25" s="7" t="inlineStr">
        <is>
          <t>Milk</t>
        </is>
      </c>
      <c r="H25" s="7" t="inlineStr">
        <is>
          <t>yes</t>
        </is>
      </c>
      <c r="I25" s="7" t="inlineStr">
        <is>
          <t>Animal core</t>
        </is>
      </c>
      <c r="J25" s="7" t="inlineStr">
        <is>
          <t>Milk, yoghurt and cream</t>
        </is>
      </c>
      <c r="K25" s="7" t="inlineStr">
        <is>
          <t>A</t>
        </is>
      </c>
      <c r="L25" s="7" t="inlineStr">
        <is>
          <t>All ingredients on one side</t>
        </is>
      </c>
      <c r="M25" s="51" t="n">
        <v>3.6</v>
      </c>
      <c r="N25" s="7" t="inlineStr">
        <is>
          <t>Declared by the retailer</t>
        </is>
      </c>
      <c r="O25" s="54" t="n">
        <v>0</v>
      </c>
      <c r="P25" s="54" t="n">
        <v>3.6</v>
      </c>
      <c r="Q25" s="7" t="inlineStr">
        <is>
          <t>yes</t>
        </is>
      </c>
      <c r="R25" s="7" t="inlineStr">
        <is>
          <t>whole</t>
        </is>
      </c>
      <c r="S25" s="7" t="inlineStr">
        <is>
          <t>FG2</t>
        </is>
      </c>
      <c r="T25" s="7" t="inlineStr">
        <is>
          <t>Dairy</t>
        </is>
      </c>
      <c r="U25" s="7" t="inlineStr">
        <is>
          <t>animal</t>
        </is>
      </c>
      <c r="V25" s="7" t="n"/>
      <c r="W25" s="7" t="n"/>
      <c r="X25" s="55" t="n">
        <v>1</v>
      </c>
      <c r="Y25" s="50" t="n">
        <v>1.03</v>
      </c>
      <c r="Z25" s="7" t="inlineStr">
        <is>
          <t>declared</t>
        </is>
      </c>
      <c r="AA25" s="19">
        <f>IF(ISBLANK(Welcome!D51),"",Welcome!D51)</f>
        <v/>
      </c>
      <c r="AB25" s="29">
        <f>IF(ISBLANK(Welcome!E51),"",Welcome!E51)</f>
        <v/>
      </c>
      <c r="AC25" s="29">
        <f>IF(N(AB25)&gt;0,N(AB25),N(AA25)*Y25)</f>
        <v/>
      </c>
      <c r="AD25" s="29">
        <f>IF(H25="yes",AC25,0)</f>
        <v/>
      </c>
      <c r="AE25" s="29">
        <f>AD25*N(M25)/100</f>
        <v/>
      </c>
      <c r="AF25" s="29">
        <f>AD25*N(O25)/100</f>
        <v/>
      </c>
      <c r="AG25" s="29">
        <f>AD25*N(P25)/100</f>
        <v/>
      </c>
      <c r="AH25" s="50">
        <f>IF(Q25="yes",AD25/1000,0)</f>
        <v/>
      </c>
      <c r="AI25" s="50">
        <f>IF(S25="FG2",AH25*X25,AH25)</f>
        <v/>
      </c>
    </row>
    <row r="26">
      <c r="A26" s="7" t="inlineStr">
        <is>
          <t>HM00119</t>
        </is>
      </c>
      <c r="B26" s="16" t="inlineStr">
        <is>
          <t>8712345605605</t>
        </is>
      </c>
      <c r="C26" s="7" t="inlineStr">
        <is>
          <t>LAGER 12X440ML PENWARD</t>
        </is>
      </c>
      <c r="D26" s="7" t="inlineStr">
        <is>
          <t>Lager, 12x440ml</t>
        </is>
      </c>
      <c r="E26" s="7" t="inlineStr">
        <is>
          <t>Penward</t>
        </is>
      </c>
      <c r="F26" s="7" t="inlineStr">
        <is>
          <t>Beer, Wine &amp; Spirits</t>
        </is>
      </c>
      <c r="G26" s="7" t="inlineStr">
        <is>
          <t>Beer &amp; Cider</t>
        </is>
      </c>
      <c r="H26" s="7" t="inlineStr">
        <is>
          <t>yes</t>
        </is>
      </c>
      <c r="I26" s="7" t="inlineStr">
        <is>
          <t>Plant-based non-core</t>
        </is>
      </c>
      <c r="J26" s="7" t="inlineStr">
        <is>
          <t>Outside the WWF scope</t>
        </is>
      </c>
      <c r="K26" s="7" t="inlineStr">
        <is>
          <t>A</t>
        </is>
      </c>
      <c r="L26" s="7" t="inlineStr">
        <is>
          <t>All ingredients on one side</t>
        </is>
      </c>
      <c r="M26" s="51" t="n">
        <v>0.39</v>
      </c>
      <c r="N26" s="7" t="inlineStr">
        <is>
          <t>Open Food Facts and NEVO, by EAN</t>
        </is>
      </c>
      <c r="O26" s="54" t="n">
        <v>0.39</v>
      </c>
      <c r="P26" s="54" t="n">
        <v>0</v>
      </c>
      <c r="Q26" s="7" t="inlineStr">
        <is>
          <t>no</t>
        </is>
      </c>
      <c r="R26" s="7" t="n"/>
      <c r="S26" s="7" t="n"/>
      <c r="T26" s="7" t="n"/>
      <c r="U26" s="7" t="n"/>
      <c r="V26" s="7" t="n"/>
      <c r="W26" s="7" t="inlineStr">
        <is>
          <t>alcohol</t>
        </is>
      </c>
      <c r="X26" s="55" t="n">
        <v>1</v>
      </c>
      <c r="Y26" s="50" t="n">
        <v>5.28</v>
      </c>
      <c r="Z26" s="7" t="inlineStr">
        <is>
          <t>declared</t>
        </is>
      </c>
      <c r="AA26" s="19">
        <f>IF(ISBLANK(Welcome!D52),"",Welcome!D52)</f>
        <v/>
      </c>
      <c r="AB26" s="29">
        <f>IF(ISBLANK(Welcome!E52),"",Welcome!E52)</f>
        <v/>
      </c>
      <c r="AC26" s="29">
        <f>IF(N(AB26)&gt;0,N(AB26),N(AA26)*Y26)</f>
        <v/>
      </c>
      <c r="AD26" s="29">
        <f>IF(H26="yes",AC26,0)</f>
        <v/>
      </c>
      <c r="AE26" s="29">
        <f>AD26*N(M26)/100</f>
        <v/>
      </c>
      <c r="AF26" s="29">
        <f>AD26*N(O26)/100</f>
        <v/>
      </c>
      <c r="AG26" s="29">
        <f>AD26*N(P26)/100</f>
        <v/>
      </c>
      <c r="AH26" s="50">
        <f>IF(Q26="yes",AD26/1000,0)</f>
        <v/>
      </c>
      <c r="AI26" s="50">
        <f>IF(S26="FG2",AH26*X26,AH26)</f>
        <v/>
      </c>
    </row>
    <row r="27">
      <c r="A27" s="7" t="inlineStr">
        <is>
          <t>HM00662</t>
        </is>
      </c>
      <c r="B27" s="16" t="inlineStr">
        <is>
          <t>8712345536688</t>
        </is>
      </c>
      <c r="C27" s="7" t="inlineStr">
        <is>
          <t>SOLVANE SOYA DRINK UNSWT 6X1L</t>
        </is>
      </c>
      <c r="D27" s="7" t="inlineStr">
        <is>
          <t>Unsweetened soya drink, 6x1l</t>
        </is>
      </c>
      <c r="E27" s="7" t="inlineStr">
        <is>
          <t>Solvane</t>
        </is>
      </c>
      <c r="F27" s="7" t="inlineStr">
        <is>
          <t>Plant-Based</t>
        </is>
      </c>
      <c r="G27" s="7" t="inlineStr">
        <is>
          <t>Plant Drinks</t>
        </is>
      </c>
      <c r="H27" s="7" t="inlineStr">
        <is>
          <t>yes</t>
        </is>
      </c>
      <c r="I27" s="7" t="inlineStr">
        <is>
          <t>Plant-based core</t>
        </is>
      </c>
      <c r="J27" s="7" t="inlineStr">
        <is>
          <t>Plant-based dairy alternatives</t>
        </is>
      </c>
      <c r="K27" s="7" t="inlineStr">
        <is>
          <t>A</t>
        </is>
      </c>
      <c r="L27" s="7" t="inlineStr">
        <is>
          <t>All ingredients on one side</t>
        </is>
      </c>
      <c r="M27" s="51" t="n">
        <v>3.3</v>
      </c>
      <c r="N27" s="7" t="inlineStr">
        <is>
          <t>Open Food Facts and NEVO, by EAN</t>
        </is>
      </c>
      <c r="O27" s="54" t="n">
        <v>3.3</v>
      </c>
      <c r="P27" s="54" t="n">
        <v>0</v>
      </c>
      <c r="Q27" s="7" t="inlineStr">
        <is>
          <t>yes</t>
        </is>
      </c>
      <c r="R27" s="7" t="inlineStr">
        <is>
          <t>whole</t>
        </is>
      </c>
      <c r="S27" s="7" t="inlineStr">
        <is>
          <t>FG2</t>
        </is>
      </c>
      <c r="T27" s="7" t="inlineStr">
        <is>
          <t>Dairy alternatives</t>
        </is>
      </c>
      <c r="U27" s="7" t="inlineStr">
        <is>
          <t>plant</t>
        </is>
      </c>
      <c r="V27" s="7" t="n"/>
      <c r="W27" s="7" t="n"/>
      <c r="X27" s="55" t="n">
        <v>1</v>
      </c>
      <c r="Y27" s="50" t="n">
        <v>6.18</v>
      </c>
      <c r="Z27" s="7" t="inlineStr">
        <is>
          <t>declared</t>
        </is>
      </c>
      <c r="AA27" s="19">
        <f>IF(ISBLANK(Welcome!D53),"",Welcome!D53)</f>
        <v/>
      </c>
      <c r="AB27" s="29">
        <f>IF(ISBLANK(Welcome!E53),"",Welcome!E53)</f>
        <v/>
      </c>
      <c r="AC27" s="29">
        <f>IF(N(AB27)&gt;0,N(AB27),N(AA27)*Y27)</f>
        <v/>
      </c>
      <c r="AD27" s="29">
        <f>IF(H27="yes",AC27,0)</f>
        <v/>
      </c>
      <c r="AE27" s="29">
        <f>AD27*N(M27)/100</f>
        <v/>
      </c>
      <c r="AF27" s="29">
        <f>AD27*N(O27)/100</f>
        <v/>
      </c>
      <c r="AG27" s="29">
        <f>AD27*N(P27)/100</f>
        <v/>
      </c>
      <c r="AH27" s="50">
        <f>IF(Q27="yes",AD27/1000,0)</f>
        <v/>
      </c>
      <c r="AI27" s="50">
        <f>IF(S27="FG2",AH27*X27,AH27)</f>
        <v/>
      </c>
    </row>
    <row r="28">
      <c r="A28" s="7" t="inlineStr">
        <is>
          <t>HM00458</t>
        </is>
      </c>
      <c r="B28" s="16" t="inlineStr">
        <is>
          <t>8712345576776</t>
        </is>
      </c>
      <c r="C28" s="7" t="inlineStr">
        <is>
          <t>ALDERWICK MILD CHEDDAR 800G</t>
        </is>
      </c>
      <c r="D28" s="7" t="inlineStr">
        <is>
          <t>Mild cheddar, 800g</t>
        </is>
      </c>
      <c r="E28" s="7" t="inlineStr">
        <is>
          <t>Alderwick</t>
        </is>
      </c>
      <c r="F28" s="7" t="inlineStr">
        <is>
          <t>Cheese</t>
        </is>
      </c>
      <c r="G28" s="7" t="inlineStr">
        <is>
          <t>Hard Cheese</t>
        </is>
      </c>
      <c r="H28" s="7" t="inlineStr">
        <is>
          <t>yes</t>
        </is>
      </c>
      <c r="I28" s="7" t="inlineStr">
        <is>
          <t>Animal core</t>
        </is>
      </c>
      <c r="J28" s="7" t="inlineStr">
        <is>
          <t>Cheese</t>
        </is>
      </c>
      <c r="K28" s="7" t="inlineStr">
        <is>
          <t>A</t>
        </is>
      </c>
      <c r="L28" s="7" t="inlineStr">
        <is>
          <t>All ingredients on one side</t>
        </is>
      </c>
      <c r="M28" s="51" t="n">
        <v>23.9</v>
      </c>
      <c r="N28" s="7" t="inlineStr">
        <is>
          <t>Declared by the retailer</t>
        </is>
      </c>
      <c r="O28" s="54" t="n">
        <v>0</v>
      </c>
      <c r="P28" s="54" t="n">
        <v>23.9</v>
      </c>
      <c r="Q28" s="7" t="inlineStr">
        <is>
          <t>yes</t>
        </is>
      </c>
      <c r="R28" s="7" t="inlineStr">
        <is>
          <t>whole</t>
        </is>
      </c>
      <c r="S28" s="7" t="inlineStr">
        <is>
          <t>FG2</t>
        </is>
      </c>
      <c r="T28" s="7" t="inlineStr">
        <is>
          <t>Dairy</t>
        </is>
      </c>
      <c r="U28" s="7" t="inlineStr">
        <is>
          <t>animal</t>
        </is>
      </c>
      <c r="V28" s="7" t="n"/>
      <c r="W28" s="7" t="n"/>
      <c r="X28" s="55" t="n">
        <v>10</v>
      </c>
      <c r="Y28" s="50" t="n">
        <v>0.8</v>
      </c>
      <c r="Z28" s="7" t="inlineStr">
        <is>
          <t>declared</t>
        </is>
      </c>
      <c r="AA28" s="19">
        <f>IF(ISBLANK(Welcome!D54),"",Welcome!D54)</f>
        <v/>
      </c>
      <c r="AB28" s="29">
        <f>IF(ISBLANK(Welcome!E54),"",Welcome!E54)</f>
        <v/>
      </c>
      <c r="AC28" s="29">
        <f>IF(N(AB28)&gt;0,N(AB28),N(AA28)*Y28)</f>
        <v/>
      </c>
      <c r="AD28" s="29">
        <f>IF(H28="yes",AC28,0)</f>
        <v/>
      </c>
      <c r="AE28" s="29">
        <f>AD28*N(M28)/100</f>
        <v/>
      </c>
      <c r="AF28" s="29">
        <f>AD28*N(O28)/100</f>
        <v/>
      </c>
      <c r="AG28" s="29">
        <f>AD28*N(P28)/100</f>
        <v/>
      </c>
      <c r="AH28" s="50">
        <f>IF(Q28="yes",AD28/1000,0)</f>
        <v/>
      </c>
      <c r="AI28" s="50">
        <f>IF(S28="FG2",AH28*X28,AH28)</f>
        <v/>
      </c>
    </row>
    <row r="29">
      <c r="A29" s="7" t="inlineStr">
        <is>
          <t>HM00793</t>
        </is>
      </c>
      <c r="B29" s="16" t="inlineStr">
        <is>
          <t>5012345249353</t>
        </is>
      </c>
      <c r="C29" s="7" t="inlineStr">
        <is>
          <t>HM BF MINCE 15% 1KG</t>
        </is>
      </c>
      <c r="D29" s="7" t="inlineStr">
        <is>
          <t>Beef mince, 15% fat, 1kg</t>
        </is>
      </c>
      <c r="E29" s="7" t="inlineStr">
        <is>
          <t>Harbour Market</t>
        </is>
      </c>
      <c r="F29" s="7" t="inlineStr">
        <is>
          <t>Fresh Meat &amp; Poultry</t>
        </is>
      </c>
      <c r="G29" s="7" t="inlineStr">
        <is>
          <t>Beef</t>
        </is>
      </c>
      <c r="H29" s="7" t="inlineStr">
        <is>
          <t>yes</t>
        </is>
      </c>
      <c r="I29" s="7" t="inlineStr">
        <is>
          <t>Animal core</t>
        </is>
      </c>
      <c r="J29" s="7" t="inlineStr">
        <is>
          <t>Red meat</t>
        </is>
      </c>
      <c r="K29" s="7" t="inlineStr">
        <is>
          <t>A</t>
        </is>
      </c>
      <c r="L29" s="7" t="inlineStr">
        <is>
          <t>All ingredients on one side</t>
        </is>
      </c>
      <c r="M29" s="51" t="n">
        <v>18.9</v>
      </c>
      <c r="N29" s="7" t="inlineStr">
        <is>
          <t>Open Food Facts and NEVO, by EAN</t>
        </is>
      </c>
      <c r="O29" s="54" t="n">
        <v>0</v>
      </c>
      <c r="P29" s="54" t="n">
        <v>18.9</v>
      </c>
      <c r="Q29" s="7" t="inlineStr">
        <is>
          <t>yes</t>
        </is>
      </c>
      <c r="R29" s="7" t="inlineStr">
        <is>
          <t>whole</t>
        </is>
      </c>
      <c r="S29" s="7" t="inlineStr">
        <is>
          <t>FG1</t>
        </is>
      </c>
      <c r="T29" s="7" t="inlineStr">
        <is>
          <t>Red meat</t>
        </is>
      </c>
      <c r="U29" s="7" t="inlineStr">
        <is>
          <t>animal</t>
        </is>
      </c>
      <c r="V29" s="7" t="n"/>
      <c r="W29" s="7" t="n"/>
      <c r="X29" s="55" t="n">
        <v>1</v>
      </c>
      <c r="Y29" s="50" t="n">
        <v>1</v>
      </c>
      <c r="Z29" s="7" t="inlineStr">
        <is>
          <t>declared</t>
        </is>
      </c>
      <c r="AA29" s="19">
        <f>IF(ISBLANK(Welcome!D55),"",Welcome!D55)</f>
        <v/>
      </c>
      <c r="AB29" s="29">
        <f>IF(ISBLANK(Welcome!E55),"",Welcome!E55)</f>
        <v/>
      </c>
      <c r="AC29" s="29">
        <f>IF(N(AB29)&gt;0,N(AB29),N(AA29)*Y29)</f>
        <v/>
      </c>
      <c r="AD29" s="29">
        <f>IF(H29="yes",AC29,0)</f>
        <v/>
      </c>
      <c r="AE29" s="29">
        <f>AD29*N(M29)/100</f>
        <v/>
      </c>
      <c r="AF29" s="29">
        <f>AD29*N(O29)/100</f>
        <v/>
      </c>
      <c r="AG29" s="29">
        <f>AD29*N(P29)/100</f>
        <v/>
      </c>
      <c r="AH29" s="50">
        <f>IF(Q29="yes",AD29/1000,0)</f>
        <v/>
      </c>
      <c r="AI29" s="50">
        <f>IF(S29="FG2",AH29*X29,AH29)</f>
        <v/>
      </c>
    </row>
    <row r="30">
      <c r="A30" s="7" t="inlineStr">
        <is>
          <t>HM00083</t>
        </is>
      </c>
      <c r="B30" s="16" t="inlineStr">
        <is>
          <t>4012345059229</t>
        </is>
      </c>
      <c r="C30" s="7" t="inlineStr">
        <is>
          <t>HM STRAWBERRIES 1KG</t>
        </is>
      </c>
      <c r="D30" s="7" t="inlineStr">
        <is>
          <t>Strawberries, 1kg</t>
        </is>
      </c>
      <c r="E30" s="7" t="inlineStr">
        <is>
          <t>Harbour Market</t>
        </is>
      </c>
      <c r="F30" s="7" t="inlineStr">
        <is>
          <t>Fruit &amp; Vegetables</t>
        </is>
      </c>
      <c r="G30" s="7" t="inlineStr">
        <is>
          <t>Fruit</t>
        </is>
      </c>
      <c r="H30" s="7" t="inlineStr">
        <is>
          <t>yes</t>
        </is>
      </c>
      <c r="I30" s="7" t="inlineStr">
        <is>
          <t>Plant-based non-core</t>
        </is>
      </c>
      <c r="J30" s="7" t="inlineStr">
        <is>
          <t>Fruit and vegetables</t>
        </is>
      </c>
      <c r="K30" s="7" t="inlineStr">
        <is>
          <t>B</t>
        </is>
      </c>
      <c r="L30" s="7" t="inlineStr">
        <is>
          <t>Follows the class</t>
        </is>
      </c>
      <c r="M30" s="51" t="n">
        <v>0.74</v>
      </c>
      <c r="N30" s="7" t="inlineStr">
        <is>
          <t>Median of the family</t>
        </is>
      </c>
      <c r="O30" s="54" t="n">
        <v>0.74</v>
      </c>
      <c r="P30" s="54" t="n">
        <v>0</v>
      </c>
      <c r="Q30" s="7" t="inlineStr">
        <is>
          <t>yes</t>
        </is>
      </c>
      <c r="R30" s="7" t="inlineStr">
        <is>
          <t>whole</t>
        </is>
      </c>
      <c r="S30" s="7" t="inlineStr">
        <is>
          <t>FG4</t>
        </is>
      </c>
      <c r="T30" s="7" t="n"/>
      <c r="U30" s="7" t="inlineStr">
        <is>
          <t>plant</t>
        </is>
      </c>
      <c r="V30" s="7" t="n"/>
      <c r="W30" s="7" t="n"/>
      <c r="X30" s="55" t="n">
        <v>1</v>
      </c>
      <c r="Y30" s="50" t="n">
        <v>1</v>
      </c>
      <c r="Z30" s="7" t="inlineStr">
        <is>
          <t>declared</t>
        </is>
      </c>
      <c r="AA30" s="19">
        <f>IF(ISBLANK(Welcome!D56),"",Welcome!D56)</f>
        <v/>
      </c>
      <c r="AB30" s="29">
        <f>IF(ISBLANK(Welcome!E56),"",Welcome!E56)</f>
        <v/>
      </c>
      <c r="AC30" s="29">
        <f>IF(N(AB30)&gt;0,N(AB30),N(AA30)*Y30)</f>
        <v/>
      </c>
      <c r="AD30" s="29">
        <f>IF(H30="yes",AC30,0)</f>
        <v/>
      </c>
      <c r="AE30" s="29">
        <f>AD30*N(M30)/100</f>
        <v/>
      </c>
      <c r="AF30" s="29">
        <f>AD30*N(O30)/100</f>
        <v/>
      </c>
      <c r="AG30" s="29">
        <f>AD30*N(P30)/100</f>
        <v/>
      </c>
      <c r="AH30" s="50">
        <f>IF(Q30="yes",AD30/1000,0)</f>
        <v/>
      </c>
      <c r="AI30" s="50">
        <f>IF(S30="FG2",AH30*X30,AH30)</f>
        <v/>
      </c>
    </row>
    <row r="31">
      <c r="A31" s="7" t="inlineStr">
        <is>
          <t>HM00046</t>
        </is>
      </c>
      <c r="B31" s="16" t="inlineStr">
        <is>
          <t>3012345479561</t>
        </is>
      </c>
      <c r="C31" s="7" t="inlineStr">
        <is>
          <t>HM ICED TEA PEACH 2L</t>
        </is>
      </c>
      <c r="D31" s="7" t="inlineStr">
        <is>
          <t>Peach iced tea, 2l</t>
        </is>
      </c>
      <c r="E31" s="7" t="inlineStr">
        <is>
          <t>Harbour Market</t>
        </is>
      </c>
      <c r="F31" s="7" t="inlineStr">
        <is>
          <t>Soft Drinks &amp; Water</t>
        </is>
      </c>
      <c r="G31" s="7" t="inlineStr">
        <is>
          <t>Soft Drinks</t>
        </is>
      </c>
      <c r="H31" s="7" t="inlineStr">
        <is>
          <t>yes</t>
        </is>
      </c>
      <c r="I31" s="7" t="inlineStr">
        <is>
          <t>Plant-based non-core</t>
        </is>
      </c>
      <c r="J31" s="7" t="inlineStr">
        <is>
          <t>Outside the WWF scope</t>
        </is>
      </c>
      <c r="K31" s="7" t="inlineStr">
        <is>
          <t>B</t>
        </is>
      </c>
      <c r="L31" s="7" t="inlineStr">
        <is>
          <t>Follows the class</t>
        </is>
      </c>
      <c r="M31" s="51" t="n">
        <v>0</v>
      </c>
      <c r="N31" s="7" t="inlineStr">
        <is>
          <t>Declared by the retailer</t>
        </is>
      </c>
      <c r="O31" s="54" t="n">
        <v>0</v>
      </c>
      <c r="P31" s="54" t="n">
        <v>0</v>
      </c>
      <c r="Q31" s="7" t="inlineStr">
        <is>
          <t>no</t>
        </is>
      </c>
      <c r="R31" s="7" t="n"/>
      <c r="S31" s="7" t="n"/>
      <c r="T31" s="7" t="n"/>
      <c r="U31" s="7" t="n"/>
      <c r="V31" s="7" t="n"/>
      <c r="W31" s="7" t="inlineStr">
        <is>
          <t>beverage</t>
        </is>
      </c>
      <c r="X31" s="55" t="n">
        <v>1</v>
      </c>
      <c r="Y31" s="50" t="n">
        <v>2</v>
      </c>
      <c r="Z31" s="7" t="inlineStr">
        <is>
          <t>declared</t>
        </is>
      </c>
      <c r="AA31" s="19">
        <f>IF(ISBLANK(Welcome!D57),"",Welcome!D57)</f>
        <v/>
      </c>
      <c r="AB31" s="29">
        <f>IF(ISBLANK(Welcome!E57),"",Welcome!E57)</f>
        <v/>
      </c>
      <c r="AC31" s="29">
        <f>IF(N(AB31)&gt;0,N(AB31),N(AA31)*Y31)</f>
        <v/>
      </c>
      <c r="AD31" s="29">
        <f>IF(H31="yes",AC31,0)</f>
        <v/>
      </c>
      <c r="AE31" s="29">
        <f>AD31*N(M31)/100</f>
        <v/>
      </c>
      <c r="AF31" s="29">
        <f>AD31*N(O31)/100</f>
        <v/>
      </c>
      <c r="AG31" s="29">
        <f>AD31*N(P31)/100</f>
        <v/>
      </c>
      <c r="AH31" s="50">
        <f>IF(Q31="yes",AD31/1000,0)</f>
        <v/>
      </c>
      <c r="AI31" s="50">
        <f>IF(S31="FG2",AH31*X31,AH31)</f>
        <v/>
      </c>
    </row>
    <row r="32">
      <c r="A32" s="7" t="inlineStr">
        <is>
          <t>HM00791</t>
        </is>
      </c>
      <c r="B32" s="16" t="inlineStr">
        <is>
          <t>3012345172820</t>
        </is>
      </c>
      <c r="C32" s="7" t="inlineStr">
        <is>
          <t>PENWARD PALE ALE 10X330ML</t>
        </is>
      </c>
      <c r="D32" s="7" t="inlineStr">
        <is>
          <t>Pale ale, 10x330ml</t>
        </is>
      </c>
      <c r="E32" s="7" t="inlineStr">
        <is>
          <t>Penward</t>
        </is>
      </c>
      <c r="F32" s="7" t="inlineStr">
        <is>
          <t>Beer, Wine &amp; Spirits</t>
        </is>
      </c>
      <c r="G32" s="7" t="inlineStr">
        <is>
          <t>Beer &amp; Cider</t>
        </is>
      </c>
      <c r="H32" s="7" t="inlineStr">
        <is>
          <t>yes</t>
        </is>
      </c>
      <c r="I32" s="7" t="inlineStr">
        <is>
          <t>Plant-based non-core</t>
        </is>
      </c>
      <c r="J32" s="7" t="inlineStr">
        <is>
          <t>Outside the WWF scope</t>
        </is>
      </c>
      <c r="K32" s="7" t="inlineStr">
        <is>
          <t>A</t>
        </is>
      </c>
      <c r="L32" s="7" t="inlineStr">
        <is>
          <t>All ingredients on one side</t>
        </is>
      </c>
      <c r="M32" s="51" t="n">
        <v>0.42</v>
      </c>
      <c r="N32" s="7" t="inlineStr">
        <is>
          <t>Declared by the retailer</t>
        </is>
      </c>
      <c r="O32" s="54" t="n">
        <v>0.42</v>
      </c>
      <c r="P32" s="54" t="n">
        <v>0</v>
      </c>
      <c r="Q32" s="7" t="inlineStr">
        <is>
          <t>no</t>
        </is>
      </c>
      <c r="R32" s="7" t="n"/>
      <c r="S32" s="7" t="n"/>
      <c r="T32" s="7" t="n"/>
      <c r="U32" s="7" t="n"/>
      <c r="V32" s="7" t="n"/>
      <c r="W32" s="7" t="inlineStr">
        <is>
          <t>alcohol</t>
        </is>
      </c>
      <c r="X32" s="55" t="n">
        <v>1</v>
      </c>
      <c r="Y32" s="50" t="n">
        <v>3.3</v>
      </c>
      <c r="Z32" s="7" t="inlineStr">
        <is>
          <t>declared</t>
        </is>
      </c>
      <c r="AA32" s="19">
        <f>IF(ISBLANK(Welcome!D58),"",Welcome!D58)</f>
        <v/>
      </c>
      <c r="AB32" s="29">
        <f>IF(ISBLANK(Welcome!E58),"",Welcome!E58)</f>
        <v/>
      </c>
      <c r="AC32" s="29">
        <f>IF(N(AB32)&gt;0,N(AB32),N(AA32)*Y32)</f>
        <v/>
      </c>
      <c r="AD32" s="29">
        <f>IF(H32="yes",AC32,0)</f>
        <v/>
      </c>
      <c r="AE32" s="29">
        <f>AD32*N(M32)/100</f>
        <v/>
      </c>
      <c r="AF32" s="29">
        <f>AD32*N(O32)/100</f>
        <v/>
      </c>
      <c r="AG32" s="29">
        <f>AD32*N(P32)/100</f>
        <v/>
      </c>
      <c r="AH32" s="50">
        <f>IF(Q32="yes",AD32/1000,0)</f>
        <v/>
      </c>
      <c r="AI32" s="50">
        <f>IF(S32="FG2",AH32*X32,AH32)</f>
        <v/>
      </c>
    </row>
    <row r="33">
      <c r="A33" s="7" t="inlineStr">
        <is>
          <t>HM00215</t>
        </is>
      </c>
      <c r="B33" s="16" t="inlineStr">
        <is>
          <t>2259917616680</t>
        </is>
      </c>
      <c r="C33" s="7" t="inlineStr">
        <is>
          <t>HM APPLES PINK LADY KG</t>
        </is>
      </c>
      <c r="D33" s="7" t="inlineStr">
        <is>
          <t>Pink Lady apples</t>
        </is>
      </c>
      <c r="E33" s="7" t="inlineStr">
        <is>
          <t>Harbour Market</t>
        </is>
      </c>
      <c r="F33" s="7" t="inlineStr">
        <is>
          <t>Fruit &amp; Vegetables</t>
        </is>
      </c>
      <c r="G33" s="7" t="inlineStr">
        <is>
          <t>Fruit</t>
        </is>
      </c>
      <c r="H33" s="7" t="inlineStr">
        <is>
          <t>yes</t>
        </is>
      </c>
      <c r="I33" s="7" t="inlineStr">
        <is>
          <t>Plant-based non-core</t>
        </is>
      </c>
      <c r="J33" s="7" t="inlineStr">
        <is>
          <t>Fruit and vegetables</t>
        </is>
      </c>
      <c r="K33" s="7" t="inlineStr">
        <is>
          <t>B</t>
        </is>
      </c>
      <c r="L33" s="7" t="inlineStr">
        <is>
          <t>Follows the class</t>
        </is>
      </c>
      <c r="M33" s="51" t="n">
        <v>0.29</v>
      </c>
      <c r="N33" s="7" t="inlineStr">
        <is>
          <t>Declared by the retailer</t>
        </is>
      </c>
      <c r="O33" s="54" t="n">
        <v>0.29</v>
      </c>
      <c r="P33" s="54" t="n">
        <v>0</v>
      </c>
      <c r="Q33" s="7" t="inlineStr">
        <is>
          <t>yes</t>
        </is>
      </c>
      <c r="R33" s="7" t="inlineStr">
        <is>
          <t>whole</t>
        </is>
      </c>
      <c r="S33" s="7" t="inlineStr">
        <is>
          <t>FG4</t>
        </is>
      </c>
      <c r="T33" s="7" t="n"/>
      <c r="U33" s="7" t="inlineStr">
        <is>
          <t>plant</t>
        </is>
      </c>
      <c r="V33" s="7" t="n"/>
      <c r="W33" s="7" t="n"/>
      <c r="X33" s="55" t="n">
        <v>1</v>
      </c>
      <c r="Y33" s="50" t="n">
        <v>1</v>
      </c>
      <c r="Z33" s="7" t="inlineStr">
        <is>
          <t>variable</t>
        </is>
      </c>
      <c r="AA33" s="19">
        <f>IF(ISBLANK(Welcome!D59),"",Welcome!D59)</f>
        <v/>
      </c>
      <c r="AB33" s="29">
        <f>IF(ISBLANK(Welcome!E59),"",Welcome!E59)</f>
        <v/>
      </c>
      <c r="AC33" s="29">
        <f>IF(N(AB33)&gt;0,N(AB33),N(AA33)*Y33)</f>
        <v/>
      </c>
      <c r="AD33" s="29">
        <f>IF(H33="yes",AC33,0)</f>
        <v/>
      </c>
      <c r="AE33" s="29">
        <f>AD33*N(M33)/100</f>
        <v/>
      </c>
      <c r="AF33" s="29">
        <f>AD33*N(O33)/100</f>
        <v/>
      </c>
      <c r="AG33" s="29">
        <f>AD33*N(P33)/100</f>
        <v/>
      </c>
      <c r="AH33" s="50">
        <f>IF(Q33="yes",AD33/1000,0)</f>
        <v/>
      </c>
      <c r="AI33" s="50">
        <f>IF(S33="FG2",AH33*X33,AH33)</f>
        <v/>
      </c>
    </row>
    <row r="34">
      <c r="A34" s="7" t="inlineStr">
        <is>
          <t>HM00729</t>
        </is>
      </c>
      <c r="B34" s="16" t="inlineStr">
        <is>
          <t>4012345654707</t>
        </is>
      </c>
      <c r="C34" s="7" t="inlineStr">
        <is>
          <t>COLA ZERO 24X330ML NUVELLE</t>
        </is>
      </c>
      <c r="D34" s="7" t="inlineStr">
        <is>
          <t>Cola, no sugar, 24x330ml</t>
        </is>
      </c>
      <c r="E34" s="7" t="inlineStr">
        <is>
          <t>Nuvelle</t>
        </is>
      </c>
      <c r="F34" s="7" t="inlineStr">
        <is>
          <t>Soft Drinks &amp; Water</t>
        </is>
      </c>
      <c r="G34" s="7" t="inlineStr">
        <is>
          <t>Soft Drinks</t>
        </is>
      </c>
      <c r="H34" s="7" t="inlineStr">
        <is>
          <t>yes</t>
        </is>
      </c>
      <c r="I34" s="7" t="inlineStr">
        <is>
          <t>Plant-based non-core</t>
        </is>
      </c>
      <c r="J34" s="7" t="inlineStr">
        <is>
          <t>Outside the WWF scope</t>
        </is>
      </c>
      <c r="K34" s="7" t="inlineStr">
        <is>
          <t>B</t>
        </is>
      </c>
      <c r="L34" s="7" t="inlineStr">
        <is>
          <t>Follows the class</t>
        </is>
      </c>
      <c r="M34" s="51" t="n">
        <v>0</v>
      </c>
      <c r="N34" s="7" t="inlineStr">
        <is>
          <t>Declared by the retailer</t>
        </is>
      </c>
      <c r="O34" s="54" t="n">
        <v>0</v>
      </c>
      <c r="P34" s="54" t="n">
        <v>0</v>
      </c>
      <c r="Q34" s="7" t="inlineStr">
        <is>
          <t>no</t>
        </is>
      </c>
      <c r="R34" s="7" t="n"/>
      <c r="S34" s="7" t="n"/>
      <c r="T34" s="7" t="n"/>
      <c r="U34" s="7" t="n"/>
      <c r="V34" s="7" t="n"/>
      <c r="W34" s="7" t="inlineStr">
        <is>
          <t>beverage</t>
        </is>
      </c>
      <c r="X34" s="55" t="n">
        <v>1</v>
      </c>
      <c r="Y34" s="50" t="n">
        <v>7.92</v>
      </c>
      <c r="Z34" s="7" t="inlineStr">
        <is>
          <t>label</t>
        </is>
      </c>
      <c r="AA34" s="19">
        <f>IF(ISBLANK(Welcome!D60),"",Welcome!D60)</f>
        <v/>
      </c>
      <c r="AB34" s="29">
        <f>IF(ISBLANK(Welcome!E60),"",Welcome!E60)</f>
        <v/>
      </c>
      <c r="AC34" s="29">
        <f>IF(N(AB34)&gt;0,N(AB34),N(AA34)*Y34)</f>
        <v/>
      </c>
      <c r="AD34" s="29">
        <f>IF(H34="yes",AC34,0)</f>
        <v/>
      </c>
      <c r="AE34" s="29">
        <f>AD34*N(M34)/100</f>
        <v/>
      </c>
      <c r="AF34" s="29">
        <f>AD34*N(O34)/100</f>
        <v/>
      </c>
      <c r="AG34" s="29">
        <f>AD34*N(P34)/100</f>
        <v/>
      </c>
      <c r="AH34" s="50">
        <f>IF(Q34="yes",AD34/1000,0)</f>
        <v/>
      </c>
      <c r="AI34" s="50">
        <f>IF(S34="FG2",AH34*X34,AH34)</f>
        <v/>
      </c>
    </row>
    <row r="35">
      <c r="A35" s="7" t="inlineStr">
        <is>
          <t>HM00282</t>
        </is>
      </c>
      <c r="B35" s="16" t="inlineStr">
        <is>
          <t>3012345916011</t>
        </is>
      </c>
      <c r="C35" s="7" t="inlineStr">
        <is>
          <t>NUVELLE STILL WATER 1.5L</t>
        </is>
      </c>
      <c r="D35" s="7" t="inlineStr">
        <is>
          <t>Still mineral water, 1.5l</t>
        </is>
      </c>
      <c r="E35" s="7" t="inlineStr">
        <is>
          <t>Nuvelle</t>
        </is>
      </c>
      <c r="F35" s="7" t="inlineStr">
        <is>
          <t>Soft Drinks &amp; Water</t>
        </is>
      </c>
      <c r="G35" s="7" t="inlineStr">
        <is>
          <t>Water</t>
        </is>
      </c>
      <c r="H35" s="7" t="inlineStr">
        <is>
          <t>yes</t>
        </is>
      </c>
      <c r="I35" s="7" t="inlineStr">
        <is>
          <t>Plant-based non-core</t>
        </is>
      </c>
      <c r="J35" s="7" t="inlineStr">
        <is>
          <t>Outside the WWF scope</t>
        </is>
      </c>
      <c r="K35" s="7" t="inlineStr">
        <is>
          <t>B</t>
        </is>
      </c>
      <c r="L35" s="7" t="inlineStr">
        <is>
          <t>Follows the class</t>
        </is>
      </c>
      <c r="M35" s="51" t="n">
        <v>0</v>
      </c>
      <c r="N35" s="7" t="inlineStr">
        <is>
          <t>Median of the family</t>
        </is>
      </c>
      <c r="O35" s="54" t="n">
        <v>0</v>
      </c>
      <c r="P35" s="54" t="n">
        <v>0</v>
      </c>
      <c r="Q35" s="7" t="inlineStr">
        <is>
          <t>no</t>
        </is>
      </c>
      <c r="R35" s="7" t="n"/>
      <c r="S35" s="7" t="n"/>
      <c r="T35" s="7" t="n"/>
      <c r="U35" s="7" t="n"/>
      <c r="V35" s="7" t="n"/>
      <c r="W35" s="7" t="inlineStr">
        <is>
          <t>beverage</t>
        </is>
      </c>
      <c r="X35" s="55" t="n">
        <v>1</v>
      </c>
      <c r="Y35" s="50" t="n">
        <v>1.5</v>
      </c>
      <c r="Z35" s="7" t="inlineStr">
        <is>
          <t>declared</t>
        </is>
      </c>
      <c r="AA35" s="19">
        <f>IF(ISBLANK(Welcome!D61),"",Welcome!D61)</f>
        <v/>
      </c>
      <c r="AB35" s="29">
        <f>IF(ISBLANK(Welcome!E61),"",Welcome!E61)</f>
        <v/>
      </c>
      <c r="AC35" s="29">
        <f>IF(N(AB35)&gt;0,N(AB35),N(AA35)*Y35)</f>
        <v/>
      </c>
      <c r="AD35" s="29">
        <f>IF(H35="yes",AC35,0)</f>
        <v/>
      </c>
      <c r="AE35" s="29">
        <f>AD35*N(M35)/100</f>
        <v/>
      </c>
      <c r="AF35" s="29">
        <f>AD35*N(O35)/100</f>
        <v/>
      </c>
      <c r="AG35" s="29">
        <f>AD35*N(P35)/100</f>
        <v/>
      </c>
      <c r="AH35" s="50">
        <f>IF(Q35="yes",AD35/1000,0)</f>
        <v/>
      </c>
      <c r="AI35" s="50">
        <f>IF(S35="FG2",AH35*X35,AH35)</f>
        <v/>
      </c>
    </row>
    <row r="36">
      <c r="A36" s="7" t="inlineStr">
        <is>
          <t>HM00335</t>
        </is>
      </c>
      <c r="B36" s="16" t="inlineStr">
        <is>
          <t>8712345659196</t>
        </is>
      </c>
      <c r="C36" s="7" t="inlineStr">
        <is>
          <t>ORANGE JUICE BITS 1L NUVELLE</t>
        </is>
      </c>
      <c r="D36" s="7" t="inlineStr">
        <is>
          <t>Orange juice with bits, 1l</t>
        </is>
      </c>
      <c r="E36" s="7" t="inlineStr">
        <is>
          <t>Nuvelle</t>
        </is>
      </c>
      <c r="F36" s="7" t="inlineStr">
        <is>
          <t>Soft Drinks &amp; Water</t>
        </is>
      </c>
      <c r="G36" s="7" t="inlineStr">
        <is>
          <t>Juice</t>
        </is>
      </c>
      <c r="H36" s="7" t="inlineStr">
        <is>
          <t>yes</t>
        </is>
      </c>
      <c r="I36" s="7" t="inlineStr">
        <is>
          <t>Plant-based non-core</t>
        </is>
      </c>
      <c r="J36" s="7" t="inlineStr">
        <is>
          <t>Outside the WWF scope</t>
        </is>
      </c>
      <c r="K36" s="7" t="inlineStr">
        <is>
          <t>A</t>
        </is>
      </c>
      <c r="L36" s="7" t="inlineStr">
        <is>
          <t>All ingredients on one side</t>
        </is>
      </c>
      <c r="M36" s="51" t="n">
        <v>0.6899999999999999</v>
      </c>
      <c r="N36" s="7" t="inlineStr">
        <is>
          <t>Altera reference base</t>
        </is>
      </c>
      <c r="O36" s="54" t="n">
        <v>0.6899999999999999</v>
      </c>
      <c r="P36" s="54" t="n">
        <v>0</v>
      </c>
      <c r="Q36" s="7" t="inlineStr">
        <is>
          <t>no</t>
        </is>
      </c>
      <c r="R36" s="7" t="n"/>
      <c r="S36" s="7" t="n"/>
      <c r="T36" s="7" t="n"/>
      <c r="U36" s="7" t="n"/>
      <c r="V36" s="7" t="n"/>
      <c r="W36" s="7" t="inlineStr">
        <is>
          <t>beverage</t>
        </is>
      </c>
      <c r="X36" s="55" t="n">
        <v>1</v>
      </c>
      <c r="Y36" s="50" t="n">
        <v>1.04</v>
      </c>
      <c r="Z36" s="7" t="inlineStr">
        <is>
          <t>declared</t>
        </is>
      </c>
      <c r="AA36" s="19">
        <f>IF(ISBLANK(Welcome!D62),"",Welcome!D62)</f>
        <v/>
      </c>
      <c r="AB36" s="29">
        <f>IF(ISBLANK(Welcome!E62),"",Welcome!E62)</f>
        <v/>
      </c>
      <c r="AC36" s="29">
        <f>IF(N(AB36)&gt;0,N(AB36),N(AA36)*Y36)</f>
        <v/>
      </c>
      <c r="AD36" s="29">
        <f>IF(H36="yes",AC36,0)</f>
        <v/>
      </c>
      <c r="AE36" s="29">
        <f>AD36*N(M36)/100</f>
        <v/>
      </c>
      <c r="AF36" s="29">
        <f>AD36*N(O36)/100</f>
        <v/>
      </c>
      <c r="AG36" s="29">
        <f>AD36*N(P36)/100</f>
        <v/>
      </c>
      <c r="AH36" s="50">
        <f>IF(Q36="yes",AD36/1000,0)</f>
        <v/>
      </c>
      <c r="AI36" s="50">
        <f>IF(S36="FG2",AH36*X36,AH36)</f>
        <v/>
      </c>
    </row>
    <row r="37">
      <c r="A37" s="7" t="inlineStr">
        <is>
          <t>HM00736</t>
        </is>
      </c>
      <c r="B37" s="16" t="inlineStr">
        <is>
          <t>3012345822404</t>
        </is>
      </c>
      <c r="C37" s="7" t="inlineStr">
        <is>
          <t>SKYR NAT 500G FJELDA</t>
        </is>
      </c>
      <c r="D37" s="7" t="inlineStr">
        <is>
          <t>Natural skyr, 500g</t>
        </is>
      </c>
      <c r="E37" s="7" t="inlineStr">
        <is>
          <t>Fjelda</t>
        </is>
      </c>
      <c r="F37" s="7" t="inlineStr">
        <is>
          <t>Dairy &amp; Eggs</t>
        </is>
      </c>
      <c r="G37" s="7" t="inlineStr">
        <is>
          <t>Yoghurt</t>
        </is>
      </c>
      <c r="H37" s="7" t="inlineStr">
        <is>
          <t>yes</t>
        </is>
      </c>
      <c r="I37" s="7" t="inlineStr">
        <is>
          <t>Animal core</t>
        </is>
      </c>
      <c r="J37" s="7" t="inlineStr">
        <is>
          <t>Milk, yoghurt and cream</t>
        </is>
      </c>
      <c r="K37" s="7" t="inlineStr">
        <is>
          <t>A</t>
        </is>
      </c>
      <c r="L37" s="7" t="inlineStr">
        <is>
          <t>All ingredients on one side</t>
        </is>
      </c>
      <c r="M37" s="51" t="n">
        <v>11.2</v>
      </c>
      <c r="N37" s="7" t="inlineStr">
        <is>
          <t>Altera reference base</t>
        </is>
      </c>
      <c r="O37" s="54" t="n">
        <v>0</v>
      </c>
      <c r="P37" s="54" t="n">
        <v>11.2</v>
      </c>
      <c r="Q37" s="7" t="inlineStr">
        <is>
          <t>yes</t>
        </is>
      </c>
      <c r="R37" s="7" t="inlineStr">
        <is>
          <t>whole</t>
        </is>
      </c>
      <c r="S37" s="7" t="inlineStr">
        <is>
          <t>FG2</t>
        </is>
      </c>
      <c r="T37" s="7" t="inlineStr">
        <is>
          <t>Dairy</t>
        </is>
      </c>
      <c r="U37" s="7" t="inlineStr">
        <is>
          <t>animal</t>
        </is>
      </c>
      <c r="V37" s="7" t="n"/>
      <c r="W37" s="7" t="n"/>
      <c r="X37" s="55" t="n">
        <v>1</v>
      </c>
      <c r="Y37" s="50" t="n">
        <v>0.5</v>
      </c>
      <c r="Z37" s="7" t="inlineStr">
        <is>
          <t>declared</t>
        </is>
      </c>
      <c r="AA37" s="19">
        <f>IF(ISBLANK(Welcome!D63),"",Welcome!D63)</f>
        <v/>
      </c>
      <c r="AB37" s="29">
        <f>IF(ISBLANK(Welcome!E63),"",Welcome!E63)</f>
        <v/>
      </c>
      <c r="AC37" s="29">
        <f>IF(N(AB37)&gt;0,N(AB37),N(AA37)*Y37)</f>
        <v/>
      </c>
      <c r="AD37" s="29">
        <f>IF(H37="yes",AC37,0)</f>
        <v/>
      </c>
      <c r="AE37" s="29">
        <f>AD37*N(M37)/100</f>
        <v/>
      </c>
      <c r="AF37" s="29">
        <f>AD37*N(O37)/100</f>
        <v/>
      </c>
      <c r="AG37" s="29">
        <f>AD37*N(P37)/100</f>
        <v/>
      </c>
      <c r="AH37" s="50">
        <f>IF(Q37="yes",AD37/1000,0)</f>
        <v/>
      </c>
      <c r="AI37" s="50">
        <f>IF(S37="FG2",AH37*X37,AH37)</f>
        <v/>
      </c>
    </row>
    <row r="38">
      <c r="A38" s="7" t="inlineStr">
        <is>
          <t>HM00181</t>
        </is>
      </c>
      <c r="B38" s="16" t="inlineStr">
        <is>
          <t>8712345922603</t>
        </is>
      </c>
      <c r="C38" s="7" t="inlineStr">
        <is>
          <t>HM APPLES GALA 1KG</t>
        </is>
      </c>
      <c r="D38" s="7" t="inlineStr">
        <is>
          <t>Gala apples, 1kg</t>
        </is>
      </c>
      <c r="E38" s="7" t="inlineStr">
        <is>
          <t>Harbour Market</t>
        </is>
      </c>
      <c r="F38" s="7" t="inlineStr">
        <is>
          <t>Fruit &amp; Vegetables</t>
        </is>
      </c>
      <c r="G38" s="7" t="inlineStr">
        <is>
          <t>Fruit</t>
        </is>
      </c>
      <c r="H38" s="7" t="inlineStr">
        <is>
          <t>yes</t>
        </is>
      </c>
      <c r="I38" s="7" t="inlineStr">
        <is>
          <t>Plant-based non-core</t>
        </is>
      </c>
      <c r="J38" s="7" t="inlineStr">
        <is>
          <t>Fruit and vegetables</t>
        </is>
      </c>
      <c r="K38" s="7" t="inlineStr">
        <is>
          <t>B</t>
        </is>
      </c>
      <c r="L38" s="7" t="inlineStr">
        <is>
          <t>Follows the class</t>
        </is>
      </c>
      <c r="M38" s="51" t="n">
        <v>0.29</v>
      </c>
      <c r="N38" s="7" t="inlineStr">
        <is>
          <t>Declared by the retailer</t>
        </is>
      </c>
      <c r="O38" s="54" t="n">
        <v>0.29</v>
      </c>
      <c r="P38" s="54" t="n">
        <v>0</v>
      </c>
      <c r="Q38" s="7" t="inlineStr">
        <is>
          <t>yes</t>
        </is>
      </c>
      <c r="R38" s="7" t="inlineStr">
        <is>
          <t>whole</t>
        </is>
      </c>
      <c r="S38" s="7" t="inlineStr">
        <is>
          <t>FG4</t>
        </is>
      </c>
      <c r="T38" s="7" t="n"/>
      <c r="U38" s="7" t="inlineStr">
        <is>
          <t>plant</t>
        </is>
      </c>
      <c r="V38" s="7" t="n"/>
      <c r="W38" s="7" t="n"/>
      <c r="X38" s="55" t="n">
        <v>1</v>
      </c>
      <c r="Y38" s="50" t="n">
        <v>1</v>
      </c>
      <c r="Z38" s="7" t="inlineStr">
        <is>
          <t>declared</t>
        </is>
      </c>
      <c r="AA38" s="19">
        <f>IF(ISBLANK(Welcome!D64),"",Welcome!D64)</f>
        <v/>
      </c>
      <c r="AB38" s="29">
        <f>IF(ISBLANK(Welcome!E64),"",Welcome!E64)</f>
        <v/>
      </c>
      <c r="AC38" s="29">
        <f>IF(N(AB38)&gt;0,N(AB38),N(AA38)*Y38)</f>
        <v/>
      </c>
      <c r="AD38" s="29">
        <f>IF(H38="yes",AC38,0)</f>
        <v/>
      </c>
      <c r="AE38" s="29">
        <f>AD38*N(M38)/100</f>
        <v/>
      </c>
      <c r="AF38" s="29">
        <f>AD38*N(O38)/100</f>
        <v/>
      </c>
      <c r="AG38" s="29">
        <f>AD38*N(P38)/100</f>
        <v/>
      </c>
      <c r="AH38" s="50">
        <f>IF(Q38="yes",AD38/1000,0)</f>
        <v/>
      </c>
      <c r="AI38" s="50">
        <f>IF(S38="FG2",AH38*X38,AH38)</f>
        <v/>
      </c>
    </row>
    <row r="39">
      <c r="A39" s="7" t="inlineStr">
        <is>
          <t>HM00598</t>
        </is>
      </c>
      <c r="B39" s="16" t="inlineStr">
        <is>
          <t>8712345281137</t>
        </is>
      </c>
      <c r="C39" s="7" t="inlineStr">
        <is>
          <t>HM WHITE POTATOES 2.5KG</t>
        </is>
      </c>
      <c r="D39" s="7" t="inlineStr">
        <is>
          <t>White potatoes, 2.5kg</t>
        </is>
      </c>
      <c r="E39" s="7" t="inlineStr">
        <is>
          <t>Harbour Market</t>
        </is>
      </c>
      <c r="F39" s="7" t="inlineStr">
        <is>
          <t>Fruit &amp; Vegetables</t>
        </is>
      </c>
      <c r="G39" s="7" t="inlineStr">
        <is>
          <t>Potatoes</t>
        </is>
      </c>
      <c r="H39" s="7" t="inlineStr">
        <is>
          <t>yes</t>
        </is>
      </c>
      <c r="I39" s="7" t="inlineStr">
        <is>
          <t>Plant-based non-core</t>
        </is>
      </c>
      <c r="J39" s="7" t="inlineStr">
        <is>
          <t>Starchy foods</t>
        </is>
      </c>
      <c r="K39" s="7" t="inlineStr">
        <is>
          <t>B</t>
        </is>
      </c>
      <c r="L39" s="7" t="inlineStr">
        <is>
          <t>Follows the class</t>
        </is>
      </c>
      <c r="M39" s="51" t="n">
        <v>2</v>
      </c>
      <c r="N39" s="7" t="inlineStr">
        <is>
          <t>Altera reference base</t>
        </is>
      </c>
      <c r="O39" s="54" t="n">
        <v>2</v>
      </c>
      <c r="P39" s="54" t="n">
        <v>0</v>
      </c>
      <c r="Q39" s="7" t="inlineStr">
        <is>
          <t>yes</t>
        </is>
      </c>
      <c r="R39" s="7" t="inlineStr">
        <is>
          <t>whole</t>
        </is>
      </c>
      <c r="S39" s="7" t="inlineStr">
        <is>
          <t>FG6</t>
        </is>
      </c>
      <c r="T39" s="7" t="n"/>
      <c r="U39" s="7" t="inlineStr">
        <is>
          <t>plant</t>
        </is>
      </c>
      <c r="V39" s="7" t="n"/>
      <c r="W39" s="7" t="n"/>
      <c r="X39" s="55" t="n">
        <v>1</v>
      </c>
      <c r="Y39" s="50" t="n">
        <v>2.5</v>
      </c>
      <c r="Z39" s="7" t="inlineStr">
        <is>
          <t>declared</t>
        </is>
      </c>
      <c r="AA39" s="19">
        <f>IF(ISBLANK(Welcome!D65),"",Welcome!D65)</f>
        <v/>
      </c>
      <c r="AB39" s="29">
        <f>IF(ISBLANK(Welcome!E65),"",Welcome!E65)</f>
        <v/>
      </c>
      <c r="AC39" s="29">
        <f>IF(N(AB39)&gt;0,N(AB39),N(AA39)*Y39)</f>
        <v/>
      </c>
      <c r="AD39" s="29">
        <f>IF(H39="yes",AC39,0)</f>
        <v/>
      </c>
      <c r="AE39" s="29">
        <f>AD39*N(M39)/100</f>
        <v/>
      </c>
      <c r="AF39" s="29">
        <f>AD39*N(O39)/100</f>
        <v/>
      </c>
      <c r="AG39" s="29">
        <f>AD39*N(P39)/100</f>
        <v/>
      </c>
      <c r="AH39" s="50">
        <f>IF(Q39="yes",AD39/1000,0)</f>
        <v/>
      </c>
      <c r="AI39" s="50">
        <f>IF(S39="FG2",AH39*X39,AH39)</f>
        <v/>
      </c>
    </row>
    <row r="40">
      <c r="A40" s="7" t="inlineStr">
        <is>
          <t>HM00120</t>
        </is>
      </c>
      <c r="B40" s="16" t="inlineStr">
        <is>
          <t>4012345255560</t>
        </is>
      </c>
      <c r="C40" s="7" t="inlineStr">
        <is>
          <t>ORVALIS ARBORIO RICE 2KG</t>
        </is>
      </c>
      <c r="D40" s="7" t="inlineStr">
        <is>
          <t>Arborio rice, 2kg</t>
        </is>
      </c>
      <c r="E40" s="7" t="inlineStr">
        <is>
          <t>Orvalis</t>
        </is>
      </c>
      <c r="F40" s="7" t="inlineStr">
        <is>
          <t>Grocery</t>
        </is>
      </c>
      <c r="G40" s="7" t="inlineStr">
        <is>
          <t>Rice &amp; Grains</t>
        </is>
      </c>
      <c r="H40" s="7" t="inlineStr">
        <is>
          <t>yes</t>
        </is>
      </c>
      <c r="I40" s="7" t="inlineStr">
        <is>
          <t>Plant-based non-core</t>
        </is>
      </c>
      <c r="J40" s="7" t="inlineStr">
        <is>
          <t>Refined grains</t>
        </is>
      </c>
      <c r="K40" s="7" t="inlineStr">
        <is>
          <t>A</t>
        </is>
      </c>
      <c r="L40" s="7" t="inlineStr">
        <is>
          <t>All ingredients on one side</t>
        </is>
      </c>
      <c r="M40" s="51" t="n">
        <v>7.2</v>
      </c>
      <c r="N40" s="7" t="inlineStr">
        <is>
          <t>National food table (CIQUAL in France)</t>
        </is>
      </c>
      <c r="O40" s="54" t="n">
        <v>7.2</v>
      </c>
      <c r="P40" s="54" t="n">
        <v>0</v>
      </c>
      <c r="Q40" s="7" t="inlineStr">
        <is>
          <t>yes</t>
        </is>
      </c>
      <c r="R40" s="7" t="inlineStr">
        <is>
          <t>whole</t>
        </is>
      </c>
      <c r="S40" s="7" t="inlineStr">
        <is>
          <t>FG5</t>
        </is>
      </c>
      <c r="T40" s="7" t="inlineStr">
        <is>
          <t>Refined grain</t>
        </is>
      </c>
      <c r="U40" s="7" t="inlineStr">
        <is>
          <t>plant</t>
        </is>
      </c>
      <c r="V40" s="7" t="n"/>
      <c r="W40" s="7" t="n"/>
      <c r="X40" s="55" t="n">
        <v>1</v>
      </c>
      <c r="Y40" s="50" t="n">
        <v>2</v>
      </c>
      <c r="Z40" s="7" t="inlineStr">
        <is>
          <t>declared</t>
        </is>
      </c>
      <c r="AA40" s="19">
        <f>IF(ISBLANK(Welcome!D66),"",Welcome!D66)</f>
        <v/>
      </c>
      <c r="AB40" s="29">
        <f>IF(ISBLANK(Welcome!E66),"",Welcome!E66)</f>
        <v/>
      </c>
      <c r="AC40" s="29">
        <f>IF(N(AB40)&gt;0,N(AB40),N(AA40)*Y40)</f>
        <v/>
      </c>
      <c r="AD40" s="29">
        <f>IF(H40="yes",AC40,0)</f>
        <v/>
      </c>
      <c r="AE40" s="29">
        <f>AD40*N(M40)/100</f>
        <v/>
      </c>
      <c r="AF40" s="29">
        <f>AD40*N(O40)/100</f>
        <v/>
      </c>
      <c r="AG40" s="29">
        <f>AD40*N(P40)/100</f>
        <v/>
      </c>
      <c r="AH40" s="50">
        <f>IF(Q40="yes",AD40/1000,0)</f>
        <v/>
      </c>
      <c r="AI40" s="50">
        <f>IF(S40="FG2",AH40*X40,AH40)</f>
        <v/>
      </c>
    </row>
    <row r="41">
      <c r="A41" s="7" t="inlineStr">
        <is>
          <t>HM00751</t>
        </is>
      </c>
      <c r="B41" s="16" t="inlineStr">
        <is>
          <t>5012345013190</t>
        </is>
      </c>
      <c r="C41" s="7" t="inlineStr">
        <is>
          <t>ROSE WINE 3X75CL CASTELNA</t>
        </is>
      </c>
      <c r="D41" s="7" t="inlineStr">
        <is>
          <t>Rosé wine, 3x75cl</t>
        </is>
      </c>
      <c r="E41" s="7" t="inlineStr">
        <is>
          <t>Castelna</t>
        </is>
      </c>
      <c r="F41" s="7" t="inlineStr">
        <is>
          <t>Beer, Wine &amp; Spirits</t>
        </is>
      </c>
      <c r="G41" s="7" t="inlineStr">
        <is>
          <t>Wine</t>
        </is>
      </c>
      <c r="H41" s="7" t="inlineStr">
        <is>
          <t>yes</t>
        </is>
      </c>
      <c r="I41" s="7" t="inlineStr">
        <is>
          <t>Plant-based non-core</t>
        </is>
      </c>
      <c r="J41" s="7" t="inlineStr">
        <is>
          <t>Outside the WWF scope</t>
        </is>
      </c>
      <c r="K41" s="7" t="inlineStr">
        <is>
          <t>A</t>
        </is>
      </c>
      <c r="L41" s="7" t="inlineStr">
        <is>
          <t>All ingredients on one side</t>
        </is>
      </c>
      <c r="M41" s="51" t="n">
        <v>0.09</v>
      </c>
      <c r="N41" s="7" t="inlineStr">
        <is>
          <t>Declared by the retailer</t>
        </is>
      </c>
      <c r="O41" s="54" t="n">
        <v>0.09</v>
      </c>
      <c r="P41" s="54" t="n">
        <v>0</v>
      </c>
      <c r="Q41" s="7" t="inlineStr">
        <is>
          <t>no</t>
        </is>
      </c>
      <c r="R41" s="7" t="n"/>
      <c r="S41" s="7" t="n"/>
      <c r="T41" s="7" t="n"/>
      <c r="U41" s="7" t="n"/>
      <c r="V41" s="7" t="n"/>
      <c r="W41" s="7" t="inlineStr">
        <is>
          <t>alcohol</t>
        </is>
      </c>
      <c r="X41" s="55" t="n">
        <v>1</v>
      </c>
      <c r="Y41" s="50" t="n">
        <v>2.25</v>
      </c>
      <c r="Z41" s="7" t="inlineStr">
        <is>
          <t>declared</t>
        </is>
      </c>
      <c r="AA41" s="19">
        <f>IF(ISBLANK(Welcome!D67),"",Welcome!D67)</f>
        <v/>
      </c>
      <c r="AB41" s="29">
        <f>IF(ISBLANK(Welcome!E67),"",Welcome!E67)</f>
        <v/>
      </c>
      <c r="AC41" s="29">
        <f>IF(N(AB41)&gt;0,N(AB41),N(AA41)*Y41)</f>
        <v/>
      </c>
      <c r="AD41" s="29">
        <f>IF(H41="yes",AC41,0)</f>
        <v/>
      </c>
      <c r="AE41" s="29">
        <f>AD41*N(M41)/100</f>
        <v/>
      </c>
      <c r="AF41" s="29">
        <f>AD41*N(O41)/100</f>
        <v/>
      </c>
      <c r="AG41" s="29">
        <f>AD41*N(P41)/100</f>
        <v/>
      </c>
      <c r="AH41" s="50">
        <f>IF(Q41="yes",AD41/1000,0)</f>
        <v/>
      </c>
      <c r="AI41" s="50">
        <f>IF(S41="FG2",AH41*X41,AH41)</f>
        <v/>
      </c>
    </row>
    <row r="42">
      <c r="A42" s="7" t="inlineStr">
        <is>
          <t>HM00121</t>
        </is>
      </c>
      <c r="B42" s="16" t="inlineStr">
        <is>
          <t>3012345318525</t>
        </is>
      </c>
      <c r="C42" s="7" t="inlineStr">
        <is>
          <t>RED WINE MERLOT 3X75CL CASTELNA</t>
        </is>
      </c>
      <c r="D42" s="7" t="inlineStr">
        <is>
          <t>Merlot red wine, 3x75cl</t>
        </is>
      </c>
      <c r="E42" s="7" t="inlineStr">
        <is>
          <t>Castelna</t>
        </is>
      </c>
      <c r="F42" s="7" t="inlineStr">
        <is>
          <t>Beer, Wine &amp; Spirits</t>
        </is>
      </c>
      <c r="G42" s="7" t="inlineStr">
        <is>
          <t>Wine</t>
        </is>
      </c>
      <c r="H42" s="7" t="inlineStr">
        <is>
          <t>yes</t>
        </is>
      </c>
      <c r="I42" s="7" t="inlineStr">
        <is>
          <t>Plant-based non-core</t>
        </is>
      </c>
      <c r="J42" s="7" t="inlineStr">
        <is>
          <t>Outside the WWF scope</t>
        </is>
      </c>
      <c r="K42" s="7" t="inlineStr">
        <is>
          <t>A</t>
        </is>
      </c>
      <c r="L42" s="7" t="inlineStr">
        <is>
          <t>All ingredients on one side</t>
        </is>
      </c>
      <c r="M42" s="51" t="n">
        <v>0.1</v>
      </c>
      <c r="N42" s="7" t="inlineStr">
        <is>
          <t>Declared by the retailer</t>
        </is>
      </c>
      <c r="O42" s="54" t="n">
        <v>0.1</v>
      </c>
      <c r="P42" s="54" t="n">
        <v>0</v>
      </c>
      <c r="Q42" s="7" t="inlineStr">
        <is>
          <t>no</t>
        </is>
      </c>
      <c r="R42" s="7" t="n"/>
      <c r="S42" s="7" t="n"/>
      <c r="T42" s="7" t="n"/>
      <c r="U42" s="7" t="n"/>
      <c r="V42" s="7" t="n"/>
      <c r="W42" s="7" t="inlineStr">
        <is>
          <t>alcohol</t>
        </is>
      </c>
      <c r="X42" s="55" t="n">
        <v>1</v>
      </c>
      <c r="Y42" s="50" t="n">
        <v>2.25</v>
      </c>
      <c r="Z42" s="7" t="inlineStr">
        <is>
          <t>declared</t>
        </is>
      </c>
      <c r="AA42" s="19">
        <f>IF(ISBLANK(Welcome!D68),"",Welcome!D68)</f>
        <v/>
      </c>
      <c r="AB42" s="29">
        <f>IF(ISBLANK(Welcome!E68),"",Welcome!E68)</f>
        <v/>
      </c>
      <c r="AC42" s="29">
        <f>IF(N(AB42)&gt;0,N(AB42),N(AA42)*Y42)</f>
        <v/>
      </c>
      <c r="AD42" s="29">
        <f>IF(H42="yes",AC42,0)</f>
        <v/>
      </c>
      <c r="AE42" s="29">
        <f>AD42*N(M42)/100</f>
        <v/>
      </c>
      <c r="AF42" s="29">
        <f>AD42*N(O42)/100</f>
        <v/>
      </c>
      <c r="AG42" s="29">
        <f>AD42*N(P42)/100</f>
        <v/>
      </c>
      <c r="AH42" s="50">
        <f>IF(Q42="yes",AD42/1000,0)</f>
        <v/>
      </c>
      <c r="AI42" s="50">
        <f>IF(S42="FG2",AH42*X42,AH42)</f>
        <v/>
      </c>
    </row>
    <row r="43">
      <c r="A43" s="7" t="inlineStr">
        <is>
          <t>HM00196</t>
        </is>
      </c>
      <c r="B43" s="16" t="inlineStr">
        <is>
          <t>8712345487935</t>
        </is>
      </c>
      <c r="C43" s="7" t="inlineStr">
        <is>
          <t>HM RASPBERRIES 1KG</t>
        </is>
      </c>
      <c r="D43" s="7" t="inlineStr">
        <is>
          <t>Raspberries, 1kg</t>
        </is>
      </c>
      <c r="E43" s="7" t="inlineStr">
        <is>
          <t>Harbour Market</t>
        </is>
      </c>
      <c r="F43" s="7" t="inlineStr">
        <is>
          <t>Fruit &amp; Vegetables</t>
        </is>
      </c>
      <c r="G43" s="7" t="inlineStr">
        <is>
          <t>Fruit</t>
        </is>
      </c>
      <c r="H43" s="7" t="inlineStr">
        <is>
          <t>yes</t>
        </is>
      </c>
      <c r="I43" s="7" t="inlineStr">
        <is>
          <t>Plant-based non-core</t>
        </is>
      </c>
      <c r="J43" s="7" t="inlineStr">
        <is>
          <t>Fruit and vegetables</t>
        </is>
      </c>
      <c r="K43" s="7" t="inlineStr">
        <is>
          <t>B</t>
        </is>
      </c>
      <c r="L43" s="7" t="inlineStr">
        <is>
          <t>Follows the class</t>
        </is>
      </c>
      <c r="M43" s="51" t="n">
        <v>1.2</v>
      </c>
      <c r="N43" s="7" t="inlineStr">
        <is>
          <t>Open Food Facts and NEVO, by EAN</t>
        </is>
      </c>
      <c r="O43" s="54" t="n">
        <v>1.2</v>
      </c>
      <c r="P43" s="54" t="n">
        <v>0</v>
      </c>
      <c r="Q43" s="7" t="inlineStr">
        <is>
          <t>yes</t>
        </is>
      </c>
      <c r="R43" s="7" t="inlineStr">
        <is>
          <t>whole</t>
        </is>
      </c>
      <c r="S43" s="7" t="inlineStr">
        <is>
          <t>FG4</t>
        </is>
      </c>
      <c r="T43" s="7" t="n"/>
      <c r="U43" s="7" t="inlineStr">
        <is>
          <t>plant</t>
        </is>
      </c>
      <c r="V43" s="7" t="n"/>
      <c r="W43" s="7" t="n"/>
      <c r="X43" s="55" t="n">
        <v>1</v>
      </c>
      <c r="Y43" s="50" t="n">
        <v>1</v>
      </c>
      <c r="Z43" s="7" t="inlineStr">
        <is>
          <t>declared</t>
        </is>
      </c>
      <c r="AA43" s="19">
        <f>IF(ISBLANK(Welcome!D69),"",Welcome!D69)</f>
        <v/>
      </c>
      <c r="AB43" s="29">
        <f>IF(ISBLANK(Welcome!E69),"",Welcome!E69)</f>
        <v/>
      </c>
      <c r="AC43" s="29">
        <f>IF(N(AB43)&gt;0,N(AB43),N(AA43)*Y43)</f>
        <v/>
      </c>
      <c r="AD43" s="29">
        <f>IF(H43="yes",AC43,0)</f>
        <v/>
      </c>
      <c r="AE43" s="29">
        <f>AD43*N(M43)/100</f>
        <v/>
      </c>
      <c r="AF43" s="29">
        <f>AD43*N(O43)/100</f>
        <v/>
      </c>
      <c r="AG43" s="29">
        <f>AD43*N(P43)/100</f>
        <v/>
      </c>
      <c r="AH43" s="50">
        <f>IF(Q43="yes",AD43/1000,0)</f>
        <v/>
      </c>
      <c r="AI43" s="50">
        <f>IF(S43="FG2",AH43*X43,AH43)</f>
        <v/>
      </c>
    </row>
    <row r="44">
      <c r="A44" s="7" t="inlineStr">
        <is>
          <t>HM00383</t>
        </is>
      </c>
      <c r="B44" s="16" t="inlineStr">
        <is>
          <t>4012345990492</t>
        </is>
      </c>
      <c r="C44" s="7" t="inlineStr">
        <is>
          <t>HM WHOLE MILK 4PT 2.27L</t>
        </is>
      </c>
      <c r="D44" s="7" t="inlineStr">
        <is>
          <t>Whole milk, 4pt 2.27l</t>
        </is>
      </c>
      <c r="E44" s="7" t="inlineStr">
        <is>
          <t>Harbour Market</t>
        </is>
      </c>
      <c r="F44" s="7" t="inlineStr">
        <is>
          <t>Dairy &amp; Eggs</t>
        </is>
      </c>
      <c r="G44" s="7" t="inlineStr">
        <is>
          <t>Milk</t>
        </is>
      </c>
      <c r="H44" s="7" t="inlineStr">
        <is>
          <t>yes</t>
        </is>
      </c>
      <c r="I44" s="7" t="inlineStr">
        <is>
          <t>Animal core</t>
        </is>
      </c>
      <c r="J44" s="7" t="inlineStr">
        <is>
          <t>Milk, yoghurt and cream</t>
        </is>
      </c>
      <c r="K44" s="7" t="inlineStr">
        <is>
          <t>A</t>
        </is>
      </c>
      <c r="L44" s="7" t="inlineStr">
        <is>
          <t>All ingredients on one side</t>
        </is>
      </c>
      <c r="M44" s="51" t="n">
        <v>3.4</v>
      </c>
      <c r="N44" s="7" t="inlineStr">
        <is>
          <t>Median of the family</t>
        </is>
      </c>
      <c r="O44" s="54" t="n">
        <v>0</v>
      </c>
      <c r="P44" s="54" t="n">
        <v>3.4</v>
      </c>
      <c r="Q44" s="7" t="inlineStr">
        <is>
          <t>yes</t>
        </is>
      </c>
      <c r="R44" s="7" t="inlineStr">
        <is>
          <t>whole</t>
        </is>
      </c>
      <c r="S44" s="7" t="inlineStr">
        <is>
          <t>FG2</t>
        </is>
      </c>
      <c r="T44" s="7" t="inlineStr">
        <is>
          <t>Dairy</t>
        </is>
      </c>
      <c r="U44" s="7" t="inlineStr">
        <is>
          <t>animal</t>
        </is>
      </c>
      <c r="V44" s="7" t="n"/>
      <c r="W44" s="7" t="n"/>
      <c r="X44" s="55" t="n">
        <v>1</v>
      </c>
      <c r="Y44" s="50" t="n">
        <v>2.34</v>
      </c>
      <c r="Z44" s="7" t="inlineStr">
        <is>
          <t>declared</t>
        </is>
      </c>
      <c r="AA44" s="19">
        <f>IF(ISBLANK(Welcome!D70),"",Welcome!D70)</f>
        <v/>
      </c>
      <c r="AB44" s="29">
        <f>IF(ISBLANK(Welcome!E70),"",Welcome!E70)</f>
        <v/>
      </c>
      <c r="AC44" s="29">
        <f>IF(N(AB44)&gt;0,N(AB44),N(AA44)*Y44)</f>
        <v/>
      </c>
      <c r="AD44" s="29">
        <f>IF(H44="yes",AC44,0)</f>
        <v/>
      </c>
      <c r="AE44" s="29">
        <f>AD44*N(M44)/100</f>
        <v/>
      </c>
      <c r="AF44" s="29">
        <f>AD44*N(O44)/100</f>
        <v/>
      </c>
      <c r="AG44" s="29">
        <f>AD44*N(P44)/100</f>
        <v/>
      </c>
      <c r="AH44" s="50">
        <f>IF(Q44="yes",AD44/1000,0)</f>
        <v/>
      </c>
      <c r="AI44" s="50">
        <f>IF(S44="FG2",AH44*X44,AH44)</f>
        <v/>
      </c>
    </row>
    <row r="45">
      <c r="A45" s="7" t="inlineStr">
        <is>
          <t>HM00471</t>
        </is>
      </c>
      <c r="B45" s="16" t="inlineStr">
        <is>
          <t>4012345039900</t>
        </is>
      </c>
      <c r="C45" s="7" t="inlineStr">
        <is>
          <t>HM CHKN MINI FLT 650G</t>
        </is>
      </c>
      <c r="D45" s="7" t="inlineStr">
        <is>
          <t>Chicken mini fillets, 650g</t>
        </is>
      </c>
      <c r="E45" s="7" t="inlineStr">
        <is>
          <t>Harbour Market</t>
        </is>
      </c>
      <c r="F45" s="7" t="inlineStr">
        <is>
          <t>Fresh Meat &amp; Poultry</t>
        </is>
      </c>
      <c r="G45" s="7" t="inlineStr">
        <is>
          <t>Poultry</t>
        </is>
      </c>
      <c r="H45" s="7" t="inlineStr">
        <is>
          <t>yes</t>
        </is>
      </c>
      <c r="I45" s="7" t="inlineStr">
        <is>
          <t>Animal core</t>
        </is>
      </c>
      <c r="J45" s="7" t="inlineStr">
        <is>
          <t>Poultry</t>
        </is>
      </c>
      <c r="K45" s="7" t="inlineStr">
        <is>
          <t>A</t>
        </is>
      </c>
      <c r="L45" s="7" t="inlineStr">
        <is>
          <t>All ingredients on one side</t>
        </is>
      </c>
      <c r="M45" s="51" t="n">
        <v>24.3</v>
      </c>
      <c r="N45" s="7" t="inlineStr">
        <is>
          <t>Altera reference base</t>
        </is>
      </c>
      <c r="O45" s="54" t="n">
        <v>0</v>
      </c>
      <c r="P45" s="54" t="n">
        <v>24.3</v>
      </c>
      <c r="Q45" s="7" t="inlineStr">
        <is>
          <t>yes</t>
        </is>
      </c>
      <c r="R45" s="7" t="inlineStr">
        <is>
          <t>whole</t>
        </is>
      </c>
      <c r="S45" s="7" t="inlineStr">
        <is>
          <t>FG1</t>
        </is>
      </c>
      <c r="T45" s="7" t="inlineStr">
        <is>
          <t>Poultry</t>
        </is>
      </c>
      <c r="U45" s="7" t="inlineStr">
        <is>
          <t>animal</t>
        </is>
      </c>
      <c r="V45" s="7" t="n"/>
      <c r="W45" s="7" t="n"/>
      <c r="X45" s="55" t="n">
        <v>1</v>
      </c>
      <c r="Y45" s="50" t="n">
        <v>0.65</v>
      </c>
      <c r="Z45" s="7" t="inlineStr">
        <is>
          <t>declared</t>
        </is>
      </c>
      <c r="AA45" s="19">
        <f>IF(ISBLANK(Welcome!D71),"",Welcome!D71)</f>
        <v/>
      </c>
      <c r="AB45" s="29">
        <f>IF(ISBLANK(Welcome!E71),"",Welcome!E71)</f>
        <v/>
      </c>
      <c r="AC45" s="29">
        <f>IF(N(AB45)&gt;0,N(AB45),N(AA45)*Y45)</f>
        <v/>
      </c>
      <c r="AD45" s="29">
        <f>IF(H45="yes",AC45,0)</f>
        <v/>
      </c>
      <c r="AE45" s="29">
        <f>AD45*N(M45)/100</f>
        <v/>
      </c>
      <c r="AF45" s="29">
        <f>AD45*N(O45)/100</f>
        <v/>
      </c>
      <c r="AG45" s="29">
        <f>AD45*N(P45)/100</f>
        <v/>
      </c>
      <c r="AH45" s="50">
        <f>IF(Q45="yes",AD45/1000,0)</f>
        <v/>
      </c>
      <c r="AI45" s="50">
        <f>IF(S45="FG2",AH45*X45,AH45)</f>
        <v/>
      </c>
    </row>
    <row r="46">
      <c r="A46" s="7" t="inlineStr">
        <is>
          <t>HM00070</t>
        </is>
      </c>
      <c r="B46" s="16" t="inlineStr">
        <is>
          <t>8712345961398</t>
        </is>
      </c>
      <c r="C46" s="7" t="inlineStr">
        <is>
          <t>HM LEMONADE 1.5L</t>
        </is>
      </c>
      <c r="D46" s="7" t="inlineStr">
        <is>
          <t>Cloudy lemonade, 1.5l</t>
        </is>
      </c>
      <c r="E46" s="7" t="inlineStr">
        <is>
          <t>Harbour Market</t>
        </is>
      </c>
      <c r="F46" s="7" t="inlineStr">
        <is>
          <t>Soft Drinks &amp; Water</t>
        </is>
      </c>
      <c r="G46" s="7" t="inlineStr">
        <is>
          <t>Soft Drinks</t>
        </is>
      </c>
      <c r="H46" s="7" t="inlineStr">
        <is>
          <t>yes</t>
        </is>
      </c>
      <c r="I46" s="7" t="inlineStr">
        <is>
          <t>Plant-based non-core</t>
        </is>
      </c>
      <c r="J46" s="7" t="inlineStr">
        <is>
          <t>Outside the WWF scope</t>
        </is>
      </c>
      <c r="K46" s="7" t="inlineStr">
        <is>
          <t>A</t>
        </is>
      </c>
      <c r="L46" s="7" t="inlineStr">
        <is>
          <t>All ingredients on one side</t>
        </is>
      </c>
      <c r="M46" s="51" t="n">
        <v>0</v>
      </c>
      <c r="N46" s="7" t="inlineStr">
        <is>
          <t>Declared by the retailer</t>
        </is>
      </c>
      <c r="O46" s="54" t="n">
        <v>0</v>
      </c>
      <c r="P46" s="54" t="n">
        <v>0</v>
      </c>
      <c r="Q46" s="7" t="inlineStr">
        <is>
          <t>no</t>
        </is>
      </c>
      <c r="R46" s="7" t="n"/>
      <c r="S46" s="7" t="n"/>
      <c r="T46" s="7" t="n"/>
      <c r="U46" s="7" t="n"/>
      <c r="V46" s="7" t="n"/>
      <c r="W46" s="7" t="inlineStr">
        <is>
          <t>beverage</t>
        </is>
      </c>
      <c r="X46" s="55" t="n">
        <v>1</v>
      </c>
      <c r="Y46" s="50" t="n">
        <v>1.5</v>
      </c>
      <c r="Z46" s="7" t="inlineStr">
        <is>
          <t>declared</t>
        </is>
      </c>
      <c r="AA46" s="19">
        <f>IF(ISBLANK(Welcome!D72),"",Welcome!D72)</f>
        <v/>
      </c>
      <c r="AB46" s="29">
        <f>IF(ISBLANK(Welcome!E72),"",Welcome!E72)</f>
        <v/>
      </c>
      <c r="AC46" s="29">
        <f>IF(N(AB46)&gt;0,N(AB46),N(AA46)*Y46)</f>
        <v/>
      </c>
      <c r="AD46" s="29">
        <f>IF(H46="yes",AC46,0)</f>
        <v/>
      </c>
      <c r="AE46" s="29">
        <f>AD46*N(M46)/100</f>
        <v/>
      </c>
      <c r="AF46" s="29">
        <f>AD46*N(O46)/100</f>
        <v/>
      </c>
      <c r="AG46" s="29">
        <f>AD46*N(P46)/100</f>
        <v/>
      </c>
      <c r="AH46" s="50">
        <f>IF(Q46="yes",AD46/1000,0)</f>
        <v/>
      </c>
      <c r="AI46" s="50">
        <f>IF(S46="FG2",AH46*X46,AH46)</f>
        <v/>
      </c>
    </row>
    <row r="47">
      <c r="A47" s="7" t="inlineStr">
        <is>
          <t>HM00219</t>
        </is>
      </c>
      <c r="B47" s="16" t="inlineStr">
        <is>
          <t>3012345019293</t>
        </is>
      </c>
      <c r="C47" s="7" t="inlineStr">
        <is>
          <t>HM APPLES PINK LADY 1KG</t>
        </is>
      </c>
      <c r="D47" s="7" t="inlineStr">
        <is>
          <t>Pink Lady apples, 1kg</t>
        </is>
      </c>
      <c r="E47" s="7" t="inlineStr">
        <is>
          <t>Harbour Market</t>
        </is>
      </c>
      <c r="F47" s="7" t="inlineStr">
        <is>
          <t>Fruit &amp; Vegetables</t>
        </is>
      </c>
      <c r="G47" s="7" t="inlineStr">
        <is>
          <t>Fruit</t>
        </is>
      </c>
      <c r="H47" s="7" t="inlineStr">
        <is>
          <t>yes</t>
        </is>
      </c>
      <c r="I47" s="7" t="inlineStr">
        <is>
          <t>Plant-based non-core</t>
        </is>
      </c>
      <c r="J47" s="7" t="inlineStr">
        <is>
          <t>Fruit and vegetables</t>
        </is>
      </c>
      <c r="K47" s="7" t="inlineStr">
        <is>
          <t>B</t>
        </is>
      </c>
      <c r="L47" s="7" t="inlineStr">
        <is>
          <t>Follows the class</t>
        </is>
      </c>
      <c r="M47" s="51" t="n">
        <v>0.31</v>
      </c>
      <c r="N47" s="7" t="inlineStr">
        <is>
          <t>Open Food Facts and NEVO, by EAN</t>
        </is>
      </c>
      <c r="O47" s="54" t="n">
        <v>0.31</v>
      </c>
      <c r="P47" s="54" t="n">
        <v>0</v>
      </c>
      <c r="Q47" s="7" t="inlineStr">
        <is>
          <t>yes</t>
        </is>
      </c>
      <c r="R47" s="7" t="inlineStr">
        <is>
          <t>whole</t>
        </is>
      </c>
      <c r="S47" s="7" t="inlineStr">
        <is>
          <t>FG4</t>
        </is>
      </c>
      <c r="T47" s="7" t="n"/>
      <c r="U47" s="7" t="inlineStr">
        <is>
          <t>plant</t>
        </is>
      </c>
      <c r="V47" s="7" t="n"/>
      <c r="W47" s="7" t="n"/>
      <c r="X47" s="55" t="n">
        <v>1</v>
      </c>
      <c r="Y47" s="50" t="n">
        <v>1</v>
      </c>
      <c r="Z47" s="7" t="inlineStr">
        <is>
          <t>label</t>
        </is>
      </c>
      <c r="AA47" s="19">
        <f>IF(ISBLANK(Welcome!D73),"",Welcome!D73)</f>
        <v/>
      </c>
      <c r="AB47" s="29">
        <f>IF(ISBLANK(Welcome!E73),"",Welcome!E73)</f>
        <v/>
      </c>
      <c r="AC47" s="29">
        <f>IF(N(AB47)&gt;0,N(AB47),N(AA47)*Y47)</f>
        <v/>
      </c>
      <c r="AD47" s="29">
        <f>IF(H47="yes",AC47,0)</f>
        <v/>
      </c>
      <c r="AE47" s="29">
        <f>AD47*N(M47)/100</f>
        <v/>
      </c>
      <c r="AF47" s="29">
        <f>AD47*N(O47)/100</f>
        <v/>
      </c>
      <c r="AG47" s="29">
        <f>AD47*N(P47)/100</f>
        <v/>
      </c>
      <c r="AH47" s="50">
        <f>IF(Q47="yes",AD47/1000,0)</f>
        <v/>
      </c>
      <c r="AI47" s="50">
        <f>IF(S47="FG2",AH47*X47,AH47)</f>
        <v/>
      </c>
    </row>
    <row r="48">
      <c r="A48" s="7" t="inlineStr">
        <is>
          <t>HM00092</t>
        </is>
      </c>
      <c r="B48" s="16" t="inlineStr">
        <is>
          <t>8712345470241</t>
        </is>
      </c>
      <c r="C48" s="7" t="inlineStr">
        <is>
          <t>FJELDA SKMD MILK 1L</t>
        </is>
      </c>
      <c r="D48" s="7" t="inlineStr">
        <is>
          <t>Skimmed milk, 1l</t>
        </is>
      </c>
      <c r="E48" s="7" t="inlineStr">
        <is>
          <t>Fjelda</t>
        </is>
      </c>
      <c r="F48" s="7" t="inlineStr">
        <is>
          <t>Dairy &amp; Eggs</t>
        </is>
      </c>
      <c r="G48" s="7" t="inlineStr">
        <is>
          <t>Milk</t>
        </is>
      </c>
      <c r="H48" s="7" t="inlineStr">
        <is>
          <t>yes</t>
        </is>
      </c>
      <c r="I48" s="7" t="inlineStr">
        <is>
          <t>Animal core</t>
        </is>
      </c>
      <c r="J48" s="7" t="inlineStr">
        <is>
          <t>Milk, yoghurt and cream</t>
        </is>
      </c>
      <c r="K48" s="7" t="inlineStr">
        <is>
          <t>A</t>
        </is>
      </c>
      <c r="L48" s="7" t="inlineStr">
        <is>
          <t>All ingredients on one side</t>
        </is>
      </c>
      <c r="M48" s="51" t="n">
        <v>3.5</v>
      </c>
      <c r="N48" s="7" t="inlineStr">
        <is>
          <t>Declared by the retailer</t>
        </is>
      </c>
      <c r="O48" s="54" t="n">
        <v>0</v>
      </c>
      <c r="P48" s="54" t="n">
        <v>3.5</v>
      </c>
      <c r="Q48" s="7" t="inlineStr">
        <is>
          <t>yes</t>
        </is>
      </c>
      <c r="R48" s="7" t="inlineStr">
        <is>
          <t>whole</t>
        </is>
      </c>
      <c r="S48" s="7" t="inlineStr">
        <is>
          <t>FG2</t>
        </is>
      </c>
      <c r="T48" s="7" t="inlineStr">
        <is>
          <t>Dairy</t>
        </is>
      </c>
      <c r="U48" s="7" t="inlineStr">
        <is>
          <t>animal</t>
        </is>
      </c>
      <c r="V48" s="7" t="n"/>
      <c r="W48" s="7" t="n"/>
      <c r="X48" s="55" t="n">
        <v>1</v>
      </c>
      <c r="Y48" s="50" t="n">
        <v>1.03</v>
      </c>
      <c r="Z48" s="7" t="inlineStr">
        <is>
          <t>declared</t>
        </is>
      </c>
      <c r="AA48" s="19">
        <f>IF(ISBLANK(Welcome!D74),"",Welcome!D74)</f>
        <v/>
      </c>
      <c r="AB48" s="29">
        <f>IF(ISBLANK(Welcome!E74),"",Welcome!E74)</f>
        <v/>
      </c>
      <c r="AC48" s="29">
        <f>IF(N(AB48)&gt;0,N(AB48),N(AA48)*Y48)</f>
        <v/>
      </c>
      <c r="AD48" s="29">
        <f>IF(H48="yes",AC48,0)</f>
        <v/>
      </c>
      <c r="AE48" s="29">
        <f>AD48*N(M48)/100</f>
        <v/>
      </c>
      <c r="AF48" s="29">
        <f>AD48*N(O48)/100</f>
        <v/>
      </c>
      <c r="AG48" s="29">
        <f>AD48*N(P48)/100</f>
        <v/>
      </c>
      <c r="AH48" s="50">
        <f>IF(Q48="yes",AD48/1000,0)</f>
        <v/>
      </c>
      <c r="AI48" s="50">
        <f>IF(S48="FG2",AH48*X48,AH48)</f>
        <v/>
      </c>
    </row>
    <row r="49">
      <c r="A49" s="7" t="inlineStr">
        <is>
          <t>HM00740</t>
        </is>
      </c>
      <c r="B49" s="16" t="inlineStr">
        <is>
          <t>8712345997670</t>
        </is>
      </c>
      <c r="C49" s="7" t="inlineStr">
        <is>
          <t>HM PENNE RIGATE 3KG</t>
        </is>
      </c>
      <c r="D49" s="7" t="inlineStr">
        <is>
          <t>Penne rigate, 3kg</t>
        </is>
      </c>
      <c r="E49" s="7" t="inlineStr">
        <is>
          <t>Harbour Market</t>
        </is>
      </c>
      <c r="F49" s="7" t="inlineStr">
        <is>
          <t>Grocery</t>
        </is>
      </c>
      <c r="G49" s="7" t="inlineStr">
        <is>
          <t>Pasta</t>
        </is>
      </c>
      <c r="H49" s="7" t="inlineStr">
        <is>
          <t>yes</t>
        </is>
      </c>
      <c r="I49" s="7" t="inlineStr">
        <is>
          <t>Plant-based non-core</t>
        </is>
      </c>
      <c r="J49" s="7" t="inlineStr">
        <is>
          <t>Refined grains</t>
        </is>
      </c>
      <c r="K49" s="7" t="inlineStr">
        <is>
          <t>A</t>
        </is>
      </c>
      <c r="L49" s="7" t="inlineStr">
        <is>
          <t>All ingredients on one side</t>
        </is>
      </c>
      <c r="M49" s="51" t="n">
        <v>13.2</v>
      </c>
      <c r="N49" s="7" t="inlineStr">
        <is>
          <t>Altera reference base</t>
        </is>
      </c>
      <c r="O49" s="54" t="n">
        <v>13.2</v>
      </c>
      <c r="P49" s="54" t="n">
        <v>0</v>
      </c>
      <c r="Q49" s="7" t="inlineStr">
        <is>
          <t>yes</t>
        </is>
      </c>
      <c r="R49" s="7" t="inlineStr">
        <is>
          <t>whole</t>
        </is>
      </c>
      <c r="S49" s="7" t="inlineStr">
        <is>
          <t>FG5</t>
        </is>
      </c>
      <c r="T49" s="7" t="inlineStr">
        <is>
          <t>Refined grain</t>
        </is>
      </c>
      <c r="U49" s="7" t="inlineStr">
        <is>
          <t>plant</t>
        </is>
      </c>
      <c r="V49" s="7" t="n"/>
      <c r="W49" s="7" t="n"/>
      <c r="X49" s="55" t="n">
        <v>1</v>
      </c>
      <c r="Y49" s="50" t="n">
        <v>3</v>
      </c>
      <c r="Z49" s="7" t="inlineStr">
        <is>
          <t>declared</t>
        </is>
      </c>
      <c r="AA49" s="19">
        <f>IF(ISBLANK(Welcome!D75),"",Welcome!D75)</f>
        <v/>
      </c>
      <c r="AB49" s="29">
        <f>IF(ISBLANK(Welcome!E75),"",Welcome!E75)</f>
        <v/>
      </c>
      <c r="AC49" s="29">
        <f>IF(N(AB49)&gt;0,N(AB49),N(AA49)*Y49)</f>
        <v/>
      </c>
      <c r="AD49" s="29">
        <f>IF(H49="yes",AC49,0)</f>
        <v/>
      </c>
      <c r="AE49" s="29">
        <f>AD49*N(M49)/100</f>
        <v/>
      </c>
      <c r="AF49" s="29">
        <f>AD49*N(O49)/100</f>
        <v/>
      </c>
      <c r="AG49" s="29">
        <f>AD49*N(P49)/100</f>
        <v/>
      </c>
      <c r="AH49" s="50">
        <f>IF(Q49="yes",AD49/1000,0)</f>
        <v/>
      </c>
      <c r="AI49" s="50">
        <f>IF(S49="FG2",AH49*X49,AH49)</f>
        <v/>
      </c>
    </row>
    <row r="50">
      <c r="A50" s="7" t="inlineStr">
        <is>
          <t>HM00692</t>
        </is>
      </c>
      <c r="B50" s="16" t="inlineStr">
        <is>
          <t>8712345998424</t>
        </is>
      </c>
      <c r="C50" s="7" t="inlineStr">
        <is>
          <t>HM PALE ALE 4X440ML</t>
        </is>
      </c>
      <c r="D50" s="7" t="inlineStr">
        <is>
          <t>Pale ale, 4x440ml</t>
        </is>
      </c>
      <c r="E50" s="7" t="inlineStr">
        <is>
          <t>Harbour Market</t>
        </is>
      </c>
      <c r="F50" s="7" t="inlineStr">
        <is>
          <t>Beer, Wine &amp; Spirits</t>
        </is>
      </c>
      <c r="G50" s="7" t="inlineStr">
        <is>
          <t>Beer &amp; Cider</t>
        </is>
      </c>
      <c r="H50" s="7" t="inlineStr">
        <is>
          <t>yes</t>
        </is>
      </c>
      <c r="I50" s="7" t="inlineStr">
        <is>
          <t>Plant-based non-core</t>
        </is>
      </c>
      <c r="J50" s="7" t="inlineStr">
        <is>
          <t>Outside the WWF scope</t>
        </is>
      </c>
      <c r="K50" s="7" t="inlineStr">
        <is>
          <t>A</t>
        </is>
      </c>
      <c r="L50" s="7" t="inlineStr">
        <is>
          <t>All ingredients on one side</t>
        </is>
      </c>
      <c r="M50" s="51" t="n">
        <v>0.39</v>
      </c>
      <c r="N50" s="7" t="inlineStr">
        <is>
          <t>Median of the family</t>
        </is>
      </c>
      <c r="O50" s="54" t="n">
        <v>0.39</v>
      </c>
      <c r="P50" s="54" t="n">
        <v>0</v>
      </c>
      <c r="Q50" s="7" t="inlineStr">
        <is>
          <t>no</t>
        </is>
      </c>
      <c r="R50" s="7" t="n"/>
      <c r="S50" s="7" t="n"/>
      <c r="T50" s="7" t="n"/>
      <c r="U50" s="7" t="n"/>
      <c r="V50" s="7" t="n"/>
      <c r="W50" s="7" t="inlineStr">
        <is>
          <t>alcohol</t>
        </is>
      </c>
      <c r="X50" s="55" t="n">
        <v>1</v>
      </c>
      <c r="Y50" s="50" t="n">
        <v>1.76</v>
      </c>
      <c r="Z50" s="7" t="inlineStr">
        <is>
          <t>declared</t>
        </is>
      </c>
      <c r="AA50" s="19">
        <f>IF(ISBLANK(Welcome!D76),"",Welcome!D76)</f>
        <v/>
      </c>
      <c r="AB50" s="29">
        <f>IF(ISBLANK(Welcome!E76),"",Welcome!E76)</f>
        <v/>
      </c>
      <c r="AC50" s="29">
        <f>IF(N(AB50)&gt;0,N(AB50),N(AA50)*Y50)</f>
        <v/>
      </c>
      <c r="AD50" s="29">
        <f>IF(H50="yes",AC50,0)</f>
        <v/>
      </c>
      <c r="AE50" s="29">
        <f>AD50*N(M50)/100</f>
        <v/>
      </c>
      <c r="AF50" s="29">
        <f>AD50*N(O50)/100</f>
        <v/>
      </c>
      <c r="AG50" s="29">
        <f>AD50*N(P50)/100</f>
        <v/>
      </c>
      <c r="AH50" s="50">
        <f>IF(Q50="yes",AD50/1000,0)</f>
        <v/>
      </c>
      <c r="AI50" s="50">
        <f>IF(S50="FG2",AH50*X50,AH50)</f>
        <v/>
      </c>
    </row>
    <row r="51">
      <c r="A51" s="7" t="inlineStr">
        <is>
          <t>HM00351</t>
        </is>
      </c>
      <c r="B51" s="16" t="inlineStr">
        <is>
          <t>5012345916170</t>
        </is>
      </c>
      <c r="C51" s="7" t="inlineStr">
        <is>
          <t>FARFALLE 3KG ORVALIS</t>
        </is>
      </c>
      <c r="D51" s="7" t="inlineStr">
        <is>
          <t>Farfalle, 3kg</t>
        </is>
      </c>
      <c r="E51" s="7" t="inlineStr">
        <is>
          <t>Orvalis</t>
        </is>
      </c>
      <c r="F51" s="7" t="inlineStr">
        <is>
          <t>Grocery</t>
        </is>
      </c>
      <c r="G51" s="7" t="inlineStr">
        <is>
          <t>Pasta</t>
        </is>
      </c>
      <c r="H51" s="7" t="inlineStr">
        <is>
          <t>yes</t>
        </is>
      </c>
      <c r="I51" s="7" t="inlineStr">
        <is>
          <t>Plant-based non-core</t>
        </is>
      </c>
      <c r="J51" s="7" t="inlineStr">
        <is>
          <t>Refined grains</t>
        </is>
      </c>
      <c r="K51" s="7" t="inlineStr">
        <is>
          <t>A</t>
        </is>
      </c>
      <c r="L51" s="7" t="inlineStr">
        <is>
          <t>All ingredients on one side</t>
        </is>
      </c>
      <c r="M51" s="51" t="n">
        <v>12.2</v>
      </c>
      <c r="N51" s="7" t="inlineStr">
        <is>
          <t>Open Food Facts and NEVO, by EAN</t>
        </is>
      </c>
      <c r="O51" s="54" t="n">
        <v>12.2</v>
      </c>
      <c r="P51" s="54" t="n">
        <v>0</v>
      </c>
      <c r="Q51" s="7" t="inlineStr">
        <is>
          <t>yes</t>
        </is>
      </c>
      <c r="R51" s="7" t="inlineStr">
        <is>
          <t>whole</t>
        </is>
      </c>
      <c r="S51" s="7" t="inlineStr">
        <is>
          <t>FG5</t>
        </is>
      </c>
      <c r="T51" s="7" t="inlineStr">
        <is>
          <t>Refined grain</t>
        </is>
      </c>
      <c r="U51" s="7" t="inlineStr">
        <is>
          <t>plant</t>
        </is>
      </c>
      <c r="V51" s="7" t="n"/>
      <c r="W51" s="7" t="n"/>
      <c r="X51" s="55" t="n">
        <v>1</v>
      </c>
      <c r="Y51" s="50" t="n">
        <v>3</v>
      </c>
      <c r="Z51" s="7" t="inlineStr">
        <is>
          <t>declared</t>
        </is>
      </c>
      <c r="AA51" s="19">
        <f>IF(ISBLANK(Welcome!D77),"",Welcome!D77)</f>
        <v/>
      </c>
      <c r="AB51" s="29">
        <f>IF(ISBLANK(Welcome!E77),"",Welcome!E77)</f>
        <v/>
      </c>
      <c r="AC51" s="29">
        <f>IF(N(AB51)&gt;0,N(AB51),N(AA51)*Y51)</f>
        <v/>
      </c>
      <c r="AD51" s="29">
        <f>IF(H51="yes",AC51,0)</f>
        <v/>
      </c>
      <c r="AE51" s="29">
        <f>AD51*N(M51)/100</f>
        <v/>
      </c>
      <c r="AF51" s="29">
        <f>AD51*N(O51)/100</f>
        <v/>
      </c>
      <c r="AG51" s="29">
        <f>AD51*N(P51)/100</f>
        <v/>
      </c>
      <c r="AH51" s="50">
        <f>IF(Q51="yes",AD51/1000,0)</f>
        <v/>
      </c>
      <c r="AI51" s="50">
        <f>IF(S51="FG2",AH51*X51,AH51)</f>
        <v/>
      </c>
    </row>
    <row r="52">
      <c r="A52" s="7" t="inlineStr">
        <is>
          <t>HM00521</t>
        </is>
      </c>
      <c r="B52" s="16" t="inlineStr">
        <is>
          <t>8712345973469</t>
        </is>
      </c>
      <c r="C52" s="7" t="inlineStr">
        <is>
          <t>HM PENNE RIGATE 500G</t>
        </is>
      </c>
      <c r="D52" s="7" t="inlineStr">
        <is>
          <t>Penne rigate, 500g</t>
        </is>
      </c>
      <c r="E52" s="7" t="inlineStr">
        <is>
          <t>Harbour Market</t>
        </is>
      </c>
      <c r="F52" s="7" t="inlineStr">
        <is>
          <t>Grocery</t>
        </is>
      </c>
      <c r="G52" s="7" t="inlineStr">
        <is>
          <t>Pasta</t>
        </is>
      </c>
      <c r="H52" s="7" t="inlineStr">
        <is>
          <t>yes</t>
        </is>
      </c>
      <c r="I52" s="7" t="inlineStr">
        <is>
          <t>Plant-based non-core</t>
        </is>
      </c>
      <c r="J52" s="7" t="inlineStr">
        <is>
          <t>Refined grains</t>
        </is>
      </c>
      <c r="K52" s="7" t="inlineStr">
        <is>
          <t>A</t>
        </is>
      </c>
      <c r="L52" s="7" t="inlineStr">
        <is>
          <t>All ingredients on one side</t>
        </is>
      </c>
      <c r="M52" s="51" t="n">
        <v>12.7</v>
      </c>
      <c r="N52" s="7" t="inlineStr">
        <is>
          <t>Declared by the retailer</t>
        </is>
      </c>
      <c r="O52" s="54" t="n">
        <v>12.7</v>
      </c>
      <c r="P52" s="54" t="n">
        <v>0</v>
      </c>
      <c r="Q52" s="7" t="inlineStr">
        <is>
          <t>yes</t>
        </is>
      </c>
      <c r="R52" s="7" t="inlineStr">
        <is>
          <t>whole</t>
        </is>
      </c>
      <c r="S52" s="7" t="inlineStr">
        <is>
          <t>FG5</t>
        </is>
      </c>
      <c r="T52" s="7" t="inlineStr">
        <is>
          <t>Refined grain</t>
        </is>
      </c>
      <c r="U52" s="7" t="inlineStr">
        <is>
          <t>plant</t>
        </is>
      </c>
      <c r="V52" s="7" t="n"/>
      <c r="W52" s="7" t="n"/>
      <c r="X52" s="55" t="n">
        <v>1</v>
      </c>
      <c r="Y52" s="50" t="n">
        <v>0.5</v>
      </c>
      <c r="Z52" s="7" t="inlineStr">
        <is>
          <t>label</t>
        </is>
      </c>
      <c r="AA52" s="19">
        <f>IF(ISBLANK(Welcome!D78),"",Welcome!D78)</f>
        <v/>
      </c>
      <c r="AB52" s="29">
        <f>IF(ISBLANK(Welcome!E78),"",Welcome!E78)</f>
        <v/>
      </c>
      <c r="AC52" s="29">
        <f>IF(N(AB52)&gt;0,N(AB52),N(AA52)*Y52)</f>
        <v/>
      </c>
      <c r="AD52" s="29">
        <f>IF(H52="yes",AC52,0)</f>
        <v/>
      </c>
      <c r="AE52" s="29">
        <f>AD52*N(M52)/100</f>
        <v/>
      </c>
      <c r="AF52" s="29">
        <f>AD52*N(O52)/100</f>
        <v/>
      </c>
      <c r="AG52" s="29">
        <f>AD52*N(P52)/100</f>
        <v/>
      </c>
      <c r="AH52" s="50">
        <f>IF(Q52="yes",AD52/1000,0)</f>
        <v/>
      </c>
      <c r="AI52" s="50">
        <f>IF(S52="FG2",AH52*X52,AH52)</f>
        <v/>
      </c>
    </row>
    <row r="53">
      <c r="A53" s="7" t="inlineStr">
        <is>
          <t>HM00436</t>
        </is>
      </c>
      <c r="B53" s="16" t="inlineStr">
        <is>
          <t>5012345048253</t>
        </is>
      </c>
      <c r="C53" s="7" t="inlineStr">
        <is>
          <t>HM SKYR STRAWB 6X125G</t>
        </is>
      </c>
      <c r="D53" s="7" t="inlineStr">
        <is>
          <t>Strawberry skyr, 6x125g</t>
        </is>
      </c>
      <c r="E53" s="7" t="inlineStr">
        <is>
          <t>Harbour Market</t>
        </is>
      </c>
      <c r="F53" s="7" t="inlineStr">
        <is>
          <t>Dairy &amp; Eggs</t>
        </is>
      </c>
      <c r="G53" s="7" t="inlineStr">
        <is>
          <t>Yoghurt</t>
        </is>
      </c>
      <c r="H53" s="7" t="inlineStr">
        <is>
          <t>yes</t>
        </is>
      </c>
      <c r="I53" s="7" t="inlineStr">
        <is>
          <t>Animal core</t>
        </is>
      </c>
      <c r="J53" s="7" t="inlineStr">
        <is>
          <t>Milk, yoghurt and cream</t>
        </is>
      </c>
      <c r="K53" s="7" t="inlineStr">
        <is>
          <t>B</t>
        </is>
      </c>
      <c r="L53" s="7" t="inlineStr">
        <is>
          <t>First ingredient</t>
        </is>
      </c>
      <c r="M53" s="51" t="n">
        <v>9.9</v>
      </c>
      <c r="N53" s="7" t="inlineStr">
        <is>
          <t>Declared by the retailer</t>
        </is>
      </c>
      <c r="O53" s="54" t="n">
        <v>0</v>
      </c>
      <c r="P53" s="54" t="n">
        <v>9.9</v>
      </c>
      <c r="Q53" s="7" t="inlineStr">
        <is>
          <t>yes</t>
        </is>
      </c>
      <c r="R53" s="7" t="inlineStr">
        <is>
          <t>whole</t>
        </is>
      </c>
      <c r="S53" s="7" t="inlineStr">
        <is>
          <t>FG2</t>
        </is>
      </c>
      <c r="T53" s="7" t="inlineStr">
        <is>
          <t>Dairy</t>
        </is>
      </c>
      <c r="U53" s="7" t="inlineStr">
        <is>
          <t>animal</t>
        </is>
      </c>
      <c r="V53" s="7" t="n"/>
      <c r="W53" s="7" t="n"/>
      <c r="X53" s="55" t="n">
        <v>1</v>
      </c>
      <c r="Y53" s="50" t="n">
        <v>0.75</v>
      </c>
      <c r="Z53" s="7" t="inlineStr">
        <is>
          <t>declared</t>
        </is>
      </c>
      <c r="AA53" s="19">
        <f>IF(ISBLANK(Welcome!D79),"",Welcome!D79)</f>
        <v/>
      </c>
      <c r="AB53" s="29">
        <f>IF(ISBLANK(Welcome!E79),"",Welcome!E79)</f>
        <v/>
      </c>
      <c r="AC53" s="29">
        <f>IF(N(AB53)&gt;0,N(AB53),N(AA53)*Y53)</f>
        <v/>
      </c>
      <c r="AD53" s="29">
        <f>IF(H53="yes",AC53,0)</f>
        <v/>
      </c>
      <c r="AE53" s="29">
        <f>AD53*N(M53)/100</f>
        <v/>
      </c>
      <c r="AF53" s="29">
        <f>AD53*N(O53)/100</f>
        <v/>
      </c>
      <c r="AG53" s="29">
        <f>AD53*N(P53)/100</f>
        <v/>
      </c>
      <c r="AH53" s="50">
        <f>IF(Q53="yes",AD53/1000,0)</f>
        <v/>
      </c>
      <c r="AI53" s="50">
        <f>IF(S53="FG2",AH53*X53,AH53)</f>
        <v/>
      </c>
    </row>
    <row r="54">
      <c r="A54" s="7" t="inlineStr">
        <is>
          <t>HM00078</t>
        </is>
      </c>
      <c r="B54" s="16" t="inlineStr">
        <is>
          <t>4012345463101</t>
        </is>
      </c>
      <c r="C54" s="7" t="inlineStr">
        <is>
          <t>HM COLA 6X330ML</t>
        </is>
      </c>
      <c r="D54" s="7" t="inlineStr">
        <is>
          <t>Cola, 6x330ml</t>
        </is>
      </c>
      <c r="E54" s="7" t="inlineStr">
        <is>
          <t>Harbour Market</t>
        </is>
      </c>
      <c r="F54" s="7" t="inlineStr">
        <is>
          <t>Soft Drinks &amp; Water</t>
        </is>
      </c>
      <c r="G54" s="7" t="inlineStr">
        <is>
          <t>Soft Drinks</t>
        </is>
      </c>
      <c r="H54" s="7" t="inlineStr">
        <is>
          <t>yes</t>
        </is>
      </c>
      <c r="I54" s="7" t="inlineStr">
        <is>
          <t>Plant-based non-core</t>
        </is>
      </c>
      <c r="J54" s="7" t="inlineStr">
        <is>
          <t>Outside the WWF scope</t>
        </is>
      </c>
      <c r="K54" s="7" t="inlineStr">
        <is>
          <t>A</t>
        </is>
      </c>
      <c r="L54" s="7" t="inlineStr">
        <is>
          <t>All ingredients on one side</t>
        </is>
      </c>
      <c r="M54" s="51" t="n">
        <v>0</v>
      </c>
      <c r="N54" s="7" t="inlineStr">
        <is>
          <t>Open Food Facts and NEVO, by EAN</t>
        </is>
      </c>
      <c r="O54" s="54" t="n">
        <v>0</v>
      </c>
      <c r="P54" s="54" t="n">
        <v>0</v>
      </c>
      <c r="Q54" s="7" t="inlineStr">
        <is>
          <t>no</t>
        </is>
      </c>
      <c r="R54" s="7" t="n"/>
      <c r="S54" s="7" t="n"/>
      <c r="T54" s="7" t="n"/>
      <c r="U54" s="7" t="n"/>
      <c r="V54" s="7" t="n"/>
      <c r="W54" s="7" t="inlineStr">
        <is>
          <t>beverage</t>
        </is>
      </c>
      <c r="X54" s="55" t="n">
        <v>1</v>
      </c>
      <c r="Y54" s="50" t="n">
        <v>1.98</v>
      </c>
      <c r="Z54" s="7" t="inlineStr">
        <is>
          <t>declared</t>
        </is>
      </c>
      <c r="AA54" s="19">
        <f>IF(ISBLANK(Welcome!D80),"",Welcome!D80)</f>
        <v/>
      </c>
      <c r="AB54" s="29">
        <f>IF(ISBLANK(Welcome!E80),"",Welcome!E80)</f>
        <v/>
      </c>
      <c r="AC54" s="29">
        <f>IF(N(AB54)&gt;0,N(AB54),N(AA54)*Y54)</f>
        <v/>
      </c>
      <c r="AD54" s="29">
        <f>IF(H54="yes",AC54,0)</f>
        <v/>
      </c>
      <c r="AE54" s="29">
        <f>AD54*N(M54)/100</f>
        <v/>
      </c>
      <c r="AF54" s="29">
        <f>AD54*N(O54)/100</f>
        <v/>
      </c>
      <c r="AG54" s="29">
        <f>AD54*N(P54)/100</f>
        <v/>
      </c>
      <c r="AH54" s="50">
        <f>IF(Q54="yes",AD54/1000,0)</f>
        <v/>
      </c>
      <c r="AI54" s="50">
        <f>IF(S54="FG2",AH54*X54,AH54)</f>
        <v/>
      </c>
    </row>
    <row r="55">
      <c r="A55" s="7" t="inlineStr">
        <is>
          <t>HM00535</t>
        </is>
      </c>
      <c r="B55" s="16" t="inlineStr">
        <is>
          <t>8712345869571</t>
        </is>
      </c>
      <c r="C55" s="7" t="inlineStr">
        <is>
          <t>HM COUSCOUS 1KG</t>
        </is>
      </c>
      <c r="D55" s="7" t="inlineStr">
        <is>
          <t>Couscous, 1kg</t>
        </is>
      </c>
      <c r="E55" s="7" t="inlineStr">
        <is>
          <t>Harbour Market</t>
        </is>
      </c>
      <c r="F55" s="7" t="inlineStr">
        <is>
          <t>Grocery</t>
        </is>
      </c>
      <c r="G55" s="7" t="inlineStr">
        <is>
          <t>Rice &amp; Grains</t>
        </is>
      </c>
      <c r="H55" s="7" t="inlineStr">
        <is>
          <t>yes</t>
        </is>
      </c>
      <c r="I55" s="7" t="inlineStr">
        <is>
          <t>Plant-based non-core</t>
        </is>
      </c>
      <c r="J55" s="7" t="inlineStr">
        <is>
          <t>Refined grains</t>
        </is>
      </c>
      <c r="K55" s="7" t="inlineStr">
        <is>
          <t>B</t>
        </is>
      </c>
      <c r="L55" s="7" t="inlineStr">
        <is>
          <t>Follows the class</t>
        </is>
      </c>
      <c r="M55" s="51" t="n">
        <v>7.6</v>
      </c>
      <c r="N55" s="7" t="inlineStr">
        <is>
          <t>Altera reference base</t>
        </is>
      </c>
      <c r="O55" s="54" t="n">
        <v>7.6</v>
      </c>
      <c r="P55" s="54" t="n">
        <v>0</v>
      </c>
      <c r="Q55" s="7" t="inlineStr">
        <is>
          <t>yes</t>
        </is>
      </c>
      <c r="R55" s="7" t="inlineStr">
        <is>
          <t>whole</t>
        </is>
      </c>
      <c r="S55" s="7" t="inlineStr">
        <is>
          <t>FG5</t>
        </is>
      </c>
      <c r="T55" s="7" t="inlineStr">
        <is>
          <t>Refined grain</t>
        </is>
      </c>
      <c r="U55" s="7" t="inlineStr">
        <is>
          <t>plant</t>
        </is>
      </c>
      <c r="V55" s="7" t="n"/>
      <c r="W55" s="7" t="n"/>
      <c r="X55" s="55" t="n">
        <v>1</v>
      </c>
      <c r="Y55" s="50" t="n">
        <v>1</v>
      </c>
      <c r="Z55" s="7" t="inlineStr">
        <is>
          <t>declared</t>
        </is>
      </c>
      <c r="AA55" s="19">
        <f>IF(ISBLANK(Welcome!D81),"",Welcome!D81)</f>
        <v/>
      </c>
      <c r="AB55" s="29">
        <f>IF(ISBLANK(Welcome!E81),"",Welcome!E81)</f>
        <v/>
      </c>
      <c r="AC55" s="29">
        <f>IF(N(AB55)&gt;0,N(AB55),N(AA55)*Y55)</f>
        <v/>
      </c>
      <c r="AD55" s="29">
        <f>IF(H55="yes",AC55,0)</f>
        <v/>
      </c>
      <c r="AE55" s="29">
        <f>AD55*N(M55)/100</f>
        <v/>
      </c>
      <c r="AF55" s="29">
        <f>AD55*N(O55)/100</f>
        <v/>
      </c>
      <c r="AG55" s="29">
        <f>AD55*N(P55)/100</f>
        <v/>
      </c>
      <c r="AH55" s="50">
        <f>IF(Q55="yes",AD55/1000,0)</f>
        <v/>
      </c>
      <c r="AI55" s="50">
        <f>IF(S55="FG2",AH55*X55,AH55)</f>
        <v/>
      </c>
    </row>
    <row r="56">
      <c r="A56" s="7" t="inlineStr">
        <is>
          <t>HM00646</t>
        </is>
      </c>
      <c r="B56" s="16" t="inlineStr">
        <is>
          <t>8712345150099</t>
        </is>
      </c>
      <c r="C56" s="7" t="inlineStr">
        <is>
          <t>OAT DRINK BARISTA 6X1L SOLVANE</t>
        </is>
      </c>
      <c r="D56" s="7" t="inlineStr">
        <is>
          <t>Oat drink, barista edition, 6x1l</t>
        </is>
      </c>
      <c r="E56" s="7" t="inlineStr">
        <is>
          <t>Solvane</t>
        </is>
      </c>
      <c r="F56" s="7" t="inlineStr">
        <is>
          <t>Plant-Based</t>
        </is>
      </c>
      <c r="G56" s="7" t="inlineStr">
        <is>
          <t>Plant Drinks</t>
        </is>
      </c>
      <c r="H56" s="7" t="inlineStr">
        <is>
          <t>yes</t>
        </is>
      </c>
      <c r="I56" s="7" t="inlineStr">
        <is>
          <t>Plant-based core</t>
        </is>
      </c>
      <c r="J56" s="7" t="inlineStr">
        <is>
          <t>Plant-based dairy alternatives</t>
        </is>
      </c>
      <c r="K56" s="7" t="inlineStr">
        <is>
          <t>A</t>
        </is>
      </c>
      <c r="L56" s="7" t="inlineStr">
        <is>
          <t>All ingredients on one side</t>
        </is>
      </c>
      <c r="M56" s="51" t="n">
        <v>0.95</v>
      </c>
      <c r="N56" s="7" t="inlineStr">
        <is>
          <t>Declared by the retailer</t>
        </is>
      </c>
      <c r="O56" s="54" t="n">
        <v>0.95</v>
      </c>
      <c r="P56" s="54" t="n">
        <v>0</v>
      </c>
      <c r="Q56" s="7" t="inlineStr">
        <is>
          <t>yes</t>
        </is>
      </c>
      <c r="R56" s="7" t="inlineStr">
        <is>
          <t>whole</t>
        </is>
      </c>
      <c r="S56" s="7" t="inlineStr">
        <is>
          <t>FG2</t>
        </is>
      </c>
      <c r="T56" s="7" t="inlineStr">
        <is>
          <t>Dairy alternatives</t>
        </is>
      </c>
      <c r="U56" s="7" t="inlineStr">
        <is>
          <t>plant</t>
        </is>
      </c>
      <c r="V56" s="7" t="n"/>
      <c r="W56" s="7" t="n"/>
      <c r="X56" s="55" t="n">
        <v>1</v>
      </c>
      <c r="Y56" s="50" t="n">
        <v>6.18</v>
      </c>
      <c r="Z56" s="7" t="inlineStr">
        <is>
          <t>declared</t>
        </is>
      </c>
      <c r="AA56" s="19">
        <f>IF(ISBLANK(Welcome!D82),"",Welcome!D82)</f>
        <v/>
      </c>
      <c r="AB56" s="29">
        <f>IF(ISBLANK(Welcome!E82),"",Welcome!E82)</f>
        <v/>
      </c>
      <c r="AC56" s="29">
        <f>IF(N(AB56)&gt;0,N(AB56),N(AA56)*Y56)</f>
        <v/>
      </c>
      <c r="AD56" s="29">
        <f>IF(H56="yes",AC56,0)</f>
        <v/>
      </c>
      <c r="AE56" s="29">
        <f>AD56*N(M56)/100</f>
        <v/>
      </c>
      <c r="AF56" s="29">
        <f>AD56*N(O56)/100</f>
        <v/>
      </c>
      <c r="AG56" s="29">
        <f>AD56*N(P56)/100</f>
        <v/>
      </c>
      <c r="AH56" s="50">
        <f>IF(Q56="yes",AD56/1000,0)</f>
        <v/>
      </c>
      <c r="AI56" s="50">
        <f>IF(S56="FG2",AH56*X56,AH56)</f>
        <v/>
      </c>
    </row>
    <row r="57">
      <c r="A57" s="7" t="inlineStr">
        <is>
          <t>HM00773</t>
        </is>
      </c>
      <c r="B57" s="16" t="inlineStr">
        <is>
          <t>3012345480253</t>
        </is>
      </c>
      <c r="C57" s="7" t="inlineStr">
        <is>
          <t>HM LACTOSE FREE MILK 500ML</t>
        </is>
      </c>
      <c r="D57" s="7" t="inlineStr">
        <is>
          <t>Lactose-free semi-skimmed milk, 500ml</t>
        </is>
      </c>
      <c r="E57" s="7" t="inlineStr">
        <is>
          <t>Harbour Market</t>
        </is>
      </c>
      <c r="F57" s="7" t="inlineStr">
        <is>
          <t>Dairy &amp; Eggs</t>
        </is>
      </c>
      <c r="G57" s="7" t="inlineStr">
        <is>
          <t>Milk</t>
        </is>
      </c>
      <c r="H57" s="7" t="inlineStr">
        <is>
          <t>yes</t>
        </is>
      </c>
      <c r="I57" s="7" t="inlineStr">
        <is>
          <t>Animal core</t>
        </is>
      </c>
      <c r="J57" s="7" t="inlineStr">
        <is>
          <t>Milk, yoghurt and cream</t>
        </is>
      </c>
      <c r="K57" s="7" t="inlineStr">
        <is>
          <t>A</t>
        </is>
      </c>
      <c r="L57" s="7" t="inlineStr">
        <is>
          <t>All ingredients on one side</t>
        </is>
      </c>
      <c r="M57" s="51" t="n">
        <v>3.5</v>
      </c>
      <c r="N57" s="7" t="inlineStr">
        <is>
          <t>Altera reference base</t>
        </is>
      </c>
      <c r="O57" s="54" t="n">
        <v>0</v>
      </c>
      <c r="P57" s="54" t="n">
        <v>3.5</v>
      </c>
      <c r="Q57" s="7" t="inlineStr">
        <is>
          <t>yes</t>
        </is>
      </c>
      <c r="R57" s="7" t="inlineStr">
        <is>
          <t>whole</t>
        </is>
      </c>
      <c r="S57" s="7" t="inlineStr">
        <is>
          <t>FG2</t>
        </is>
      </c>
      <c r="T57" s="7" t="inlineStr">
        <is>
          <t>Dairy</t>
        </is>
      </c>
      <c r="U57" s="7" t="inlineStr">
        <is>
          <t>animal</t>
        </is>
      </c>
      <c r="V57" s="7" t="n"/>
      <c r="W57" s="7" t="n"/>
      <c r="X57" s="55" t="n">
        <v>1</v>
      </c>
      <c r="Y57" s="50" t="n">
        <v>0.515</v>
      </c>
      <c r="Z57" s="7" t="inlineStr">
        <is>
          <t>declared</t>
        </is>
      </c>
      <c r="AA57" s="19">
        <f>IF(ISBLANK(Welcome!D83),"",Welcome!D83)</f>
        <v/>
      </c>
      <c r="AB57" s="29">
        <f>IF(ISBLANK(Welcome!E83),"",Welcome!E83)</f>
        <v/>
      </c>
      <c r="AC57" s="29">
        <f>IF(N(AB57)&gt;0,N(AB57),N(AA57)*Y57)</f>
        <v/>
      </c>
      <c r="AD57" s="29">
        <f>IF(H57="yes",AC57,0)</f>
        <v/>
      </c>
      <c r="AE57" s="29">
        <f>AD57*N(M57)/100</f>
        <v/>
      </c>
      <c r="AF57" s="29">
        <f>AD57*N(O57)/100</f>
        <v/>
      </c>
      <c r="AG57" s="29">
        <f>AD57*N(P57)/100</f>
        <v/>
      </c>
      <c r="AH57" s="50">
        <f>IF(Q57="yes",AD57/1000,0)</f>
        <v/>
      </c>
      <c r="AI57" s="50">
        <f>IF(S57="FG2",AH57*X57,AH57)</f>
        <v/>
      </c>
    </row>
    <row r="58">
      <c r="A58" s="7" t="inlineStr">
        <is>
          <t>HM00787</t>
        </is>
      </c>
      <c r="B58" s="16" t="inlineStr">
        <is>
          <t>8712345384821</t>
        </is>
      </c>
      <c r="C58" s="7" t="inlineStr">
        <is>
          <t>HM SWEET POTATOES 1KG</t>
        </is>
      </c>
      <c r="D58" s="7" t="inlineStr">
        <is>
          <t>Sweet potatoes, 1kg</t>
        </is>
      </c>
      <c r="E58" s="7" t="inlineStr">
        <is>
          <t>Harbour Market</t>
        </is>
      </c>
      <c r="F58" s="7" t="inlineStr">
        <is>
          <t>Fruit &amp; Vegetables</t>
        </is>
      </c>
      <c r="G58" s="7" t="inlineStr">
        <is>
          <t>Potatoes</t>
        </is>
      </c>
      <c r="H58" s="7" t="inlineStr">
        <is>
          <t>yes</t>
        </is>
      </c>
      <c r="I58" s="7" t="inlineStr">
        <is>
          <t>Plant-based non-core</t>
        </is>
      </c>
      <c r="J58" s="7" t="inlineStr">
        <is>
          <t>Starchy foods</t>
        </is>
      </c>
      <c r="K58" s="7" t="inlineStr">
        <is>
          <t>B</t>
        </is>
      </c>
      <c r="L58" s="7" t="inlineStr">
        <is>
          <t>Follows the class</t>
        </is>
      </c>
      <c r="M58" s="51" t="n">
        <v>1.7</v>
      </c>
      <c r="N58" s="7" t="inlineStr">
        <is>
          <t>Declared by the retailer</t>
        </is>
      </c>
      <c r="O58" s="54" t="n">
        <v>1.7</v>
      </c>
      <c r="P58" s="54" t="n">
        <v>0</v>
      </c>
      <c r="Q58" s="7" t="inlineStr">
        <is>
          <t>yes</t>
        </is>
      </c>
      <c r="R58" s="7" t="inlineStr">
        <is>
          <t>whole</t>
        </is>
      </c>
      <c r="S58" s="7" t="inlineStr">
        <is>
          <t>FG6</t>
        </is>
      </c>
      <c r="T58" s="7" t="n"/>
      <c r="U58" s="7" t="inlineStr">
        <is>
          <t>plant</t>
        </is>
      </c>
      <c r="V58" s="7" t="n"/>
      <c r="W58" s="7" t="n"/>
      <c r="X58" s="55" t="n">
        <v>1</v>
      </c>
      <c r="Y58" s="50" t="n">
        <v>1</v>
      </c>
      <c r="Z58" s="7" t="inlineStr">
        <is>
          <t>declared</t>
        </is>
      </c>
      <c r="AA58" s="19">
        <f>IF(ISBLANK(Welcome!D84),"",Welcome!D84)</f>
        <v/>
      </c>
      <c r="AB58" s="29">
        <f>IF(ISBLANK(Welcome!E84),"",Welcome!E84)</f>
        <v/>
      </c>
      <c r="AC58" s="29">
        <f>IF(N(AB58)&gt;0,N(AB58),N(AA58)*Y58)</f>
        <v/>
      </c>
      <c r="AD58" s="29">
        <f>IF(H58="yes",AC58,0)</f>
        <v/>
      </c>
      <c r="AE58" s="29">
        <f>AD58*N(M58)/100</f>
        <v/>
      </c>
      <c r="AF58" s="29">
        <f>AD58*N(O58)/100</f>
        <v/>
      </c>
      <c r="AG58" s="29">
        <f>AD58*N(P58)/100</f>
        <v/>
      </c>
      <c r="AH58" s="50">
        <f>IF(Q58="yes",AD58/1000,0)</f>
        <v/>
      </c>
      <c r="AI58" s="50">
        <f>IF(S58="FG2",AH58*X58,AH58)</f>
        <v/>
      </c>
    </row>
    <row r="59">
      <c r="A59" s="7" t="inlineStr">
        <is>
          <t>HM00642</t>
        </is>
      </c>
      <c r="B59" s="16" t="inlineStr">
        <is>
          <t>5012345017563</t>
        </is>
      </c>
      <c r="C59" s="7" t="inlineStr">
        <is>
          <t>HM BANANAS 1KG</t>
        </is>
      </c>
      <c r="D59" s="7" t="inlineStr">
        <is>
          <t>Bananas, 1kg</t>
        </is>
      </c>
      <c r="E59" s="7" t="inlineStr">
        <is>
          <t>Harbour Market</t>
        </is>
      </c>
      <c r="F59" s="7" t="inlineStr">
        <is>
          <t>Fruit &amp; Vegetables</t>
        </is>
      </c>
      <c r="G59" s="7" t="inlineStr">
        <is>
          <t>Fruit</t>
        </is>
      </c>
      <c r="H59" s="7" t="inlineStr">
        <is>
          <t>yes</t>
        </is>
      </c>
      <c r="I59" s="7" t="inlineStr">
        <is>
          <t>Plant-based non-core</t>
        </is>
      </c>
      <c r="J59" s="7" t="inlineStr">
        <is>
          <t>Fruit and vegetables</t>
        </is>
      </c>
      <c r="K59" s="7" t="inlineStr">
        <is>
          <t>B</t>
        </is>
      </c>
      <c r="L59" s="7" t="inlineStr">
        <is>
          <t>Follows the class</t>
        </is>
      </c>
      <c r="M59" s="51" t="n">
        <v>1.1</v>
      </c>
      <c r="N59" s="7" t="inlineStr">
        <is>
          <t>National food table (CIQUAL in France)</t>
        </is>
      </c>
      <c r="O59" s="54" t="n">
        <v>1.1</v>
      </c>
      <c r="P59" s="54" t="n">
        <v>0</v>
      </c>
      <c r="Q59" s="7" t="inlineStr">
        <is>
          <t>yes</t>
        </is>
      </c>
      <c r="R59" s="7" t="inlineStr">
        <is>
          <t>whole</t>
        </is>
      </c>
      <c r="S59" s="7" t="inlineStr">
        <is>
          <t>FG4</t>
        </is>
      </c>
      <c r="T59" s="7" t="n"/>
      <c r="U59" s="7" t="inlineStr">
        <is>
          <t>plant</t>
        </is>
      </c>
      <c r="V59" s="7" t="n"/>
      <c r="W59" s="7" t="n"/>
      <c r="X59" s="55" t="n">
        <v>1</v>
      </c>
      <c r="Y59" s="50" t="n">
        <v>1</v>
      </c>
      <c r="Z59" s="7" t="inlineStr">
        <is>
          <t>label</t>
        </is>
      </c>
      <c r="AA59" s="19">
        <f>IF(ISBLANK(Welcome!D85),"",Welcome!D85)</f>
        <v/>
      </c>
      <c r="AB59" s="29">
        <f>IF(ISBLANK(Welcome!E85),"",Welcome!E85)</f>
        <v/>
      </c>
      <c r="AC59" s="29">
        <f>IF(N(AB59)&gt;0,N(AB59),N(AA59)*Y59)</f>
        <v/>
      </c>
      <c r="AD59" s="29">
        <f>IF(H59="yes",AC59,0)</f>
        <v/>
      </c>
      <c r="AE59" s="29">
        <f>AD59*N(M59)/100</f>
        <v/>
      </c>
      <c r="AF59" s="29">
        <f>AD59*N(O59)/100</f>
        <v/>
      </c>
      <c r="AG59" s="29">
        <f>AD59*N(P59)/100</f>
        <v/>
      </c>
      <c r="AH59" s="50">
        <f>IF(Q59="yes",AD59/1000,0)</f>
        <v/>
      </c>
      <c r="AI59" s="50">
        <f>IF(S59="FG2",AH59*X59,AH59)</f>
        <v/>
      </c>
    </row>
    <row r="60">
      <c r="A60" s="7" t="inlineStr">
        <is>
          <t>HM00069</t>
        </is>
      </c>
      <c r="B60" s="16" t="inlineStr">
        <is>
          <t>5012345516813</t>
        </is>
      </c>
      <c r="C60" s="7" t="inlineStr">
        <is>
          <t>FJELDA SEMI SKMD MILK 4PT 2.27L</t>
        </is>
      </c>
      <c r="D60" s="7" t="inlineStr">
        <is>
          <t>Semi-skimmed milk, 4pt 2.27l</t>
        </is>
      </c>
      <c r="E60" s="7" t="inlineStr">
        <is>
          <t>Fjelda</t>
        </is>
      </c>
      <c r="F60" s="7" t="inlineStr">
        <is>
          <t>Dairy &amp; Eggs</t>
        </is>
      </c>
      <c r="G60" s="7" t="inlineStr">
        <is>
          <t>Milk</t>
        </is>
      </c>
      <c r="H60" s="7" t="inlineStr">
        <is>
          <t>yes</t>
        </is>
      </c>
      <c r="I60" s="7" t="inlineStr">
        <is>
          <t>Animal core</t>
        </is>
      </c>
      <c r="J60" s="7" t="inlineStr">
        <is>
          <t>Milk, yoghurt and cream</t>
        </is>
      </c>
      <c r="K60" s="7" t="inlineStr">
        <is>
          <t>A</t>
        </is>
      </c>
      <c r="L60" s="7" t="inlineStr">
        <is>
          <t>All ingredients on one side</t>
        </is>
      </c>
      <c r="M60" s="51" t="n">
        <v>3.4</v>
      </c>
      <c r="N60" s="7" t="inlineStr">
        <is>
          <t>National food table (CIQUAL in France)</t>
        </is>
      </c>
      <c r="O60" s="54" t="n">
        <v>0</v>
      </c>
      <c r="P60" s="54" t="n">
        <v>3.4</v>
      </c>
      <c r="Q60" s="7" t="inlineStr">
        <is>
          <t>yes</t>
        </is>
      </c>
      <c r="R60" s="7" t="inlineStr">
        <is>
          <t>whole</t>
        </is>
      </c>
      <c r="S60" s="7" t="inlineStr">
        <is>
          <t>FG2</t>
        </is>
      </c>
      <c r="T60" s="7" t="inlineStr">
        <is>
          <t>Dairy</t>
        </is>
      </c>
      <c r="U60" s="7" t="inlineStr">
        <is>
          <t>animal</t>
        </is>
      </c>
      <c r="V60" s="7" t="n"/>
      <c r="W60" s="7" t="n"/>
      <c r="X60" s="55" t="n">
        <v>1</v>
      </c>
      <c r="Y60" s="50" t="n">
        <v>2.34</v>
      </c>
      <c r="Z60" s="7" t="inlineStr">
        <is>
          <t>declared</t>
        </is>
      </c>
      <c r="AA60" s="19">
        <f>IF(ISBLANK(Welcome!D86),"",Welcome!D86)</f>
        <v/>
      </c>
      <c r="AB60" s="29">
        <f>IF(ISBLANK(Welcome!E86),"",Welcome!E86)</f>
        <v/>
      </c>
      <c r="AC60" s="29">
        <f>IF(N(AB60)&gt;0,N(AB60),N(AA60)*Y60)</f>
        <v/>
      </c>
      <c r="AD60" s="29">
        <f>IF(H60="yes",AC60,0)</f>
        <v/>
      </c>
      <c r="AE60" s="29">
        <f>AD60*N(M60)/100</f>
        <v/>
      </c>
      <c r="AF60" s="29">
        <f>AD60*N(O60)/100</f>
        <v/>
      </c>
      <c r="AG60" s="29">
        <f>AD60*N(P60)/100</f>
        <v/>
      </c>
      <c r="AH60" s="50">
        <f>IF(Q60="yes",AD60/1000,0)</f>
        <v/>
      </c>
      <c r="AI60" s="50">
        <f>IF(S60="FG2",AH60*X60,AH60)</f>
        <v/>
      </c>
    </row>
    <row r="61">
      <c r="A61" s="7" t="inlineStr">
        <is>
          <t>HM00643</t>
        </is>
      </c>
      <c r="B61" s="16" t="inlineStr">
        <is>
          <t>2253080743130</t>
        </is>
      </c>
      <c r="C61" s="7" t="inlineStr">
        <is>
          <t>HM ORANGES LOOSE</t>
        </is>
      </c>
      <c r="D61" s="7" t="inlineStr">
        <is>
          <t>Oranges</t>
        </is>
      </c>
      <c r="E61" s="7" t="inlineStr">
        <is>
          <t>Harbour Market</t>
        </is>
      </c>
      <c r="F61" s="7" t="inlineStr">
        <is>
          <t>Fruit &amp; Vegetables</t>
        </is>
      </c>
      <c r="G61" s="7" t="inlineStr">
        <is>
          <t>Fruit</t>
        </is>
      </c>
      <c r="H61" s="7" t="inlineStr">
        <is>
          <t>yes</t>
        </is>
      </c>
      <c r="I61" s="7" t="inlineStr">
        <is>
          <t>Plant-based non-core</t>
        </is>
      </c>
      <c r="J61" s="7" t="inlineStr">
        <is>
          <t>Fruit and vegetables</t>
        </is>
      </c>
      <c r="K61" s="7" t="inlineStr">
        <is>
          <t>B</t>
        </is>
      </c>
      <c r="L61" s="7" t="inlineStr">
        <is>
          <t>Follows the class</t>
        </is>
      </c>
      <c r="M61" s="51" t="n">
        <v>0.88</v>
      </c>
      <c r="N61" s="7" t="inlineStr">
        <is>
          <t>Declared by the retailer</t>
        </is>
      </c>
      <c r="O61" s="54" t="n">
        <v>0.88</v>
      </c>
      <c r="P61" s="54" t="n">
        <v>0</v>
      </c>
      <c r="Q61" s="7" t="inlineStr">
        <is>
          <t>yes</t>
        </is>
      </c>
      <c r="R61" s="7" t="inlineStr">
        <is>
          <t>whole</t>
        </is>
      </c>
      <c r="S61" s="7" t="inlineStr">
        <is>
          <t>FG4</t>
        </is>
      </c>
      <c r="T61" s="7" t="n"/>
      <c r="U61" s="7" t="inlineStr">
        <is>
          <t>plant</t>
        </is>
      </c>
      <c r="V61" s="7" t="n"/>
      <c r="W61" s="7" t="n"/>
      <c r="X61" s="55" t="n">
        <v>1</v>
      </c>
      <c r="Y61" s="50" t="n">
        <v>1</v>
      </c>
      <c r="Z61" s="7" t="inlineStr">
        <is>
          <t>variable</t>
        </is>
      </c>
      <c r="AA61" s="19">
        <f>IF(ISBLANK(Welcome!D87),"",Welcome!D87)</f>
        <v/>
      </c>
      <c r="AB61" s="29">
        <f>IF(ISBLANK(Welcome!E87),"",Welcome!E87)</f>
        <v/>
      </c>
      <c r="AC61" s="29">
        <f>IF(N(AB61)&gt;0,N(AB61),N(AA61)*Y61)</f>
        <v/>
      </c>
      <c r="AD61" s="29">
        <f>IF(H61="yes",AC61,0)</f>
        <v/>
      </c>
      <c r="AE61" s="29">
        <f>AD61*N(M61)/100</f>
        <v/>
      </c>
      <c r="AF61" s="29">
        <f>AD61*N(O61)/100</f>
        <v/>
      </c>
      <c r="AG61" s="29">
        <f>AD61*N(P61)/100</f>
        <v/>
      </c>
      <c r="AH61" s="50">
        <f>IF(Q61="yes",AD61/1000,0)</f>
        <v/>
      </c>
      <c r="AI61" s="50">
        <f>IF(S61="FG2",AH61*X61,AH61)</f>
        <v/>
      </c>
    </row>
    <row r="62">
      <c r="A62" s="7" t="inlineStr">
        <is>
          <t>HM00730</t>
        </is>
      </c>
      <c r="B62" s="16" t="inlineStr">
        <is>
          <t>5012345403236</t>
        </is>
      </c>
      <c r="C62" s="7" t="inlineStr">
        <is>
          <t>FREE RANGE EGGS 15PK TARROW</t>
        </is>
      </c>
      <c r="D62" s="7" t="inlineStr">
        <is>
          <t>Free-range eggs, 15pk</t>
        </is>
      </c>
      <c r="E62" s="7" t="inlineStr">
        <is>
          <t>Tarrow Farm</t>
        </is>
      </c>
      <c r="F62" s="7" t="inlineStr">
        <is>
          <t>Dairy &amp; Eggs</t>
        </is>
      </c>
      <c r="G62" s="7" t="inlineStr">
        <is>
          <t>Eggs</t>
        </is>
      </c>
      <c r="H62" s="7" t="inlineStr">
        <is>
          <t>yes</t>
        </is>
      </c>
      <c r="I62" s="7" t="inlineStr">
        <is>
          <t>Animal core</t>
        </is>
      </c>
      <c r="J62" s="7" t="inlineStr">
        <is>
          <t>Eggs</t>
        </is>
      </c>
      <c r="K62" s="7" t="inlineStr">
        <is>
          <t>B</t>
        </is>
      </c>
      <c r="L62" s="7" t="inlineStr">
        <is>
          <t>Follows the class</t>
        </is>
      </c>
      <c r="M62" s="51" t="n">
        <v>13.2</v>
      </c>
      <c r="N62" s="7" t="inlineStr">
        <is>
          <t>Declared by the retailer</t>
        </is>
      </c>
      <c r="O62" s="54" t="n">
        <v>0</v>
      </c>
      <c r="P62" s="54" t="n">
        <v>13.2</v>
      </c>
      <c r="Q62" s="7" t="inlineStr">
        <is>
          <t>yes</t>
        </is>
      </c>
      <c r="R62" s="7" t="inlineStr">
        <is>
          <t>whole</t>
        </is>
      </c>
      <c r="S62" s="7" t="inlineStr">
        <is>
          <t>FG1</t>
        </is>
      </c>
      <c r="T62" s="7" t="inlineStr">
        <is>
          <t>Eggs</t>
        </is>
      </c>
      <c r="U62" s="7" t="inlineStr">
        <is>
          <t>animal</t>
        </is>
      </c>
      <c r="V62" s="7" t="n"/>
      <c r="W62" s="7" t="n"/>
      <c r="X62" s="55" t="n">
        <v>1</v>
      </c>
      <c r="Y62" s="50" t="n">
        <v>0.9</v>
      </c>
      <c r="Z62" s="7" t="inlineStr">
        <is>
          <t>declared</t>
        </is>
      </c>
      <c r="AA62" s="19">
        <f>IF(ISBLANK(Welcome!D88),"",Welcome!D88)</f>
        <v/>
      </c>
      <c r="AB62" s="29">
        <f>IF(ISBLANK(Welcome!E88),"",Welcome!E88)</f>
        <v/>
      </c>
      <c r="AC62" s="29">
        <f>IF(N(AB62)&gt;0,N(AB62),N(AA62)*Y62)</f>
        <v/>
      </c>
      <c r="AD62" s="29">
        <f>IF(H62="yes",AC62,0)</f>
        <v/>
      </c>
      <c r="AE62" s="29">
        <f>AD62*N(M62)/100</f>
        <v/>
      </c>
      <c r="AF62" s="29">
        <f>AD62*N(O62)/100</f>
        <v/>
      </c>
      <c r="AG62" s="29">
        <f>AD62*N(P62)/100</f>
        <v/>
      </c>
      <c r="AH62" s="50">
        <f>IF(Q62="yes",AD62/1000,0)</f>
        <v/>
      </c>
      <c r="AI62" s="50">
        <f>IF(S62="FG2",AH62*X62,AH62)</f>
        <v/>
      </c>
    </row>
    <row r="63">
      <c r="A63" s="7" t="inlineStr">
        <is>
          <t>HM00267</t>
        </is>
      </c>
      <c r="B63" s="16" t="inlineStr">
        <is>
          <t>2820503816140</t>
        </is>
      </c>
      <c r="C63" s="7" t="inlineStr">
        <is>
          <t>HM CLEMENTINES KG</t>
        </is>
      </c>
      <c r="D63" s="7" t="inlineStr">
        <is>
          <t>Clementines</t>
        </is>
      </c>
      <c r="E63" s="7" t="inlineStr">
        <is>
          <t>Harbour Market</t>
        </is>
      </c>
      <c r="F63" s="7" t="inlineStr">
        <is>
          <t>Fruit &amp; Vegetables</t>
        </is>
      </c>
      <c r="G63" s="7" t="inlineStr">
        <is>
          <t>Fruit</t>
        </is>
      </c>
      <c r="H63" s="7" t="inlineStr">
        <is>
          <t>yes</t>
        </is>
      </c>
      <c r="I63" s="7" t="inlineStr">
        <is>
          <t>Plant-based non-core</t>
        </is>
      </c>
      <c r="J63" s="7" t="inlineStr">
        <is>
          <t>Fruit and vegetables</t>
        </is>
      </c>
      <c r="K63" s="7" t="inlineStr">
        <is>
          <t>B</t>
        </is>
      </c>
      <c r="L63" s="7" t="inlineStr">
        <is>
          <t>Follows the class</t>
        </is>
      </c>
      <c r="M63" s="51" t="n">
        <v>0.83</v>
      </c>
      <c r="N63" s="7" t="inlineStr">
        <is>
          <t>Declared by the retailer</t>
        </is>
      </c>
      <c r="O63" s="54" t="n">
        <v>0.83</v>
      </c>
      <c r="P63" s="54" t="n">
        <v>0</v>
      </c>
      <c r="Q63" s="7" t="inlineStr">
        <is>
          <t>yes</t>
        </is>
      </c>
      <c r="R63" s="7" t="inlineStr">
        <is>
          <t>whole</t>
        </is>
      </c>
      <c r="S63" s="7" t="inlineStr">
        <is>
          <t>FG4</t>
        </is>
      </c>
      <c r="T63" s="7" t="n"/>
      <c r="U63" s="7" t="inlineStr">
        <is>
          <t>plant</t>
        </is>
      </c>
      <c r="V63" s="7" t="n"/>
      <c r="W63" s="7" t="n"/>
      <c r="X63" s="55" t="n">
        <v>1</v>
      </c>
      <c r="Y63" s="50" t="n">
        <v>1</v>
      </c>
      <c r="Z63" s="7" t="inlineStr">
        <is>
          <t>variable</t>
        </is>
      </c>
      <c r="AA63" s="19">
        <f>IF(ISBLANK(Welcome!D89),"",Welcome!D89)</f>
        <v/>
      </c>
      <c r="AB63" s="29">
        <f>IF(ISBLANK(Welcome!E89),"",Welcome!E89)</f>
        <v/>
      </c>
      <c r="AC63" s="29">
        <f>IF(N(AB63)&gt;0,N(AB63),N(AA63)*Y63)</f>
        <v/>
      </c>
      <c r="AD63" s="29">
        <f>IF(H63="yes",AC63,0)</f>
        <v/>
      </c>
      <c r="AE63" s="29">
        <f>AD63*N(M63)/100</f>
        <v/>
      </c>
      <c r="AF63" s="29">
        <f>AD63*N(O63)/100</f>
        <v/>
      </c>
      <c r="AG63" s="29">
        <f>AD63*N(P63)/100</f>
        <v/>
      </c>
      <c r="AH63" s="50">
        <f>IF(Q63="yes",AD63/1000,0)</f>
        <v/>
      </c>
      <c r="AI63" s="50">
        <f>IF(S63="FG2",AH63*X63,AH63)</f>
        <v/>
      </c>
    </row>
    <row r="64">
      <c r="A64" s="7" t="inlineStr">
        <is>
          <t>HM00685</t>
        </is>
      </c>
      <c r="B64" s="16" t="inlineStr">
        <is>
          <t>8712345128807</t>
        </is>
      </c>
      <c r="C64" s="7" t="inlineStr">
        <is>
          <t>HM PASSATA 500G</t>
        </is>
      </c>
      <c r="D64" s="7" t="inlineStr">
        <is>
          <t>Sieved tomatoes (passata), 500g</t>
        </is>
      </c>
      <c r="E64" s="7" t="inlineStr">
        <is>
          <t>Harbour Market</t>
        </is>
      </c>
      <c r="F64" s="7" t="inlineStr">
        <is>
          <t>Grocery</t>
        </is>
      </c>
      <c r="G64" s="7" t="inlineStr">
        <is>
          <t>Canned Vegetables</t>
        </is>
      </c>
      <c r="H64" s="7" t="inlineStr">
        <is>
          <t>yes</t>
        </is>
      </c>
      <c r="I64" s="7" t="inlineStr">
        <is>
          <t>Plant-based non-core</t>
        </is>
      </c>
      <c r="J64" s="7" t="inlineStr">
        <is>
          <t>Fruit and vegetables</t>
        </is>
      </c>
      <c r="K64" s="7" t="inlineStr">
        <is>
          <t>A</t>
        </is>
      </c>
      <c r="L64" s="7" t="inlineStr">
        <is>
          <t>All ingredients on one side</t>
        </is>
      </c>
      <c r="M64" s="51" t="n">
        <v>1</v>
      </c>
      <c r="N64" s="7" t="inlineStr">
        <is>
          <t>Declared by the retailer</t>
        </is>
      </c>
      <c r="O64" s="54" t="n">
        <v>1</v>
      </c>
      <c r="P64" s="54" t="n">
        <v>0</v>
      </c>
      <c r="Q64" s="7" t="inlineStr">
        <is>
          <t>yes</t>
        </is>
      </c>
      <c r="R64" s="7" t="inlineStr">
        <is>
          <t>whole</t>
        </is>
      </c>
      <c r="S64" s="7" t="inlineStr">
        <is>
          <t>FG4</t>
        </is>
      </c>
      <c r="T64" s="7" t="n"/>
      <c r="U64" s="7" t="inlineStr">
        <is>
          <t>plant</t>
        </is>
      </c>
      <c r="V64" s="7" t="n"/>
      <c r="W64" s="7" t="n"/>
      <c r="X64" s="55" t="n">
        <v>1</v>
      </c>
      <c r="Y64" s="50" t="n">
        <v>0.5</v>
      </c>
      <c r="Z64" s="7" t="inlineStr">
        <is>
          <t>declared</t>
        </is>
      </c>
      <c r="AA64" s="19">
        <f>IF(ISBLANK(Welcome!D90),"",Welcome!D90)</f>
        <v/>
      </c>
      <c r="AB64" s="29">
        <f>IF(ISBLANK(Welcome!E90),"",Welcome!E90)</f>
        <v/>
      </c>
      <c r="AC64" s="29">
        <f>IF(N(AB64)&gt;0,N(AB64),N(AA64)*Y64)</f>
        <v/>
      </c>
      <c r="AD64" s="29">
        <f>IF(H64="yes",AC64,0)</f>
        <v/>
      </c>
      <c r="AE64" s="29">
        <f>AD64*N(M64)/100</f>
        <v/>
      </c>
      <c r="AF64" s="29">
        <f>AD64*N(O64)/100</f>
        <v/>
      </c>
      <c r="AG64" s="29">
        <f>AD64*N(P64)/100</f>
        <v/>
      </c>
      <c r="AH64" s="50">
        <f>IF(Q64="yes",AD64/1000,0)</f>
        <v/>
      </c>
      <c r="AI64" s="50">
        <f>IF(S64="FG2",AH64*X64,AH64)</f>
        <v/>
      </c>
    </row>
    <row r="65">
      <c r="A65" s="7" t="inlineStr">
        <is>
          <t>HM00513</t>
        </is>
      </c>
      <c r="B65" s="16" t="inlineStr">
        <is>
          <t>5012345947273</t>
        </is>
      </c>
      <c r="C65" s="7" t="inlineStr">
        <is>
          <t>BRAMBLECOTE RYE BREAD 800G</t>
        </is>
      </c>
      <c r="D65" s="7" t="inlineStr">
        <is>
          <t>Rye bread, 800g</t>
        </is>
      </c>
      <c r="E65" s="7" t="inlineStr">
        <is>
          <t>Bramblecote</t>
        </is>
      </c>
      <c r="F65" s="7" t="inlineStr">
        <is>
          <t>Bakery</t>
        </is>
      </c>
      <c r="G65" s="7" t="inlineStr">
        <is>
          <t>Bread</t>
        </is>
      </c>
      <c r="H65" s="7" t="inlineStr">
        <is>
          <t>yes</t>
        </is>
      </c>
      <c r="I65" s="7" t="inlineStr">
        <is>
          <t>Plant-based non-core</t>
        </is>
      </c>
      <c r="J65" s="7" t="inlineStr">
        <is>
          <t>Refined grains</t>
        </is>
      </c>
      <c r="K65" s="7" t="inlineStr">
        <is>
          <t>A</t>
        </is>
      </c>
      <c r="L65" s="7" t="inlineStr">
        <is>
          <t>All ingredients on one side</t>
        </is>
      </c>
      <c r="M65" s="51" t="n">
        <v>9.5</v>
      </c>
      <c r="N65" s="7" t="inlineStr">
        <is>
          <t>Declared by the retailer</t>
        </is>
      </c>
      <c r="O65" s="54" t="n">
        <v>9.5</v>
      </c>
      <c r="P65" s="54" t="n">
        <v>0</v>
      </c>
      <c r="Q65" s="7" t="inlineStr">
        <is>
          <t>yes</t>
        </is>
      </c>
      <c r="R65" s="7" t="inlineStr">
        <is>
          <t>whole</t>
        </is>
      </c>
      <c r="S65" s="7" t="inlineStr">
        <is>
          <t>FG5</t>
        </is>
      </c>
      <c r="T65" s="7" t="inlineStr">
        <is>
          <t>Refined grain</t>
        </is>
      </c>
      <c r="U65" s="7" t="inlineStr">
        <is>
          <t>plant</t>
        </is>
      </c>
      <c r="V65" s="7" t="n"/>
      <c r="W65" s="7" t="n"/>
      <c r="X65" s="55" t="n">
        <v>1</v>
      </c>
      <c r="Y65" s="50" t="n">
        <v>0.8</v>
      </c>
      <c r="Z65" s="7" t="inlineStr">
        <is>
          <t>declared</t>
        </is>
      </c>
      <c r="AA65" s="19">
        <f>IF(ISBLANK(Welcome!D91),"",Welcome!D91)</f>
        <v/>
      </c>
      <c r="AB65" s="29">
        <f>IF(ISBLANK(Welcome!E91),"",Welcome!E91)</f>
        <v/>
      </c>
      <c r="AC65" s="29">
        <f>IF(N(AB65)&gt;0,N(AB65),N(AA65)*Y65)</f>
        <v/>
      </c>
      <c r="AD65" s="29">
        <f>IF(H65="yes",AC65,0)</f>
        <v/>
      </c>
      <c r="AE65" s="29">
        <f>AD65*N(M65)/100</f>
        <v/>
      </c>
      <c r="AF65" s="29">
        <f>AD65*N(O65)/100</f>
        <v/>
      </c>
      <c r="AG65" s="29">
        <f>AD65*N(P65)/100</f>
        <v/>
      </c>
      <c r="AH65" s="50">
        <f>IF(Q65="yes",AD65/1000,0)</f>
        <v/>
      </c>
      <c r="AI65" s="50">
        <f>IF(S65="FG2",AH65*X65,AH65)</f>
        <v/>
      </c>
    </row>
    <row r="66">
      <c r="A66" s="7" t="inlineStr">
        <is>
          <t>HM00341</t>
        </is>
      </c>
      <c r="B66" s="16" t="inlineStr">
        <is>
          <t>3012345110730</t>
        </is>
      </c>
      <c r="C66" s="7" t="inlineStr">
        <is>
          <t>HM CHKN WINGS 1KG</t>
        </is>
      </c>
      <c r="D66" s="7" t="inlineStr">
        <is>
          <t>Chicken wings, 1kg</t>
        </is>
      </c>
      <c r="E66" s="7" t="inlineStr">
        <is>
          <t>Harbour Market</t>
        </is>
      </c>
      <c r="F66" s="7" t="inlineStr">
        <is>
          <t>Fresh Meat &amp; Poultry</t>
        </is>
      </c>
      <c r="G66" s="7" t="inlineStr">
        <is>
          <t>Poultry</t>
        </is>
      </c>
      <c r="H66" s="7" t="inlineStr">
        <is>
          <t>yes</t>
        </is>
      </c>
      <c r="I66" s="7" t="inlineStr">
        <is>
          <t>Animal core</t>
        </is>
      </c>
      <c r="J66" s="7" t="inlineStr">
        <is>
          <t>Poultry</t>
        </is>
      </c>
      <c r="K66" s="7" t="inlineStr">
        <is>
          <t>A</t>
        </is>
      </c>
      <c r="L66" s="7" t="inlineStr">
        <is>
          <t>All ingredients on one side</t>
        </is>
      </c>
      <c r="M66" s="51" t="n">
        <v>17.4</v>
      </c>
      <c r="N66" s="7" t="inlineStr">
        <is>
          <t>Median of the family</t>
        </is>
      </c>
      <c r="O66" s="54" t="n">
        <v>0</v>
      </c>
      <c r="P66" s="54" t="n">
        <v>17.4</v>
      </c>
      <c r="Q66" s="7" t="inlineStr">
        <is>
          <t>yes</t>
        </is>
      </c>
      <c r="R66" s="7" t="inlineStr">
        <is>
          <t>whole</t>
        </is>
      </c>
      <c r="S66" s="7" t="inlineStr">
        <is>
          <t>FG1</t>
        </is>
      </c>
      <c r="T66" s="7" t="inlineStr">
        <is>
          <t>Poultry</t>
        </is>
      </c>
      <c r="U66" s="7" t="inlineStr">
        <is>
          <t>animal</t>
        </is>
      </c>
      <c r="V66" s="7" t="n"/>
      <c r="W66" s="7" t="n"/>
      <c r="X66" s="55" t="n">
        <v>1</v>
      </c>
      <c r="Y66" s="50" t="n">
        <v>1</v>
      </c>
      <c r="Z66" s="7" t="inlineStr">
        <is>
          <t>label</t>
        </is>
      </c>
      <c r="AA66" s="19">
        <f>IF(ISBLANK(Welcome!D92),"",Welcome!D92)</f>
        <v/>
      </c>
      <c r="AB66" s="29">
        <f>IF(ISBLANK(Welcome!E92),"",Welcome!E92)</f>
        <v/>
      </c>
      <c r="AC66" s="29">
        <f>IF(N(AB66)&gt;0,N(AB66),N(AA66)*Y66)</f>
        <v/>
      </c>
      <c r="AD66" s="29">
        <f>IF(H66="yes",AC66,0)</f>
        <v/>
      </c>
      <c r="AE66" s="29">
        <f>AD66*N(M66)/100</f>
        <v/>
      </c>
      <c r="AF66" s="29">
        <f>AD66*N(O66)/100</f>
        <v/>
      </c>
      <c r="AG66" s="29">
        <f>AD66*N(P66)/100</f>
        <v/>
      </c>
      <c r="AH66" s="50">
        <f>IF(Q66="yes",AD66/1000,0)</f>
        <v/>
      </c>
      <c r="AI66" s="50">
        <f>IF(S66="FG2",AH66*X66,AH66)</f>
        <v/>
      </c>
    </row>
    <row r="67">
      <c r="A67" s="7" t="inlineStr">
        <is>
          <t>HM00336</t>
        </is>
      </c>
      <c r="B67" s="16" t="inlineStr">
        <is>
          <t>8712345766924</t>
        </is>
      </c>
      <c r="C67" s="7" t="inlineStr">
        <is>
          <t>HM RED GRAPES SEEDLESS 1KG</t>
        </is>
      </c>
      <c r="D67" s="7" t="inlineStr">
        <is>
          <t>Seedless red grapes, 1kg</t>
        </is>
      </c>
      <c r="E67" s="7" t="inlineStr">
        <is>
          <t>Harbour Market</t>
        </is>
      </c>
      <c r="F67" s="7" t="inlineStr">
        <is>
          <t>Fruit &amp; Vegetables</t>
        </is>
      </c>
      <c r="G67" s="7" t="inlineStr">
        <is>
          <t>Fruit</t>
        </is>
      </c>
      <c r="H67" s="7" t="inlineStr">
        <is>
          <t>yes</t>
        </is>
      </c>
      <c r="I67" s="7" t="inlineStr">
        <is>
          <t>Plant-based non-core</t>
        </is>
      </c>
      <c r="J67" s="7" t="inlineStr">
        <is>
          <t>Fruit and vegetables</t>
        </is>
      </c>
      <c r="K67" s="7" t="inlineStr">
        <is>
          <t>B</t>
        </is>
      </c>
      <c r="L67" s="7" t="inlineStr">
        <is>
          <t>Follows the class</t>
        </is>
      </c>
      <c r="M67" s="51" t="n">
        <v>0.64</v>
      </c>
      <c r="N67" s="7" t="inlineStr">
        <is>
          <t>Altera reference base</t>
        </is>
      </c>
      <c r="O67" s="54" t="n">
        <v>0.64</v>
      </c>
      <c r="P67" s="54" t="n">
        <v>0</v>
      </c>
      <c r="Q67" s="7" t="inlineStr">
        <is>
          <t>yes</t>
        </is>
      </c>
      <c r="R67" s="7" t="inlineStr">
        <is>
          <t>whole</t>
        </is>
      </c>
      <c r="S67" s="7" t="inlineStr">
        <is>
          <t>FG4</t>
        </is>
      </c>
      <c r="T67" s="7" t="n"/>
      <c r="U67" s="7" t="inlineStr">
        <is>
          <t>plant</t>
        </is>
      </c>
      <c r="V67" s="7" t="n"/>
      <c r="W67" s="7" t="n"/>
      <c r="X67" s="55" t="n">
        <v>1</v>
      </c>
      <c r="Y67" s="50" t="n">
        <v>1</v>
      </c>
      <c r="Z67" s="7" t="inlineStr">
        <is>
          <t>declared</t>
        </is>
      </c>
      <c r="AA67" s="19">
        <f>IF(ISBLANK(Welcome!D93),"",Welcome!D93)</f>
        <v/>
      </c>
      <c r="AB67" s="29">
        <f>IF(ISBLANK(Welcome!E93),"",Welcome!E93)</f>
        <v/>
      </c>
      <c r="AC67" s="29">
        <f>IF(N(AB67)&gt;0,N(AB67),N(AA67)*Y67)</f>
        <v/>
      </c>
      <c r="AD67" s="29">
        <f>IF(H67="yes",AC67,0)</f>
        <v/>
      </c>
      <c r="AE67" s="29">
        <f>AD67*N(M67)/100</f>
        <v/>
      </c>
      <c r="AF67" s="29">
        <f>AD67*N(O67)/100</f>
        <v/>
      </c>
      <c r="AG67" s="29">
        <f>AD67*N(P67)/100</f>
        <v/>
      </c>
      <c r="AH67" s="50">
        <f>IF(Q67="yes",AD67/1000,0)</f>
        <v/>
      </c>
      <c r="AI67" s="50">
        <f>IF(S67="FG2",AH67*X67,AH67)</f>
        <v/>
      </c>
    </row>
    <row r="68">
      <c r="A68" s="7" t="inlineStr">
        <is>
          <t>HM00017</t>
        </is>
      </c>
      <c r="B68" s="16" t="inlineStr">
        <is>
          <t>4012345124340</t>
        </is>
      </c>
      <c r="C68" s="7" t="inlineStr">
        <is>
          <t>HM APPLES PINK LADY 6PK</t>
        </is>
      </c>
      <c r="D68" s="7" t="inlineStr">
        <is>
          <t>Pink Lady apples, 6pk</t>
        </is>
      </c>
      <c r="E68" s="7" t="inlineStr">
        <is>
          <t>Harbour Market</t>
        </is>
      </c>
      <c r="F68" s="7" t="inlineStr">
        <is>
          <t>Fruit &amp; Vegetables</t>
        </is>
      </c>
      <c r="G68" s="7" t="inlineStr">
        <is>
          <t>Fruit</t>
        </is>
      </c>
      <c r="H68" s="7" t="inlineStr">
        <is>
          <t>yes</t>
        </is>
      </c>
      <c r="I68" s="7" t="inlineStr">
        <is>
          <t>Plant-based non-core</t>
        </is>
      </c>
      <c r="J68" s="7" t="inlineStr">
        <is>
          <t>Fruit and vegetables</t>
        </is>
      </c>
      <c r="K68" s="7" t="inlineStr">
        <is>
          <t>B</t>
        </is>
      </c>
      <c r="L68" s="7" t="inlineStr">
        <is>
          <t>Follows the class</t>
        </is>
      </c>
      <c r="M68" s="51" t="n">
        <v>0.3</v>
      </c>
      <c r="N68" s="7" t="inlineStr">
        <is>
          <t>Declared by the retailer</t>
        </is>
      </c>
      <c r="O68" s="54" t="n">
        <v>0.3</v>
      </c>
      <c r="P68" s="54" t="n">
        <v>0</v>
      </c>
      <c r="Q68" s="7" t="inlineStr">
        <is>
          <t>yes</t>
        </is>
      </c>
      <c r="R68" s="7" t="inlineStr">
        <is>
          <t>whole</t>
        </is>
      </c>
      <c r="S68" s="7" t="inlineStr">
        <is>
          <t>FG4</t>
        </is>
      </c>
      <c r="T68" s="7" t="n"/>
      <c r="U68" s="7" t="inlineStr">
        <is>
          <t>plant</t>
        </is>
      </c>
      <c r="V68" s="7" t="n"/>
      <c r="W68" s="7" t="n"/>
      <c r="X68" s="55" t="n">
        <v>1</v>
      </c>
      <c r="Y68" s="50" t="n">
        <v>0.9</v>
      </c>
      <c r="Z68" s="7" t="inlineStr">
        <is>
          <t>declared</t>
        </is>
      </c>
      <c r="AA68" s="19">
        <f>IF(ISBLANK(Welcome!D94),"",Welcome!D94)</f>
        <v/>
      </c>
      <c r="AB68" s="29">
        <f>IF(ISBLANK(Welcome!E94),"",Welcome!E94)</f>
        <v/>
      </c>
      <c r="AC68" s="29">
        <f>IF(N(AB68)&gt;0,N(AB68),N(AA68)*Y68)</f>
        <v/>
      </c>
      <c r="AD68" s="29">
        <f>IF(H68="yes",AC68,0)</f>
        <v/>
      </c>
      <c r="AE68" s="29">
        <f>AD68*N(M68)/100</f>
        <v/>
      </c>
      <c r="AF68" s="29">
        <f>AD68*N(O68)/100</f>
        <v/>
      </c>
      <c r="AG68" s="29">
        <f>AD68*N(P68)/100</f>
        <v/>
      </c>
      <c r="AH68" s="50">
        <f>IF(Q68="yes",AD68/1000,0)</f>
        <v/>
      </c>
      <c r="AI68" s="50">
        <f>IF(S68="FG2",AH68*X68,AH68)</f>
        <v/>
      </c>
    </row>
    <row r="69">
      <c r="A69" s="7" t="inlineStr">
        <is>
          <t>HM00450</t>
        </is>
      </c>
      <c r="B69" s="16" t="inlineStr">
        <is>
          <t>4012345709186</t>
        </is>
      </c>
      <c r="C69" s="7" t="inlineStr">
        <is>
          <t>HM GREEN TEA 1KG</t>
        </is>
      </c>
      <c r="D69" s="7" t="inlineStr">
        <is>
          <t>Green tea bags, 1kg</t>
        </is>
      </c>
      <c r="E69" s="7" t="inlineStr">
        <is>
          <t>Harbour Market</t>
        </is>
      </c>
      <c r="F69" s="7" t="inlineStr">
        <is>
          <t>Grocery</t>
        </is>
      </c>
      <c r="G69" s="7" t="inlineStr">
        <is>
          <t>Tea &amp; Coffee</t>
        </is>
      </c>
      <c r="H69" s="7" t="inlineStr">
        <is>
          <t>yes</t>
        </is>
      </c>
      <c r="I69" s="7" t="inlineStr">
        <is>
          <t>Plant-based non-core</t>
        </is>
      </c>
      <c r="J69" s="7" t="inlineStr">
        <is>
          <t>Outside the WWF scope</t>
        </is>
      </c>
      <c r="K69" s="7" t="inlineStr">
        <is>
          <t>A</t>
        </is>
      </c>
      <c r="L69" s="7" t="inlineStr">
        <is>
          <t>All ingredients on one side</t>
        </is>
      </c>
      <c r="M69" s="51" t="n">
        <v>0</v>
      </c>
      <c r="N69" s="7" t="inlineStr">
        <is>
          <t>National food table (CIQUAL in France)</t>
        </is>
      </c>
      <c r="O69" s="54" t="n">
        <v>0</v>
      </c>
      <c r="P69" s="54" t="n">
        <v>0</v>
      </c>
      <c r="Q69" s="7" t="inlineStr">
        <is>
          <t>no</t>
        </is>
      </c>
      <c r="R69" s="7" t="n"/>
      <c r="S69" s="7" t="n"/>
      <c r="T69" s="7" t="n"/>
      <c r="U69" s="7" t="n"/>
      <c r="V69" s="7" t="n"/>
      <c r="W69" s="7" t="inlineStr">
        <is>
          <t>coffee tea</t>
        </is>
      </c>
      <c r="X69" s="55" t="n">
        <v>1</v>
      </c>
      <c r="Y69" s="50" t="n">
        <v>1</v>
      </c>
      <c r="Z69" s="7" t="inlineStr">
        <is>
          <t>declared</t>
        </is>
      </c>
      <c r="AA69" s="19">
        <f>IF(ISBLANK(Welcome!D95),"",Welcome!D95)</f>
        <v/>
      </c>
      <c r="AB69" s="29">
        <f>IF(ISBLANK(Welcome!E95),"",Welcome!E95)</f>
        <v/>
      </c>
      <c r="AC69" s="29">
        <f>IF(N(AB69)&gt;0,N(AB69),N(AA69)*Y69)</f>
        <v/>
      </c>
      <c r="AD69" s="29">
        <f>IF(H69="yes",AC69,0)</f>
        <v/>
      </c>
      <c r="AE69" s="29">
        <f>AD69*N(M69)/100</f>
        <v/>
      </c>
      <c r="AF69" s="29">
        <f>AD69*N(O69)/100</f>
        <v/>
      </c>
      <c r="AG69" s="29">
        <f>AD69*N(P69)/100</f>
        <v/>
      </c>
      <c r="AH69" s="50">
        <f>IF(Q69="yes",AD69/1000,0)</f>
        <v/>
      </c>
      <c r="AI69" s="50">
        <f>IF(S69="FG2",AH69*X69,AH69)</f>
        <v/>
      </c>
    </row>
    <row r="70">
      <c r="A70" s="7" t="inlineStr">
        <is>
          <t>HM00071</t>
        </is>
      </c>
      <c r="B70" s="16" t="inlineStr">
        <is>
          <t>4012345085433</t>
        </is>
      </c>
      <c r="C70" s="7" t="inlineStr">
        <is>
          <t>HM CHOPPED TOMATOES 690G</t>
        </is>
      </c>
      <c r="D70" s="7" t="inlineStr">
        <is>
          <t>Chopped tomatoes, 690g</t>
        </is>
      </c>
      <c r="E70" s="7" t="inlineStr">
        <is>
          <t>Harbour Market</t>
        </is>
      </c>
      <c r="F70" s="7" t="inlineStr">
        <is>
          <t>Grocery</t>
        </is>
      </c>
      <c r="G70" s="7" t="inlineStr">
        <is>
          <t>Canned Vegetables</t>
        </is>
      </c>
      <c r="H70" s="7" t="inlineStr">
        <is>
          <t>yes</t>
        </is>
      </c>
      <c r="I70" s="7" t="inlineStr">
        <is>
          <t>Plant-based non-core</t>
        </is>
      </c>
      <c r="J70" s="7" t="inlineStr">
        <is>
          <t>Fruit and vegetables</t>
        </is>
      </c>
      <c r="K70" s="7" t="inlineStr">
        <is>
          <t>A</t>
        </is>
      </c>
      <c r="L70" s="7" t="inlineStr">
        <is>
          <t>All ingredients on one side</t>
        </is>
      </c>
      <c r="M70" s="51" t="n">
        <v>1.1</v>
      </c>
      <c r="N70" s="7" t="inlineStr">
        <is>
          <t>Altera reference base</t>
        </is>
      </c>
      <c r="O70" s="54" t="n">
        <v>1.1</v>
      </c>
      <c r="P70" s="54" t="n">
        <v>0</v>
      </c>
      <c r="Q70" s="7" t="inlineStr">
        <is>
          <t>yes</t>
        </is>
      </c>
      <c r="R70" s="7" t="inlineStr">
        <is>
          <t>whole</t>
        </is>
      </c>
      <c r="S70" s="7" t="inlineStr">
        <is>
          <t>FG4</t>
        </is>
      </c>
      <c r="T70" s="7" t="n"/>
      <c r="U70" s="7" t="inlineStr">
        <is>
          <t>plant</t>
        </is>
      </c>
      <c r="V70" s="7" t="n"/>
      <c r="W70" s="7" t="n"/>
      <c r="X70" s="55" t="n">
        <v>1</v>
      </c>
      <c r="Y70" s="50" t="n">
        <v>0.6899999999999999</v>
      </c>
      <c r="Z70" s="7" t="inlineStr">
        <is>
          <t>declared</t>
        </is>
      </c>
      <c r="AA70" s="19">
        <f>IF(ISBLANK(Welcome!D96),"",Welcome!D96)</f>
        <v/>
      </c>
      <c r="AB70" s="29">
        <f>IF(ISBLANK(Welcome!E96),"",Welcome!E96)</f>
        <v/>
      </c>
      <c r="AC70" s="29">
        <f>IF(N(AB70)&gt;0,N(AB70),N(AA70)*Y70)</f>
        <v/>
      </c>
      <c r="AD70" s="29">
        <f>IF(H70="yes",AC70,0)</f>
        <v/>
      </c>
      <c r="AE70" s="29">
        <f>AD70*N(M70)/100</f>
        <v/>
      </c>
      <c r="AF70" s="29">
        <f>AD70*N(O70)/100</f>
        <v/>
      </c>
      <c r="AG70" s="29">
        <f>AD70*N(P70)/100</f>
        <v/>
      </c>
      <c r="AH70" s="50">
        <f>IF(Q70="yes",AD70/1000,0)</f>
        <v/>
      </c>
      <c r="AI70" s="50">
        <f>IF(S70="FG2",AH70*X70,AH70)</f>
        <v/>
      </c>
    </row>
    <row r="71">
      <c r="A71" s="7" t="inlineStr">
        <is>
          <t>HM00586</t>
        </is>
      </c>
      <c r="B71" s="16" t="inlineStr">
        <is>
          <t>4012345770476</t>
        </is>
      </c>
      <c r="C71" s="7" t="inlineStr">
        <is>
          <t>LARGE EGGS 15PK TARROW</t>
        </is>
      </c>
      <c r="D71" s="7" t="inlineStr">
        <is>
          <t>Large eggs, 15pk</t>
        </is>
      </c>
      <c r="E71" s="7" t="inlineStr">
        <is>
          <t>Tarrow Farm</t>
        </is>
      </c>
      <c r="F71" s="7" t="inlineStr">
        <is>
          <t>Dairy &amp; Eggs</t>
        </is>
      </c>
      <c r="G71" s="7" t="inlineStr">
        <is>
          <t>Eggs</t>
        </is>
      </c>
      <c r="H71" s="7" t="inlineStr">
        <is>
          <t>yes</t>
        </is>
      </c>
      <c r="I71" s="7" t="inlineStr">
        <is>
          <t>Animal core</t>
        </is>
      </c>
      <c r="J71" s="7" t="inlineStr">
        <is>
          <t>Eggs</t>
        </is>
      </c>
      <c r="K71" s="7" t="inlineStr">
        <is>
          <t>B</t>
        </is>
      </c>
      <c r="L71" s="7" t="inlineStr">
        <is>
          <t>Follows the class</t>
        </is>
      </c>
      <c r="M71" s="51" t="n">
        <v>12.1</v>
      </c>
      <c r="N71" s="7" t="inlineStr">
        <is>
          <t>Declared by the retailer</t>
        </is>
      </c>
      <c r="O71" s="54" t="n">
        <v>0</v>
      </c>
      <c r="P71" s="54" t="n">
        <v>12.1</v>
      </c>
      <c r="Q71" s="7" t="inlineStr">
        <is>
          <t>yes</t>
        </is>
      </c>
      <c r="R71" s="7" t="inlineStr">
        <is>
          <t>whole</t>
        </is>
      </c>
      <c r="S71" s="7" t="inlineStr">
        <is>
          <t>FG1</t>
        </is>
      </c>
      <c r="T71" s="7" t="inlineStr">
        <is>
          <t>Eggs</t>
        </is>
      </c>
      <c r="U71" s="7" t="inlineStr">
        <is>
          <t>animal</t>
        </is>
      </c>
      <c r="V71" s="7" t="n"/>
      <c r="W71" s="7" t="n"/>
      <c r="X71" s="55" t="n">
        <v>1</v>
      </c>
      <c r="Y71" s="50" t="n">
        <v>0.9</v>
      </c>
      <c r="Z71" s="7" t="inlineStr">
        <is>
          <t>declared</t>
        </is>
      </c>
      <c r="AA71" s="19">
        <f>IF(ISBLANK(Welcome!D97),"",Welcome!D97)</f>
        <v/>
      </c>
      <c r="AB71" s="29">
        <f>IF(ISBLANK(Welcome!E97),"",Welcome!E97)</f>
        <v/>
      </c>
      <c r="AC71" s="29">
        <f>IF(N(AB71)&gt;0,N(AB71),N(AA71)*Y71)</f>
        <v/>
      </c>
      <c r="AD71" s="29">
        <f>IF(H71="yes",AC71,0)</f>
        <v/>
      </c>
      <c r="AE71" s="29">
        <f>AD71*N(M71)/100</f>
        <v/>
      </c>
      <c r="AF71" s="29">
        <f>AD71*N(O71)/100</f>
        <v/>
      </c>
      <c r="AG71" s="29">
        <f>AD71*N(P71)/100</f>
        <v/>
      </c>
      <c r="AH71" s="50">
        <f>IF(Q71="yes",AD71/1000,0)</f>
        <v/>
      </c>
      <c r="AI71" s="50">
        <f>IF(S71="FG2",AH71*X71,AH71)</f>
        <v/>
      </c>
    </row>
    <row r="72">
      <c r="A72" s="7" t="inlineStr">
        <is>
          <t>HM00654</t>
        </is>
      </c>
      <c r="B72" s="16" t="inlineStr">
        <is>
          <t>8712345332105</t>
        </is>
      </c>
      <c r="C72" s="7" t="inlineStr">
        <is>
          <t>HM WHEAT BEER 12X440ML</t>
        </is>
      </c>
      <c r="D72" s="7" t="inlineStr">
        <is>
          <t>Wheat beer, 12x440ml</t>
        </is>
      </c>
      <c r="E72" s="7" t="inlineStr">
        <is>
          <t>Harbour Market</t>
        </is>
      </c>
      <c r="F72" s="7" t="inlineStr">
        <is>
          <t>Beer, Wine &amp; Spirits</t>
        </is>
      </c>
      <c r="G72" s="7" t="inlineStr">
        <is>
          <t>Beer &amp; Cider</t>
        </is>
      </c>
      <c r="H72" s="7" t="inlineStr">
        <is>
          <t>yes</t>
        </is>
      </c>
      <c r="I72" s="7" t="inlineStr">
        <is>
          <t>Plant-based non-core</t>
        </is>
      </c>
      <c r="J72" s="7" t="inlineStr">
        <is>
          <t>Outside the WWF scope</t>
        </is>
      </c>
      <c r="K72" s="7" t="inlineStr">
        <is>
          <t>B</t>
        </is>
      </c>
      <c r="L72" s="7" t="inlineStr">
        <is>
          <t>Follows the class</t>
        </is>
      </c>
      <c r="M72" s="51" t="n">
        <v>0.48</v>
      </c>
      <c r="N72" s="7" t="inlineStr">
        <is>
          <t>Declared by the retailer</t>
        </is>
      </c>
      <c r="O72" s="54" t="n">
        <v>0.48</v>
      </c>
      <c r="P72" s="54" t="n">
        <v>0</v>
      </c>
      <c r="Q72" s="7" t="inlineStr">
        <is>
          <t>no</t>
        </is>
      </c>
      <c r="R72" s="7" t="n"/>
      <c r="S72" s="7" t="n"/>
      <c r="T72" s="7" t="n"/>
      <c r="U72" s="7" t="n"/>
      <c r="V72" s="7" t="n"/>
      <c r="W72" s="7" t="inlineStr">
        <is>
          <t>alcohol</t>
        </is>
      </c>
      <c r="X72" s="55" t="n">
        <v>1</v>
      </c>
      <c r="Y72" s="50" t="n">
        <v>5.28</v>
      </c>
      <c r="Z72" s="7" t="inlineStr">
        <is>
          <t>label</t>
        </is>
      </c>
      <c r="AA72" s="19">
        <f>IF(ISBLANK(Welcome!D98),"",Welcome!D98)</f>
        <v/>
      </c>
      <c r="AB72" s="29">
        <f>IF(ISBLANK(Welcome!E98),"",Welcome!E98)</f>
        <v/>
      </c>
      <c r="AC72" s="29">
        <f>IF(N(AB72)&gt;0,N(AB72),N(AA72)*Y72)</f>
        <v/>
      </c>
      <c r="AD72" s="29">
        <f>IF(H72="yes",AC72,0)</f>
        <v/>
      </c>
      <c r="AE72" s="29">
        <f>AD72*N(M72)/100</f>
        <v/>
      </c>
      <c r="AF72" s="29">
        <f>AD72*N(O72)/100</f>
        <v/>
      </c>
      <c r="AG72" s="29">
        <f>AD72*N(P72)/100</f>
        <v/>
      </c>
      <c r="AH72" s="50">
        <f>IF(Q72="yes",AD72/1000,0)</f>
        <v/>
      </c>
      <c r="AI72" s="50">
        <f>IF(S72="FG2",AH72*X72,AH72)</f>
        <v/>
      </c>
    </row>
    <row r="73">
      <c r="A73" s="7" t="inlineStr">
        <is>
          <t>HM00039</t>
        </is>
      </c>
      <c r="B73" s="16" t="inlineStr">
        <is>
          <t>2755600676120</t>
        </is>
      </c>
      <c r="C73" s="7" t="inlineStr">
        <is>
          <t>HM CUCUMBER KG</t>
        </is>
      </c>
      <c r="D73" s="7" t="inlineStr">
        <is>
          <t>Cucumber</t>
        </is>
      </c>
      <c r="E73" s="7" t="inlineStr">
        <is>
          <t>Harbour Market</t>
        </is>
      </c>
      <c r="F73" s="7" t="inlineStr">
        <is>
          <t>Fruit &amp; Vegetables</t>
        </is>
      </c>
      <c r="G73" s="7" t="inlineStr">
        <is>
          <t>Vegetables</t>
        </is>
      </c>
      <c r="H73" s="7" t="inlineStr">
        <is>
          <t>yes</t>
        </is>
      </c>
      <c r="I73" s="7" t="inlineStr">
        <is>
          <t>Plant-based non-core</t>
        </is>
      </c>
      <c r="J73" s="7" t="inlineStr">
        <is>
          <t>Fruit and vegetables</t>
        </is>
      </c>
      <c r="K73" s="7" t="inlineStr">
        <is>
          <t>B</t>
        </is>
      </c>
      <c r="L73" s="7" t="inlineStr">
        <is>
          <t>Follows the class</t>
        </is>
      </c>
      <c r="M73" s="51" t="n">
        <v>0.57</v>
      </c>
      <c r="N73" s="7" t="inlineStr">
        <is>
          <t>National food table (CIQUAL in France)</t>
        </is>
      </c>
      <c r="O73" s="54" t="n">
        <v>0.57</v>
      </c>
      <c r="P73" s="54" t="n">
        <v>0</v>
      </c>
      <c r="Q73" s="7" t="inlineStr">
        <is>
          <t>yes</t>
        </is>
      </c>
      <c r="R73" s="7" t="inlineStr">
        <is>
          <t>whole</t>
        </is>
      </c>
      <c r="S73" s="7" t="inlineStr">
        <is>
          <t>FG4</t>
        </is>
      </c>
      <c r="T73" s="7" t="n"/>
      <c r="U73" s="7" t="inlineStr">
        <is>
          <t>plant</t>
        </is>
      </c>
      <c r="V73" s="7" t="n"/>
      <c r="W73" s="7" t="n"/>
      <c r="X73" s="55" t="n">
        <v>1</v>
      </c>
      <c r="Y73" s="50" t="n">
        <v>1</v>
      </c>
      <c r="Z73" s="7" t="inlineStr">
        <is>
          <t>variable</t>
        </is>
      </c>
      <c r="AA73" s="19">
        <f>IF(ISBLANK(Welcome!D99),"",Welcome!D99)</f>
        <v/>
      </c>
      <c r="AB73" s="29">
        <f>IF(ISBLANK(Welcome!E99),"",Welcome!E99)</f>
        <v/>
      </c>
      <c r="AC73" s="29">
        <f>IF(N(AB73)&gt;0,N(AB73),N(AA73)*Y73)</f>
        <v/>
      </c>
      <c r="AD73" s="29">
        <f>IF(H73="yes",AC73,0)</f>
        <v/>
      </c>
      <c r="AE73" s="29">
        <f>AD73*N(M73)/100</f>
        <v/>
      </c>
      <c r="AF73" s="29">
        <f>AD73*N(O73)/100</f>
        <v/>
      </c>
      <c r="AG73" s="29">
        <f>AD73*N(P73)/100</f>
        <v/>
      </c>
      <c r="AH73" s="50">
        <f>IF(Q73="yes",AD73/1000,0)</f>
        <v/>
      </c>
      <c r="AI73" s="50">
        <f>IF(S73="FG2",AH73*X73,AH73)</f>
        <v/>
      </c>
    </row>
    <row r="74">
      <c r="A74" s="7" t="inlineStr">
        <is>
          <t>HM00674</t>
        </is>
      </c>
      <c r="B74" s="16" t="inlineStr">
        <is>
          <t>4012345334944</t>
        </is>
      </c>
      <c r="C74" s="7" t="inlineStr">
        <is>
          <t>HM OAT DRINK 6X1L</t>
        </is>
      </c>
      <c r="D74" s="7" t="inlineStr">
        <is>
          <t>Oat drink, 6x1l</t>
        </is>
      </c>
      <c r="E74" s="7" t="inlineStr">
        <is>
          <t>Harbour Market</t>
        </is>
      </c>
      <c r="F74" s="7" t="inlineStr">
        <is>
          <t>Plant-Based</t>
        </is>
      </c>
      <c r="G74" s="7" t="inlineStr">
        <is>
          <t>Plant Drinks</t>
        </is>
      </c>
      <c r="H74" s="7" t="inlineStr">
        <is>
          <t>yes</t>
        </is>
      </c>
      <c r="I74" s="7" t="inlineStr">
        <is>
          <t>Plant-based core</t>
        </is>
      </c>
      <c r="J74" s="7" t="inlineStr">
        <is>
          <t>Plant-based dairy alternatives</t>
        </is>
      </c>
      <c r="K74" s="7" t="inlineStr">
        <is>
          <t>A</t>
        </is>
      </c>
      <c r="L74" s="7" t="inlineStr">
        <is>
          <t>All ingredients on one side</t>
        </is>
      </c>
      <c r="M74" s="51" t="n">
        <v>0.95</v>
      </c>
      <c r="N74" s="7" t="inlineStr">
        <is>
          <t>Open Food Facts and NEVO, by EAN</t>
        </is>
      </c>
      <c r="O74" s="54" t="n">
        <v>0.95</v>
      </c>
      <c r="P74" s="54" t="n">
        <v>0</v>
      </c>
      <c r="Q74" s="7" t="inlineStr">
        <is>
          <t>yes</t>
        </is>
      </c>
      <c r="R74" s="7" t="inlineStr">
        <is>
          <t>whole</t>
        </is>
      </c>
      <c r="S74" s="7" t="inlineStr">
        <is>
          <t>FG2</t>
        </is>
      </c>
      <c r="T74" s="7" t="inlineStr">
        <is>
          <t>Dairy alternatives</t>
        </is>
      </c>
      <c r="U74" s="7" t="inlineStr">
        <is>
          <t>plant</t>
        </is>
      </c>
      <c r="V74" s="7" t="n"/>
      <c r="W74" s="7" t="n"/>
      <c r="X74" s="55" t="n">
        <v>1</v>
      </c>
      <c r="Y74" s="50" t="n">
        <v>6.18</v>
      </c>
      <c r="Z74" s="7" t="inlineStr">
        <is>
          <t>label</t>
        </is>
      </c>
      <c r="AA74" s="19">
        <f>IF(ISBLANK(Welcome!D100),"",Welcome!D100)</f>
        <v/>
      </c>
      <c r="AB74" s="29">
        <f>IF(ISBLANK(Welcome!E100),"",Welcome!E100)</f>
        <v/>
      </c>
      <c r="AC74" s="29">
        <f>IF(N(AB74)&gt;0,N(AB74),N(AA74)*Y74)</f>
        <v/>
      </c>
      <c r="AD74" s="29">
        <f>IF(H74="yes",AC74,0)</f>
        <v/>
      </c>
      <c r="AE74" s="29">
        <f>AD74*N(M74)/100</f>
        <v/>
      </c>
      <c r="AF74" s="29">
        <f>AD74*N(O74)/100</f>
        <v/>
      </c>
      <c r="AG74" s="29">
        <f>AD74*N(P74)/100</f>
        <v/>
      </c>
      <c r="AH74" s="50">
        <f>IF(Q74="yes",AD74/1000,0)</f>
        <v/>
      </c>
      <c r="AI74" s="50">
        <f>IF(S74="FG2",AH74*X74,AH74)</f>
        <v/>
      </c>
    </row>
    <row r="75">
      <c r="A75" s="7" t="inlineStr">
        <is>
          <t>HM00713</t>
        </is>
      </c>
      <c r="B75" s="16" t="inlineStr">
        <is>
          <t>3012345557597</t>
        </is>
      </c>
      <c r="C75" s="7" t="inlineStr">
        <is>
          <t>HM SKMD MILK 500ML</t>
        </is>
      </c>
      <c r="D75" s="7" t="inlineStr">
        <is>
          <t>Skimmed milk, 500ml</t>
        </is>
      </c>
      <c r="E75" s="7" t="inlineStr">
        <is>
          <t>Harbour Market</t>
        </is>
      </c>
      <c r="F75" s="7" t="inlineStr">
        <is>
          <t>Dairy &amp; Eggs</t>
        </is>
      </c>
      <c r="G75" s="7" t="inlineStr">
        <is>
          <t>Milk</t>
        </is>
      </c>
      <c r="H75" s="7" t="inlineStr">
        <is>
          <t>yes</t>
        </is>
      </c>
      <c r="I75" s="7" t="inlineStr">
        <is>
          <t>Animal core</t>
        </is>
      </c>
      <c r="J75" s="7" t="inlineStr">
        <is>
          <t>Milk, yoghurt and cream</t>
        </is>
      </c>
      <c r="K75" s="7" t="inlineStr">
        <is>
          <t>A</t>
        </is>
      </c>
      <c r="L75" s="7" t="inlineStr">
        <is>
          <t>All ingredients on one side</t>
        </is>
      </c>
      <c r="M75" s="51" t="n">
        <v>3.3</v>
      </c>
      <c r="N75" s="7" t="inlineStr">
        <is>
          <t>Declared by the retailer</t>
        </is>
      </c>
      <c r="O75" s="54" t="n">
        <v>0</v>
      </c>
      <c r="P75" s="54" t="n">
        <v>3.3</v>
      </c>
      <c r="Q75" s="7" t="inlineStr">
        <is>
          <t>yes</t>
        </is>
      </c>
      <c r="R75" s="7" t="inlineStr">
        <is>
          <t>whole</t>
        </is>
      </c>
      <c r="S75" s="7" t="inlineStr">
        <is>
          <t>FG2</t>
        </is>
      </c>
      <c r="T75" s="7" t="inlineStr">
        <is>
          <t>Dairy</t>
        </is>
      </c>
      <c r="U75" s="7" t="inlineStr">
        <is>
          <t>animal</t>
        </is>
      </c>
      <c r="V75" s="7" t="n"/>
      <c r="W75" s="7" t="n"/>
      <c r="X75" s="55" t="n">
        <v>1</v>
      </c>
      <c r="Y75" s="50" t="n">
        <v>0.515</v>
      </c>
      <c r="Z75" s="7" t="inlineStr">
        <is>
          <t>declared</t>
        </is>
      </c>
      <c r="AA75" s="19">
        <f>IF(ISBLANK(Welcome!D101),"",Welcome!D101)</f>
        <v/>
      </c>
      <c r="AB75" s="29">
        <f>IF(ISBLANK(Welcome!E101),"",Welcome!E101)</f>
        <v/>
      </c>
      <c r="AC75" s="29">
        <f>IF(N(AB75)&gt;0,N(AB75),N(AA75)*Y75)</f>
        <v/>
      </c>
      <c r="AD75" s="29">
        <f>IF(H75="yes",AC75,0)</f>
        <v/>
      </c>
      <c r="AE75" s="29">
        <f>AD75*N(M75)/100</f>
        <v/>
      </c>
      <c r="AF75" s="29">
        <f>AD75*N(O75)/100</f>
        <v/>
      </c>
      <c r="AG75" s="29">
        <f>AD75*N(P75)/100</f>
        <v/>
      </c>
      <c r="AH75" s="50">
        <f>IF(Q75="yes",AD75/1000,0)</f>
        <v/>
      </c>
      <c r="AI75" s="50">
        <f>IF(S75="FG2",AH75*X75,AH75)</f>
        <v/>
      </c>
    </row>
    <row r="76">
      <c r="A76" s="7" t="inlineStr">
        <is>
          <t>HM00628</t>
        </is>
      </c>
      <c r="B76" s="16" t="inlineStr">
        <is>
          <t>8712345206383</t>
        </is>
      </c>
      <c r="C76" s="7" t="inlineStr">
        <is>
          <t>HM PORK CHIPOLATAS 454G</t>
        </is>
      </c>
      <c r="D76" s="7" t="inlineStr">
        <is>
          <t>Pork chipolatas, 454g</t>
        </is>
      </c>
      <c r="E76" s="7" t="inlineStr">
        <is>
          <t>Harbour Market</t>
        </is>
      </c>
      <c r="F76" s="7" t="inlineStr">
        <is>
          <t>Fresh Meat &amp; Poultry</t>
        </is>
      </c>
      <c r="G76" s="7" t="inlineStr">
        <is>
          <t>Sausages &amp; Burgers</t>
        </is>
      </c>
      <c r="H76" s="7" t="inlineStr">
        <is>
          <t>yes</t>
        </is>
      </c>
      <c r="I76" s="7" t="inlineStr">
        <is>
          <t>Animal core</t>
        </is>
      </c>
      <c r="J76" s="7" t="inlineStr">
        <is>
          <t>Dishes and processed products</t>
        </is>
      </c>
      <c r="K76" s="7" t="inlineStr">
        <is>
          <t>B</t>
        </is>
      </c>
      <c r="L76" s="7" t="inlineStr">
        <is>
          <t>First ingredient</t>
        </is>
      </c>
      <c r="M76" s="51" t="n">
        <v>14.4</v>
      </c>
      <c r="N76" s="7" t="inlineStr">
        <is>
          <t>Declared by the retailer</t>
        </is>
      </c>
      <c r="O76" s="54" t="n">
        <v>0</v>
      </c>
      <c r="P76" s="54" t="n">
        <v>14.4</v>
      </c>
      <c r="Q76" s="7" t="inlineStr">
        <is>
          <t>yes</t>
        </is>
      </c>
      <c r="R76" s="7" t="inlineStr">
        <is>
          <t>whole</t>
        </is>
      </c>
      <c r="S76" s="7" t="inlineStr">
        <is>
          <t>FG1</t>
        </is>
      </c>
      <c r="T76" s="7" t="inlineStr">
        <is>
          <t>Red meat</t>
        </is>
      </c>
      <c r="U76" s="7" t="inlineStr">
        <is>
          <t>animal</t>
        </is>
      </c>
      <c r="V76" s="7" t="n"/>
      <c r="W76" s="7" t="n"/>
      <c r="X76" s="55" t="n">
        <v>1</v>
      </c>
      <c r="Y76" s="50" t="n">
        <v>0.454</v>
      </c>
      <c r="Z76" s="7" t="inlineStr">
        <is>
          <t>declared</t>
        </is>
      </c>
      <c r="AA76" s="19">
        <f>IF(ISBLANK(Welcome!D102),"",Welcome!D102)</f>
        <v/>
      </c>
      <c r="AB76" s="29">
        <f>IF(ISBLANK(Welcome!E102),"",Welcome!E102)</f>
        <v/>
      </c>
      <c r="AC76" s="29">
        <f>IF(N(AB76)&gt;0,N(AB76),N(AA76)*Y76)</f>
        <v/>
      </c>
      <c r="AD76" s="29">
        <f>IF(H76="yes",AC76,0)</f>
        <v/>
      </c>
      <c r="AE76" s="29">
        <f>AD76*N(M76)/100</f>
        <v/>
      </c>
      <c r="AF76" s="29">
        <f>AD76*N(O76)/100</f>
        <v/>
      </c>
      <c r="AG76" s="29">
        <f>AD76*N(P76)/100</f>
        <v/>
      </c>
      <c r="AH76" s="50">
        <f>IF(Q76="yes",AD76/1000,0)</f>
        <v/>
      </c>
      <c r="AI76" s="50">
        <f>IF(S76="FG2",AH76*X76,AH76)</f>
        <v/>
      </c>
    </row>
    <row r="77">
      <c r="A77" s="7" t="inlineStr">
        <is>
          <t>HM00488</t>
        </is>
      </c>
      <c r="B77" s="16" t="inlineStr">
        <is>
          <t>3012345108874</t>
        </is>
      </c>
      <c r="C77" s="7" t="inlineStr">
        <is>
          <t>HM SUNFLOWER OIL 3L</t>
        </is>
      </c>
      <c r="D77" s="7" t="inlineStr">
        <is>
          <t>Sunflower oil, 3l</t>
        </is>
      </c>
      <c r="E77" s="7" t="inlineStr">
        <is>
          <t>Harbour Market</t>
        </is>
      </c>
      <c r="F77" s="7" t="inlineStr">
        <is>
          <t>Grocery</t>
        </is>
      </c>
      <c r="G77" s="7" t="inlineStr">
        <is>
          <t>Oils</t>
        </is>
      </c>
      <c r="H77" s="7" t="inlineStr">
        <is>
          <t>yes</t>
        </is>
      </c>
      <c r="I77" s="7" t="inlineStr">
        <is>
          <t>Plant-based non-core</t>
        </is>
      </c>
      <c r="J77" s="7" t="inlineStr">
        <is>
          <t>Other</t>
        </is>
      </c>
      <c r="K77" s="7" t="inlineStr">
        <is>
          <t>B</t>
        </is>
      </c>
      <c r="L77" s="7" t="inlineStr">
        <is>
          <t>Follows the class</t>
        </is>
      </c>
      <c r="M77" s="51" t="n">
        <v>0</v>
      </c>
      <c r="N77" s="7" t="inlineStr">
        <is>
          <t>Altera reference base</t>
        </is>
      </c>
      <c r="O77" s="54" t="n">
        <v>0</v>
      </c>
      <c r="P77" s="54" t="n">
        <v>0</v>
      </c>
      <c r="Q77" s="7" t="inlineStr">
        <is>
          <t>yes</t>
        </is>
      </c>
      <c r="R77" s="7" t="inlineStr">
        <is>
          <t>whole</t>
        </is>
      </c>
      <c r="S77" s="7" t="inlineStr">
        <is>
          <t>FG3</t>
        </is>
      </c>
      <c r="T77" s="7" t="inlineStr">
        <is>
          <t>Plant-based fat</t>
        </is>
      </c>
      <c r="U77" s="7" t="inlineStr">
        <is>
          <t>plant</t>
        </is>
      </c>
      <c r="V77" s="7" t="n"/>
      <c r="W77" s="7" t="n"/>
      <c r="X77" s="55" t="n">
        <v>1</v>
      </c>
      <c r="Y77" s="50" t="n">
        <v>2.76</v>
      </c>
      <c r="Z77" s="7" t="inlineStr">
        <is>
          <t>declared</t>
        </is>
      </c>
      <c r="AA77" s="19">
        <f>IF(ISBLANK(Welcome!D103),"",Welcome!D103)</f>
        <v/>
      </c>
      <c r="AB77" s="29">
        <f>IF(ISBLANK(Welcome!E103),"",Welcome!E103)</f>
        <v/>
      </c>
      <c r="AC77" s="29">
        <f>IF(N(AB77)&gt;0,N(AB77),N(AA77)*Y77)</f>
        <v/>
      </c>
      <c r="AD77" s="29">
        <f>IF(H77="yes",AC77,0)</f>
        <v/>
      </c>
      <c r="AE77" s="29">
        <f>AD77*N(M77)/100</f>
        <v/>
      </c>
      <c r="AF77" s="29">
        <f>AD77*N(O77)/100</f>
        <v/>
      </c>
      <c r="AG77" s="29">
        <f>AD77*N(P77)/100</f>
        <v/>
      </c>
      <c r="AH77" s="50">
        <f>IF(Q77="yes",AD77/1000,0)</f>
        <v/>
      </c>
      <c r="AI77" s="50">
        <f>IF(S77="FG2",AH77*X77,AH77)</f>
        <v/>
      </c>
    </row>
    <row r="78">
      <c r="A78" s="7" t="inlineStr">
        <is>
          <t>HM00688</t>
        </is>
      </c>
      <c r="B78" s="16" t="inlineStr">
        <is>
          <t>3012345809092</t>
        </is>
      </c>
      <c r="C78" s="7" t="inlineStr">
        <is>
          <t>CHKN THIGHS 650G TARROW</t>
        </is>
      </c>
      <c r="D78" s="7" t="inlineStr">
        <is>
          <t>Chicken thighs, 650g</t>
        </is>
      </c>
      <c r="E78" s="7" t="inlineStr">
        <is>
          <t>Tarrow Farm</t>
        </is>
      </c>
      <c r="F78" s="7" t="inlineStr">
        <is>
          <t>Fresh Meat &amp; Poultry</t>
        </is>
      </c>
      <c r="G78" s="7" t="inlineStr">
        <is>
          <t>Poultry</t>
        </is>
      </c>
      <c r="H78" s="7" t="inlineStr">
        <is>
          <t>yes</t>
        </is>
      </c>
      <c r="I78" s="7" t="inlineStr">
        <is>
          <t>Animal core</t>
        </is>
      </c>
      <c r="J78" s="7" t="inlineStr">
        <is>
          <t>Poultry</t>
        </is>
      </c>
      <c r="K78" s="7" t="inlineStr">
        <is>
          <t>A</t>
        </is>
      </c>
      <c r="L78" s="7" t="inlineStr">
        <is>
          <t>All ingredients on one side</t>
        </is>
      </c>
      <c r="M78" s="51" t="n">
        <v>19</v>
      </c>
      <c r="N78" s="7" t="inlineStr">
        <is>
          <t>Median of the family</t>
        </is>
      </c>
      <c r="O78" s="54" t="n">
        <v>0</v>
      </c>
      <c r="P78" s="54" t="n">
        <v>19</v>
      </c>
      <c r="Q78" s="7" t="inlineStr">
        <is>
          <t>yes</t>
        </is>
      </c>
      <c r="R78" s="7" t="inlineStr">
        <is>
          <t>whole</t>
        </is>
      </c>
      <c r="S78" s="7" t="inlineStr">
        <is>
          <t>FG1</t>
        </is>
      </c>
      <c r="T78" s="7" t="inlineStr">
        <is>
          <t>Poultry</t>
        </is>
      </c>
      <c r="U78" s="7" t="inlineStr">
        <is>
          <t>animal</t>
        </is>
      </c>
      <c r="V78" s="7" t="n"/>
      <c r="W78" s="7" t="n"/>
      <c r="X78" s="55" t="n">
        <v>1</v>
      </c>
      <c r="Y78" s="50" t="n">
        <v>0.65</v>
      </c>
      <c r="Z78" s="7" t="inlineStr">
        <is>
          <t>declared</t>
        </is>
      </c>
      <c r="AA78" s="19">
        <f>IF(ISBLANK(Welcome!D104),"",Welcome!D104)</f>
        <v/>
      </c>
      <c r="AB78" s="29">
        <f>IF(ISBLANK(Welcome!E104),"",Welcome!E104)</f>
        <v/>
      </c>
      <c r="AC78" s="29">
        <f>IF(N(AB78)&gt;0,N(AB78),N(AA78)*Y78)</f>
        <v/>
      </c>
      <c r="AD78" s="29">
        <f>IF(H78="yes",AC78,0)</f>
        <v/>
      </c>
      <c r="AE78" s="29">
        <f>AD78*N(M78)/100</f>
        <v/>
      </c>
      <c r="AF78" s="29">
        <f>AD78*N(O78)/100</f>
        <v/>
      </c>
      <c r="AG78" s="29">
        <f>AD78*N(P78)/100</f>
        <v/>
      </c>
      <c r="AH78" s="50">
        <f>IF(Q78="yes",AD78/1000,0)</f>
        <v/>
      </c>
      <c r="AI78" s="50">
        <f>IF(S78="FG2",AH78*X78,AH78)</f>
        <v/>
      </c>
    </row>
    <row r="79">
      <c r="A79" s="7" t="inlineStr">
        <is>
          <t>HM00709</t>
        </is>
      </c>
      <c r="B79" s="16" t="inlineStr">
        <is>
          <t>3012345833325</t>
        </is>
      </c>
      <c r="C79" s="7" t="inlineStr">
        <is>
          <t>HM COLA ZERO 1.5L</t>
        </is>
      </c>
      <c r="D79" s="7" t="inlineStr">
        <is>
          <t>Cola, no sugar, 1.5l</t>
        </is>
      </c>
      <c r="E79" s="7" t="inlineStr">
        <is>
          <t>Harbour Market</t>
        </is>
      </c>
      <c r="F79" s="7" t="inlineStr">
        <is>
          <t>Soft Drinks &amp; Water</t>
        </is>
      </c>
      <c r="G79" s="7" t="inlineStr">
        <is>
          <t>Soft Drinks</t>
        </is>
      </c>
      <c r="H79" s="7" t="inlineStr">
        <is>
          <t>yes</t>
        </is>
      </c>
      <c r="I79" s="7" t="inlineStr">
        <is>
          <t>Plant-based non-core</t>
        </is>
      </c>
      <c r="J79" s="7" t="inlineStr">
        <is>
          <t>Outside the WWF scope</t>
        </is>
      </c>
      <c r="K79" s="7" t="inlineStr">
        <is>
          <t>A</t>
        </is>
      </c>
      <c r="L79" s="7" t="inlineStr">
        <is>
          <t>All ingredients on one side</t>
        </is>
      </c>
      <c r="M79" s="51" t="n">
        <v>0</v>
      </c>
      <c r="N79" s="7" t="inlineStr">
        <is>
          <t>Altera reference base</t>
        </is>
      </c>
      <c r="O79" s="54" t="n">
        <v>0</v>
      </c>
      <c r="P79" s="54" t="n">
        <v>0</v>
      </c>
      <c r="Q79" s="7" t="inlineStr">
        <is>
          <t>no</t>
        </is>
      </c>
      <c r="R79" s="7" t="n"/>
      <c r="S79" s="7" t="n"/>
      <c r="T79" s="7" t="n"/>
      <c r="U79" s="7" t="n"/>
      <c r="V79" s="7" t="n"/>
      <c r="W79" s="7" t="inlineStr">
        <is>
          <t>beverage</t>
        </is>
      </c>
      <c r="X79" s="55" t="n">
        <v>1</v>
      </c>
      <c r="Y79" s="50" t="n">
        <v>1.5</v>
      </c>
      <c r="Z79" s="7" t="inlineStr">
        <is>
          <t>declared</t>
        </is>
      </c>
      <c r="AA79" s="19">
        <f>IF(ISBLANK(Welcome!D105),"",Welcome!D105)</f>
        <v/>
      </c>
      <c r="AB79" s="29">
        <f>IF(ISBLANK(Welcome!E105),"",Welcome!E105)</f>
        <v/>
      </c>
      <c r="AC79" s="29">
        <f>IF(N(AB79)&gt;0,N(AB79),N(AA79)*Y79)</f>
        <v/>
      </c>
      <c r="AD79" s="29">
        <f>IF(H79="yes",AC79,0)</f>
        <v/>
      </c>
      <c r="AE79" s="29">
        <f>AD79*N(M79)/100</f>
        <v/>
      </c>
      <c r="AF79" s="29">
        <f>AD79*N(O79)/100</f>
        <v/>
      </c>
      <c r="AG79" s="29">
        <f>AD79*N(P79)/100</f>
        <v/>
      </c>
      <c r="AH79" s="50">
        <f>IF(Q79="yes",AD79/1000,0)</f>
        <v/>
      </c>
      <c r="AI79" s="50">
        <f>IF(S79="FG2",AH79*X79,AH79)</f>
        <v/>
      </c>
    </row>
    <row r="80">
      <c r="A80" s="7" t="inlineStr">
        <is>
          <t>HM00173</t>
        </is>
      </c>
      <c r="B80" s="16" t="inlineStr">
        <is>
          <t>3012345264785</t>
        </is>
      </c>
      <c r="C80" s="7" t="inlineStr">
        <is>
          <t>HM ICEBERG LETTUCE 300G</t>
        </is>
      </c>
      <c r="D80" s="7" t="inlineStr">
        <is>
          <t>Iceberg lettuce, 300g</t>
        </is>
      </c>
      <c r="E80" s="7" t="inlineStr">
        <is>
          <t>Harbour Market</t>
        </is>
      </c>
      <c r="F80" s="7" t="inlineStr">
        <is>
          <t>Fruit &amp; Vegetables</t>
        </is>
      </c>
      <c r="G80" s="7" t="inlineStr">
        <is>
          <t>Vegetables</t>
        </is>
      </c>
      <c r="H80" s="7" t="inlineStr">
        <is>
          <t>yes</t>
        </is>
      </c>
      <c r="I80" s="7" t="inlineStr">
        <is>
          <t>Plant-based non-core</t>
        </is>
      </c>
      <c r="J80" s="7" t="inlineStr">
        <is>
          <t>Fruit and vegetables</t>
        </is>
      </c>
      <c r="K80" s="7" t="inlineStr">
        <is>
          <t>B</t>
        </is>
      </c>
      <c r="L80" s="7" t="inlineStr">
        <is>
          <t>Follows the class</t>
        </is>
      </c>
      <c r="M80" s="51" t="n">
        <v>0.95</v>
      </c>
      <c r="N80" s="7" t="inlineStr">
        <is>
          <t>National food table (CIQUAL in France)</t>
        </is>
      </c>
      <c r="O80" s="54" t="n">
        <v>0.95</v>
      </c>
      <c r="P80" s="54" t="n">
        <v>0</v>
      </c>
      <c r="Q80" s="7" t="inlineStr">
        <is>
          <t>yes</t>
        </is>
      </c>
      <c r="R80" s="7" t="inlineStr">
        <is>
          <t>whole</t>
        </is>
      </c>
      <c r="S80" s="7" t="inlineStr">
        <is>
          <t>FG4</t>
        </is>
      </c>
      <c r="T80" s="7" t="n"/>
      <c r="U80" s="7" t="inlineStr">
        <is>
          <t>plant</t>
        </is>
      </c>
      <c r="V80" s="7" t="n"/>
      <c r="W80" s="7" t="n"/>
      <c r="X80" s="55" t="n">
        <v>1</v>
      </c>
      <c r="Y80" s="50" t="n">
        <v>0.3</v>
      </c>
      <c r="Z80" s="7" t="inlineStr">
        <is>
          <t>declared</t>
        </is>
      </c>
      <c r="AA80" s="19">
        <f>IF(ISBLANK(Welcome!D106),"",Welcome!D106)</f>
        <v/>
      </c>
      <c r="AB80" s="29">
        <f>IF(ISBLANK(Welcome!E106),"",Welcome!E106)</f>
        <v/>
      </c>
      <c r="AC80" s="29">
        <f>IF(N(AB80)&gt;0,N(AB80),N(AA80)*Y80)</f>
        <v/>
      </c>
      <c r="AD80" s="29">
        <f>IF(H80="yes",AC80,0)</f>
        <v/>
      </c>
      <c r="AE80" s="29">
        <f>AD80*N(M80)/100</f>
        <v/>
      </c>
      <c r="AF80" s="29">
        <f>AD80*N(O80)/100</f>
        <v/>
      </c>
      <c r="AG80" s="29">
        <f>AD80*N(P80)/100</f>
        <v/>
      </c>
      <c r="AH80" s="50">
        <f>IF(Q80="yes",AD80/1000,0)</f>
        <v/>
      </c>
      <c r="AI80" s="50">
        <f>IF(S80="FG2",AH80*X80,AH80)</f>
        <v/>
      </c>
    </row>
    <row r="81">
      <c r="A81" s="7" t="inlineStr">
        <is>
          <t>HM00501</t>
        </is>
      </c>
      <c r="B81" s="16" t="inlineStr">
        <is>
          <t>4012345026191</t>
        </is>
      </c>
      <c r="C81" s="7" t="inlineStr">
        <is>
          <t>SPAGHETTI 1KG ORVALIS</t>
        </is>
      </c>
      <c r="D81" s="7" t="inlineStr">
        <is>
          <t>Spaghetti, 1kg</t>
        </is>
      </c>
      <c r="E81" s="7" t="inlineStr">
        <is>
          <t>Orvalis</t>
        </is>
      </c>
      <c r="F81" s="7" t="inlineStr">
        <is>
          <t>Grocery</t>
        </is>
      </c>
      <c r="G81" s="7" t="inlineStr">
        <is>
          <t>Pasta</t>
        </is>
      </c>
      <c r="H81" s="7" t="inlineStr">
        <is>
          <t>yes</t>
        </is>
      </c>
      <c r="I81" s="7" t="inlineStr">
        <is>
          <t>Plant-based non-core</t>
        </is>
      </c>
      <c r="J81" s="7" t="inlineStr">
        <is>
          <t>Refined grains</t>
        </is>
      </c>
      <c r="K81" s="7" t="inlineStr">
        <is>
          <t>B</t>
        </is>
      </c>
      <c r="L81" s="7" t="inlineStr">
        <is>
          <t>Follows the class</t>
        </is>
      </c>
      <c r="M81" s="51" t="n">
        <v>12.6</v>
      </c>
      <c r="N81" s="7" t="inlineStr">
        <is>
          <t>Open Food Facts and NEVO, by EAN</t>
        </is>
      </c>
      <c r="O81" s="54" t="n">
        <v>12.6</v>
      </c>
      <c r="P81" s="54" t="n">
        <v>0</v>
      </c>
      <c r="Q81" s="7" t="inlineStr">
        <is>
          <t>yes</t>
        </is>
      </c>
      <c r="R81" s="7" t="inlineStr">
        <is>
          <t>whole</t>
        </is>
      </c>
      <c r="S81" s="7" t="inlineStr">
        <is>
          <t>FG5</t>
        </is>
      </c>
      <c r="T81" s="7" t="inlineStr">
        <is>
          <t>Refined grain</t>
        </is>
      </c>
      <c r="U81" s="7" t="inlineStr">
        <is>
          <t>plant</t>
        </is>
      </c>
      <c r="V81" s="7" t="n"/>
      <c r="W81" s="7" t="n"/>
      <c r="X81" s="55" t="n">
        <v>1</v>
      </c>
      <c r="Y81" s="50" t="n">
        <v>1</v>
      </c>
      <c r="Z81" s="7" t="inlineStr">
        <is>
          <t>declared</t>
        </is>
      </c>
      <c r="AA81" s="19">
        <f>IF(ISBLANK(Welcome!D107),"",Welcome!D107)</f>
        <v/>
      </c>
      <c r="AB81" s="29">
        <f>IF(ISBLANK(Welcome!E107),"",Welcome!E107)</f>
        <v/>
      </c>
      <c r="AC81" s="29">
        <f>IF(N(AB81)&gt;0,N(AB81),N(AA81)*Y81)</f>
        <v/>
      </c>
      <c r="AD81" s="29">
        <f>IF(H81="yes",AC81,0)</f>
        <v/>
      </c>
      <c r="AE81" s="29">
        <f>AD81*N(M81)/100</f>
        <v/>
      </c>
      <c r="AF81" s="29">
        <f>AD81*N(O81)/100</f>
        <v/>
      </c>
      <c r="AG81" s="29">
        <f>AD81*N(P81)/100</f>
        <v/>
      </c>
      <c r="AH81" s="50">
        <f>IF(Q81="yes",AD81/1000,0)</f>
        <v/>
      </c>
      <c r="AI81" s="50">
        <f>IF(S81="FG2",AH81*X81,AH81)</f>
        <v/>
      </c>
    </row>
    <row r="82">
      <c r="A82" s="7" t="inlineStr">
        <is>
          <t>HM00136</t>
        </is>
      </c>
      <c r="B82" s="16" t="inlineStr">
        <is>
          <t>2023214764290</t>
        </is>
      </c>
      <c r="C82" s="7" t="inlineStr">
        <is>
          <t>HM COURGETTES KG</t>
        </is>
      </c>
      <c r="D82" s="7" t="inlineStr">
        <is>
          <t>Courgettes</t>
        </is>
      </c>
      <c r="E82" s="7" t="inlineStr">
        <is>
          <t>Harbour Market</t>
        </is>
      </c>
      <c r="F82" s="7" t="inlineStr">
        <is>
          <t>Fruit &amp; Vegetables</t>
        </is>
      </c>
      <c r="G82" s="7" t="inlineStr">
        <is>
          <t>Vegetables</t>
        </is>
      </c>
      <c r="H82" s="7" t="inlineStr">
        <is>
          <t>yes</t>
        </is>
      </c>
      <c r="I82" s="7" t="inlineStr">
        <is>
          <t>Plant-based non-core</t>
        </is>
      </c>
      <c r="J82" s="7" t="inlineStr">
        <is>
          <t>Fruit and vegetables</t>
        </is>
      </c>
      <c r="K82" s="7" t="inlineStr">
        <is>
          <t>B</t>
        </is>
      </c>
      <c r="L82" s="7" t="inlineStr">
        <is>
          <t>Follows the class</t>
        </is>
      </c>
      <c r="M82" s="51" t="n">
        <v>1.8</v>
      </c>
      <c r="N82" s="7" t="inlineStr">
        <is>
          <t>Declared by the retailer</t>
        </is>
      </c>
      <c r="O82" s="54" t="n">
        <v>1.8</v>
      </c>
      <c r="P82" s="54" t="n">
        <v>0</v>
      </c>
      <c r="Q82" s="7" t="inlineStr">
        <is>
          <t>yes</t>
        </is>
      </c>
      <c r="R82" s="7" t="inlineStr">
        <is>
          <t>whole</t>
        </is>
      </c>
      <c r="S82" s="7" t="inlineStr">
        <is>
          <t>FG4</t>
        </is>
      </c>
      <c r="T82" s="7" t="n"/>
      <c r="U82" s="7" t="inlineStr">
        <is>
          <t>plant</t>
        </is>
      </c>
      <c r="V82" s="7" t="n"/>
      <c r="W82" s="7" t="n"/>
      <c r="X82" s="55" t="n">
        <v>1</v>
      </c>
      <c r="Y82" s="50" t="n">
        <v>1</v>
      </c>
      <c r="Z82" s="7" t="inlineStr">
        <is>
          <t>variable</t>
        </is>
      </c>
      <c r="AA82" s="19">
        <f>IF(ISBLANK(Welcome!D108),"",Welcome!D108)</f>
        <v/>
      </c>
      <c r="AB82" s="29">
        <f>IF(ISBLANK(Welcome!E108),"",Welcome!E108)</f>
        <v/>
      </c>
      <c r="AC82" s="29">
        <f>IF(N(AB82)&gt;0,N(AB82),N(AA82)*Y82)</f>
        <v/>
      </c>
      <c r="AD82" s="29">
        <f>IF(H82="yes",AC82,0)</f>
        <v/>
      </c>
      <c r="AE82" s="29">
        <f>AD82*N(M82)/100</f>
        <v/>
      </c>
      <c r="AF82" s="29">
        <f>AD82*N(O82)/100</f>
        <v/>
      </c>
      <c r="AG82" s="29">
        <f>AD82*N(P82)/100</f>
        <v/>
      </c>
      <c r="AH82" s="50">
        <f>IF(Q82="yes",AD82/1000,0)</f>
        <v/>
      </c>
      <c r="AI82" s="50">
        <f>IF(S82="FG2",AH82*X82,AH82)</f>
        <v/>
      </c>
    </row>
    <row r="83">
      <c r="A83" s="7" t="inlineStr">
        <is>
          <t>HM00485</t>
        </is>
      </c>
      <c r="B83" s="16" t="inlineStr">
        <is>
          <t>3012345036627</t>
        </is>
      </c>
      <c r="C83" s="7" t="inlineStr">
        <is>
          <t>HM STILL WATER 500ML</t>
        </is>
      </c>
      <c r="D83" s="7" t="inlineStr">
        <is>
          <t>Still mineral water, 500ml</t>
        </is>
      </c>
      <c r="E83" s="7" t="inlineStr">
        <is>
          <t>Harbour Market</t>
        </is>
      </c>
      <c r="F83" s="7" t="inlineStr">
        <is>
          <t>Soft Drinks &amp; Water</t>
        </is>
      </c>
      <c r="G83" s="7" t="inlineStr">
        <is>
          <t>Water</t>
        </is>
      </c>
      <c r="H83" s="7" t="inlineStr">
        <is>
          <t>yes</t>
        </is>
      </c>
      <c r="I83" s="7" t="inlineStr">
        <is>
          <t>Plant-based non-core</t>
        </is>
      </c>
      <c r="J83" s="7" t="inlineStr">
        <is>
          <t>Outside the WWF scope</t>
        </is>
      </c>
      <c r="K83" s="7" t="inlineStr">
        <is>
          <t>A</t>
        </is>
      </c>
      <c r="L83" s="7" t="inlineStr">
        <is>
          <t>All ingredients on one side</t>
        </is>
      </c>
      <c r="M83" s="51" t="n">
        <v>0</v>
      </c>
      <c r="N83" s="7" t="inlineStr">
        <is>
          <t>Declared by the retailer</t>
        </is>
      </c>
      <c r="O83" s="54" t="n">
        <v>0</v>
      </c>
      <c r="P83" s="54" t="n">
        <v>0</v>
      </c>
      <c r="Q83" s="7" t="inlineStr">
        <is>
          <t>no</t>
        </is>
      </c>
      <c r="R83" s="7" t="n"/>
      <c r="S83" s="7" t="n"/>
      <c r="T83" s="7" t="n"/>
      <c r="U83" s="7" t="n"/>
      <c r="V83" s="7" t="n"/>
      <c r="W83" s="7" t="inlineStr">
        <is>
          <t>beverage</t>
        </is>
      </c>
      <c r="X83" s="55" t="n">
        <v>1</v>
      </c>
      <c r="Y83" s="50" t="n">
        <v>0.5</v>
      </c>
      <c r="Z83" s="7" t="inlineStr">
        <is>
          <t>declared</t>
        </is>
      </c>
      <c r="AA83" s="19">
        <f>IF(ISBLANK(Welcome!D109),"",Welcome!D109)</f>
        <v/>
      </c>
      <c r="AB83" s="29">
        <f>IF(ISBLANK(Welcome!E109),"",Welcome!E109)</f>
        <v/>
      </c>
      <c r="AC83" s="29">
        <f>IF(N(AB83)&gt;0,N(AB83),N(AA83)*Y83)</f>
        <v/>
      </c>
      <c r="AD83" s="29">
        <f>IF(H83="yes",AC83,0)</f>
        <v/>
      </c>
      <c r="AE83" s="29">
        <f>AD83*N(M83)/100</f>
        <v/>
      </c>
      <c r="AF83" s="29">
        <f>AD83*N(O83)/100</f>
        <v/>
      </c>
      <c r="AG83" s="29">
        <f>AD83*N(P83)/100</f>
        <v/>
      </c>
      <c r="AH83" s="50">
        <f>IF(Q83="yes",AD83/1000,0)</f>
        <v/>
      </c>
      <c r="AI83" s="50">
        <f>IF(S83="FG2",AH83*X83,AH83)</f>
        <v/>
      </c>
    </row>
    <row r="84">
      <c r="A84" s="7" t="inlineStr">
        <is>
          <t>HM00423</t>
        </is>
      </c>
      <c r="B84" s="16" t="inlineStr">
        <is>
          <t>5012345306339</t>
        </is>
      </c>
      <c r="C84" s="7" t="inlineStr">
        <is>
          <t>HM LEEKS 1KG</t>
        </is>
      </c>
      <c r="D84" s="7" t="inlineStr">
        <is>
          <t>Leeks, 1kg</t>
        </is>
      </c>
      <c r="E84" s="7" t="inlineStr">
        <is>
          <t>Harbour Market</t>
        </is>
      </c>
      <c r="F84" s="7" t="inlineStr">
        <is>
          <t>Fruit &amp; Vegetables</t>
        </is>
      </c>
      <c r="G84" s="7" t="inlineStr">
        <is>
          <t>Vegetables</t>
        </is>
      </c>
      <c r="H84" s="7" t="inlineStr">
        <is>
          <t>yes</t>
        </is>
      </c>
      <c r="I84" s="7" t="inlineStr">
        <is>
          <t>Plant-based non-core</t>
        </is>
      </c>
      <c r="J84" s="7" t="inlineStr">
        <is>
          <t>Fruit and vegetables</t>
        </is>
      </c>
      <c r="K84" s="7" t="inlineStr">
        <is>
          <t>B</t>
        </is>
      </c>
      <c r="L84" s="7" t="inlineStr">
        <is>
          <t>Follows the class</t>
        </is>
      </c>
      <c r="M84" s="51" t="n">
        <v>1.6</v>
      </c>
      <c r="N84" s="7" t="inlineStr">
        <is>
          <t>Declared by the retailer</t>
        </is>
      </c>
      <c r="O84" s="54" t="n">
        <v>1.6</v>
      </c>
      <c r="P84" s="54" t="n">
        <v>0</v>
      </c>
      <c r="Q84" s="7" t="inlineStr">
        <is>
          <t>yes</t>
        </is>
      </c>
      <c r="R84" s="7" t="inlineStr">
        <is>
          <t>whole</t>
        </is>
      </c>
      <c r="S84" s="7" t="inlineStr">
        <is>
          <t>FG4</t>
        </is>
      </c>
      <c r="T84" s="7" t="n"/>
      <c r="U84" s="7" t="inlineStr">
        <is>
          <t>plant</t>
        </is>
      </c>
      <c r="V84" s="7" t="n"/>
      <c r="W84" s="7" t="n"/>
      <c r="X84" s="55" t="n">
        <v>1</v>
      </c>
      <c r="Y84" s="50" t="n">
        <v>1</v>
      </c>
      <c r="Z84" s="7" t="inlineStr">
        <is>
          <t>declared</t>
        </is>
      </c>
      <c r="AA84" s="19">
        <f>IF(ISBLANK(Welcome!D110),"",Welcome!D110)</f>
        <v/>
      </c>
      <c r="AB84" s="29">
        <f>IF(ISBLANK(Welcome!E110),"",Welcome!E110)</f>
        <v/>
      </c>
      <c r="AC84" s="29">
        <f>IF(N(AB84)&gt;0,N(AB84),N(AA84)*Y84)</f>
        <v/>
      </c>
      <c r="AD84" s="29">
        <f>IF(H84="yes",AC84,0)</f>
        <v/>
      </c>
      <c r="AE84" s="29">
        <f>AD84*N(M84)/100</f>
        <v/>
      </c>
      <c r="AF84" s="29">
        <f>AD84*N(O84)/100</f>
        <v/>
      </c>
      <c r="AG84" s="29">
        <f>AD84*N(P84)/100</f>
        <v/>
      </c>
      <c r="AH84" s="50">
        <f>IF(Q84="yes",AD84/1000,0)</f>
        <v/>
      </c>
      <c r="AI84" s="50">
        <f>IF(S84="FG2",AH84*X84,AH84)</f>
        <v/>
      </c>
    </row>
    <row r="85">
      <c r="A85" s="7" t="inlineStr">
        <is>
          <t>HM00385</t>
        </is>
      </c>
      <c r="B85" s="16" t="inlineStr">
        <is>
          <t>3012345972864</t>
        </is>
      </c>
      <c r="C85" s="7" t="inlineStr">
        <is>
          <t>TORTILLA WRAPS 6PK 360G BRAMBLECOTE</t>
        </is>
      </c>
      <c r="D85" s="7" t="inlineStr">
        <is>
          <t>Plain tortilla wraps, 6pk 360g</t>
        </is>
      </c>
      <c r="E85" s="7" t="inlineStr">
        <is>
          <t>Bramblecote</t>
        </is>
      </c>
      <c r="F85" s="7" t="inlineStr">
        <is>
          <t>Bakery</t>
        </is>
      </c>
      <c r="G85" s="7" t="inlineStr">
        <is>
          <t>Bread</t>
        </is>
      </c>
      <c r="H85" s="7" t="inlineStr">
        <is>
          <t>yes</t>
        </is>
      </c>
      <c r="I85" s="7" t="inlineStr">
        <is>
          <t>Plant-based non-core</t>
        </is>
      </c>
      <c r="J85" s="7" t="inlineStr">
        <is>
          <t>Refined grains</t>
        </is>
      </c>
      <c r="K85" s="7" t="inlineStr">
        <is>
          <t>A</t>
        </is>
      </c>
      <c r="L85" s="7" t="inlineStr">
        <is>
          <t>All ingredients on one side</t>
        </is>
      </c>
      <c r="M85" s="51" t="n">
        <v>8.4</v>
      </c>
      <c r="N85" s="7" t="inlineStr">
        <is>
          <t>Declared by the retailer</t>
        </is>
      </c>
      <c r="O85" s="54" t="n">
        <v>8.4</v>
      </c>
      <c r="P85" s="54" t="n">
        <v>0</v>
      </c>
      <c r="Q85" s="7" t="inlineStr">
        <is>
          <t>yes</t>
        </is>
      </c>
      <c r="R85" s="7" t="inlineStr">
        <is>
          <t>whole</t>
        </is>
      </c>
      <c r="S85" s="7" t="inlineStr">
        <is>
          <t>FG5</t>
        </is>
      </c>
      <c r="T85" s="7" t="inlineStr">
        <is>
          <t>Refined grain</t>
        </is>
      </c>
      <c r="U85" s="7" t="inlineStr">
        <is>
          <t>plant</t>
        </is>
      </c>
      <c r="V85" s="7" t="n"/>
      <c r="W85" s="7" t="n"/>
      <c r="X85" s="55" t="n">
        <v>1</v>
      </c>
      <c r="Y85" s="50" t="n">
        <v>0.36</v>
      </c>
      <c r="Z85" s="7" t="inlineStr">
        <is>
          <t>declared</t>
        </is>
      </c>
      <c r="AA85" s="19">
        <f>IF(ISBLANK(Welcome!D111),"",Welcome!D111)</f>
        <v/>
      </c>
      <c r="AB85" s="29">
        <f>IF(ISBLANK(Welcome!E111),"",Welcome!E111)</f>
        <v/>
      </c>
      <c r="AC85" s="29">
        <f>IF(N(AB85)&gt;0,N(AB85),N(AA85)*Y85)</f>
        <v/>
      </c>
      <c r="AD85" s="29">
        <f>IF(H85="yes",AC85,0)</f>
        <v/>
      </c>
      <c r="AE85" s="29">
        <f>AD85*N(M85)/100</f>
        <v/>
      </c>
      <c r="AF85" s="29">
        <f>AD85*N(O85)/100</f>
        <v/>
      </c>
      <c r="AG85" s="29">
        <f>AD85*N(P85)/100</f>
        <v/>
      </c>
      <c r="AH85" s="50">
        <f>IF(Q85="yes",AD85/1000,0)</f>
        <v/>
      </c>
      <c r="AI85" s="50">
        <f>IF(S85="FG2",AH85*X85,AH85)</f>
        <v/>
      </c>
    </row>
    <row r="86">
      <c r="A86" s="7" t="inlineStr">
        <is>
          <t>HM00100</t>
        </is>
      </c>
      <c r="B86" s="16" t="inlineStr">
        <is>
          <t>4012345263091</t>
        </is>
      </c>
      <c r="C86" s="7" t="inlineStr">
        <is>
          <t>TARROW CHKN DRUMSTICKS 500G</t>
        </is>
      </c>
      <c r="D86" s="7" t="inlineStr">
        <is>
          <t>Chicken drumsticks, 500g</t>
        </is>
      </c>
      <c r="E86" s="7" t="inlineStr">
        <is>
          <t>Tarrow Farm</t>
        </is>
      </c>
      <c r="F86" s="7" t="inlineStr">
        <is>
          <t>Fresh Meat &amp; Poultry</t>
        </is>
      </c>
      <c r="G86" s="7" t="inlineStr">
        <is>
          <t>Poultry</t>
        </is>
      </c>
      <c r="H86" s="7" t="inlineStr">
        <is>
          <t>yes</t>
        </is>
      </c>
      <c r="I86" s="7" t="inlineStr">
        <is>
          <t>Animal core</t>
        </is>
      </c>
      <c r="J86" s="7" t="inlineStr">
        <is>
          <t>Poultry</t>
        </is>
      </c>
      <c r="K86" s="7" t="inlineStr">
        <is>
          <t>A</t>
        </is>
      </c>
      <c r="L86" s="7" t="inlineStr">
        <is>
          <t>All ingredients on one side</t>
        </is>
      </c>
      <c r="M86" s="51" t="n">
        <v>18.4</v>
      </c>
      <c r="N86" s="7" t="inlineStr">
        <is>
          <t>Declared by the retailer</t>
        </is>
      </c>
      <c r="O86" s="54" t="n">
        <v>0</v>
      </c>
      <c r="P86" s="54" t="n">
        <v>18.4</v>
      </c>
      <c r="Q86" s="7" t="inlineStr">
        <is>
          <t>yes</t>
        </is>
      </c>
      <c r="R86" s="7" t="inlineStr">
        <is>
          <t>whole</t>
        </is>
      </c>
      <c r="S86" s="7" t="inlineStr">
        <is>
          <t>FG1</t>
        </is>
      </c>
      <c r="T86" s="7" t="inlineStr">
        <is>
          <t>Poultry</t>
        </is>
      </c>
      <c r="U86" s="7" t="inlineStr">
        <is>
          <t>animal</t>
        </is>
      </c>
      <c r="V86" s="7" t="n"/>
      <c r="W86" s="7" t="n"/>
      <c r="X86" s="55" t="n">
        <v>1</v>
      </c>
      <c r="Y86" s="50" t="n">
        <v>0.5</v>
      </c>
      <c r="Z86" s="7" t="inlineStr">
        <is>
          <t>declared</t>
        </is>
      </c>
      <c r="AA86" s="19">
        <f>IF(ISBLANK(Welcome!D112),"",Welcome!D112)</f>
        <v/>
      </c>
      <c r="AB86" s="29">
        <f>IF(ISBLANK(Welcome!E112),"",Welcome!E112)</f>
        <v/>
      </c>
      <c r="AC86" s="29">
        <f>IF(N(AB86)&gt;0,N(AB86),N(AA86)*Y86)</f>
        <v/>
      </c>
      <c r="AD86" s="29">
        <f>IF(H86="yes",AC86,0)</f>
        <v/>
      </c>
      <c r="AE86" s="29">
        <f>AD86*N(M86)/100</f>
        <v/>
      </c>
      <c r="AF86" s="29">
        <f>AD86*N(O86)/100</f>
        <v/>
      </c>
      <c r="AG86" s="29">
        <f>AD86*N(P86)/100</f>
        <v/>
      </c>
      <c r="AH86" s="50">
        <f>IF(Q86="yes",AD86/1000,0)</f>
        <v/>
      </c>
      <c r="AI86" s="50">
        <f>IF(S86="FG2",AH86*X86,AH86)</f>
        <v/>
      </c>
    </row>
    <row r="87">
      <c r="A87" s="7" t="inlineStr">
        <is>
          <t>HM00514</t>
        </is>
      </c>
      <c r="B87" s="16" t="inlineStr">
        <is>
          <t>4012345586077</t>
        </is>
      </c>
      <c r="C87" s="7" t="inlineStr">
        <is>
          <t>MILK CHOC DIGESTIVES 400G BRAMBLECOTE</t>
        </is>
      </c>
      <c r="D87" s="7" t="inlineStr">
        <is>
          <t>Milk chocolate digestives, 400g</t>
        </is>
      </c>
      <c r="E87" s="7" t="inlineStr">
        <is>
          <t>Bramblecote</t>
        </is>
      </c>
      <c r="F87" s="7" t="inlineStr">
        <is>
          <t>Breakfast &amp; Snacks</t>
        </is>
      </c>
      <c r="G87" s="7" t="inlineStr">
        <is>
          <t>Biscuits</t>
        </is>
      </c>
      <c r="H87" s="7" t="inlineStr">
        <is>
          <t>yes</t>
        </is>
      </c>
      <c r="I87" s="7" t="inlineStr">
        <is>
          <t>Animal &amp; plant composite</t>
        </is>
      </c>
      <c r="J87" s="7" t="inlineStr">
        <is>
          <t>Discretionary products</t>
        </is>
      </c>
      <c r="K87" s="7" t="inlineStr">
        <is>
          <t>B</t>
        </is>
      </c>
      <c r="L87" s="7" t="inlineStr">
        <is>
          <t>50/50 convention</t>
        </is>
      </c>
      <c r="M87" s="51" t="n">
        <v>6.5</v>
      </c>
      <c r="N87" s="7" t="inlineStr">
        <is>
          <t>Declared by the retailer</t>
        </is>
      </c>
      <c r="O87" s="54" t="n">
        <v>3.25</v>
      </c>
      <c r="P87" s="54" t="n">
        <v>3.25</v>
      </c>
      <c r="Q87" s="7" t="inlineStr">
        <is>
          <t>yes</t>
        </is>
      </c>
      <c r="R87" s="7" t="inlineStr">
        <is>
          <t>whole</t>
        </is>
      </c>
      <c r="S87" s="7" t="inlineStr">
        <is>
          <t>FG7</t>
        </is>
      </c>
      <c r="T87" s="7" t="n"/>
      <c r="U87" s="7" t="inlineStr">
        <is>
          <t>plant</t>
        </is>
      </c>
      <c r="V87" s="7" t="n"/>
      <c r="W87" s="7" t="n"/>
      <c r="X87" s="55" t="n">
        <v>1</v>
      </c>
      <c r="Y87" s="50" t="n">
        <v>0.4</v>
      </c>
      <c r="Z87" s="7" t="inlineStr">
        <is>
          <t>declared</t>
        </is>
      </c>
      <c r="AA87" s="19">
        <f>IF(ISBLANK(Welcome!D113),"",Welcome!D113)</f>
        <v/>
      </c>
      <c r="AB87" s="29">
        <f>IF(ISBLANK(Welcome!E113),"",Welcome!E113)</f>
        <v/>
      </c>
      <c r="AC87" s="29">
        <f>IF(N(AB87)&gt;0,N(AB87),N(AA87)*Y87)</f>
        <v/>
      </c>
      <c r="AD87" s="29">
        <f>IF(H87="yes",AC87,0)</f>
        <v/>
      </c>
      <c r="AE87" s="29">
        <f>AD87*N(M87)/100</f>
        <v/>
      </c>
      <c r="AF87" s="29">
        <f>AD87*N(O87)/100</f>
        <v/>
      </c>
      <c r="AG87" s="29">
        <f>AD87*N(P87)/100</f>
        <v/>
      </c>
      <c r="AH87" s="50">
        <f>IF(Q87="yes",AD87/1000,0)</f>
        <v/>
      </c>
      <c r="AI87" s="50">
        <f>IF(S87="FG2",AH87*X87,AH87)</f>
        <v/>
      </c>
    </row>
    <row r="88">
      <c r="A88" s="7" t="inlineStr">
        <is>
          <t>HM00123</t>
        </is>
      </c>
      <c r="B88" s="16" t="inlineStr">
        <is>
          <t>8712345968526</t>
        </is>
      </c>
      <c r="C88" s="7" t="inlineStr">
        <is>
          <t>WHITE BLOOMER 800G BRAMBLECOTE</t>
        </is>
      </c>
      <c r="D88" s="7" t="inlineStr">
        <is>
          <t>White bloomer, 800g</t>
        </is>
      </c>
      <c r="E88" s="7" t="inlineStr">
        <is>
          <t>Bramblecote</t>
        </is>
      </c>
      <c r="F88" s="7" t="inlineStr">
        <is>
          <t>Bakery</t>
        </is>
      </c>
      <c r="G88" s="7" t="inlineStr">
        <is>
          <t>Bread</t>
        </is>
      </c>
      <c r="H88" s="7" t="inlineStr">
        <is>
          <t>yes</t>
        </is>
      </c>
      <c r="I88" s="7" t="inlineStr">
        <is>
          <t>Plant-based non-core</t>
        </is>
      </c>
      <c r="J88" s="7" t="inlineStr">
        <is>
          <t>Refined grains</t>
        </is>
      </c>
      <c r="K88" s="7" t="inlineStr">
        <is>
          <t>A</t>
        </is>
      </c>
      <c r="L88" s="7" t="inlineStr">
        <is>
          <t>All ingredients on one side</t>
        </is>
      </c>
      <c r="M88" s="51" t="n">
        <v>8.1</v>
      </c>
      <c r="N88" s="7" t="inlineStr">
        <is>
          <t>Declared by the retailer</t>
        </is>
      </c>
      <c r="O88" s="54" t="n">
        <v>8.1</v>
      </c>
      <c r="P88" s="54" t="n">
        <v>0</v>
      </c>
      <c r="Q88" s="7" t="inlineStr">
        <is>
          <t>yes</t>
        </is>
      </c>
      <c r="R88" s="7" t="inlineStr">
        <is>
          <t>whole</t>
        </is>
      </c>
      <c r="S88" s="7" t="inlineStr">
        <is>
          <t>FG5</t>
        </is>
      </c>
      <c r="T88" s="7" t="inlineStr">
        <is>
          <t>Refined grain</t>
        </is>
      </c>
      <c r="U88" s="7" t="inlineStr">
        <is>
          <t>plant</t>
        </is>
      </c>
      <c r="V88" s="7" t="n"/>
      <c r="W88" s="7" t="n"/>
      <c r="X88" s="55" t="n">
        <v>1</v>
      </c>
      <c r="Y88" s="50" t="n">
        <v>0.8</v>
      </c>
      <c r="Z88" s="7" t="inlineStr">
        <is>
          <t>label</t>
        </is>
      </c>
      <c r="AA88" s="19">
        <f>IF(ISBLANK(Welcome!D114),"",Welcome!D114)</f>
        <v/>
      </c>
      <c r="AB88" s="29">
        <f>IF(ISBLANK(Welcome!E114),"",Welcome!E114)</f>
        <v/>
      </c>
      <c r="AC88" s="29">
        <f>IF(N(AB88)&gt;0,N(AB88),N(AA88)*Y88)</f>
        <v/>
      </c>
      <c r="AD88" s="29">
        <f>IF(H88="yes",AC88,0)</f>
        <v/>
      </c>
      <c r="AE88" s="29">
        <f>AD88*N(M88)/100</f>
        <v/>
      </c>
      <c r="AF88" s="29">
        <f>AD88*N(O88)/100</f>
        <v/>
      </c>
      <c r="AG88" s="29">
        <f>AD88*N(P88)/100</f>
        <v/>
      </c>
      <c r="AH88" s="50">
        <f>IF(Q88="yes",AD88/1000,0)</f>
        <v/>
      </c>
      <c r="AI88" s="50">
        <f>IF(S88="FG2",AH88*X88,AH88)</f>
        <v/>
      </c>
    </row>
    <row r="89">
      <c r="A89" s="7" t="inlineStr">
        <is>
          <t>HM00274</t>
        </is>
      </c>
      <c r="B89" s="16" t="inlineStr">
        <is>
          <t>8712345077167</t>
        </is>
      </c>
      <c r="C89" s="7" t="inlineStr">
        <is>
          <t>HM BF MINCE 5% 750G</t>
        </is>
      </c>
      <c r="D89" s="7" t="inlineStr">
        <is>
          <t>Beef mince, 5% fat, 750g</t>
        </is>
      </c>
      <c r="E89" s="7" t="inlineStr">
        <is>
          <t>Harbour Market</t>
        </is>
      </c>
      <c r="F89" s="7" t="inlineStr">
        <is>
          <t>Fresh Meat &amp; Poultry</t>
        </is>
      </c>
      <c r="G89" s="7" t="inlineStr">
        <is>
          <t>Beef</t>
        </is>
      </c>
      <c r="H89" s="7" t="inlineStr">
        <is>
          <t>yes</t>
        </is>
      </c>
      <c r="I89" s="7" t="inlineStr">
        <is>
          <t>Animal core</t>
        </is>
      </c>
      <c r="J89" s="7" t="inlineStr">
        <is>
          <t>Red meat</t>
        </is>
      </c>
      <c r="K89" s="7" t="inlineStr">
        <is>
          <t>B</t>
        </is>
      </c>
      <c r="L89" s="7" t="inlineStr">
        <is>
          <t>Follows the class</t>
        </is>
      </c>
      <c r="M89" s="51" t="n">
        <v>21.3</v>
      </c>
      <c r="N89" s="7" t="inlineStr">
        <is>
          <t>Altera reference base</t>
        </is>
      </c>
      <c r="O89" s="54" t="n">
        <v>0</v>
      </c>
      <c r="P89" s="54" t="n">
        <v>21.3</v>
      </c>
      <c r="Q89" s="7" t="inlineStr">
        <is>
          <t>yes</t>
        </is>
      </c>
      <c r="R89" s="7" t="inlineStr">
        <is>
          <t>whole</t>
        </is>
      </c>
      <c r="S89" s="7" t="inlineStr">
        <is>
          <t>FG1</t>
        </is>
      </c>
      <c r="T89" s="7" t="inlineStr">
        <is>
          <t>Red meat</t>
        </is>
      </c>
      <c r="U89" s="7" t="inlineStr">
        <is>
          <t>animal</t>
        </is>
      </c>
      <c r="V89" s="7" t="n"/>
      <c r="W89" s="7" t="n"/>
      <c r="X89" s="55" t="n">
        <v>1</v>
      </c>
      <c r="Y89" s="50" t="n">
        <v>0.75</v>
      </c>
      <c r="Z89" s="7" t="inlineStr">
        <is>
          <t>declared</t>
        </is>
      </c>
      <c r="AA89" s="19">
        <f>IF(ISBLANK(Welcome!D115),"",Welcome!D115)</f>
        <v/>
      </c>
      <c r="AB89" s="29">
        <f>IF(ISBLANK(Welcome!E115),"",Welcome!E115)</f>
        <v/>
      </c>
      <c r="AC89" s="29">
        <f>IF(N(AB89)&gt;0,N(AB89),N(AA89)*Y89)</f>
        <v/>
      </c>
      <c r="AD89" s="29">
        <f>IF(H89="yes",AC89,0)</f>
        <v/>
      </c>
      <c r="AE89" s="29">
        <f>AD89*N(M89)/100</f>
        <v/>
      </c>
      <c r="AF89" s="29">
        <f>AD89*N(O89)/100</f>
        <v/>
      </c>
      <c r="AG89" s="29">
        <f>AD89*N(P89)/100</f>
        <v/>
      </c>
      <c r="AH89" s="50">
        <f>IF(Q89="yes",AD89/1000,0)</f>
        <v/>
      </c>
      <c r="AI89" s="50">
        <f>IF(S89="FG2",AH89*X89,AH89)</f>
        <v/>
      </c>
    </row>
    <row r="90">
      <c r="A90" s="7" t="inlineStr">
        <is>
          <t>HM00702</t>
        </is>
      </c>
      <c r="B90" s="16" t="inlineStr">
        <is>
          <t>4012345936698</t>
        </is>
      </c>
      <c r="C90" s="7" t="inlineStr">
        <is>
          <t>HM LACTOSE FREE MILK 1L</t>
        </is>
      </c>
      <c r="D90" s="7" t="inlineStr">
        <is>
          <t>Lactose-free semi-skimmed milk, 1l</t>
        </is>
      </c>
      <c r="E90" s="7" t="inlineStr">
        <is>
          <t>Harbour Market</t>
        </is>
      </c>
      <c r="F90" s="7" t="inlineStr">
        <is>
          <t>Dairy &amp; Eggs</t>
        </is>
      </c>
      <c r="G90" s="7" t="inlineStr">
        <is>
          <t>Milk</t>
        </is>
      </c>
      <c r="H90" s="7" t="inlineStr">
        <is>
          <t>yes</t>
        </is>
      </c>
      <c r="I90" s="7" t="inlineStr">
        <is>
          <t>Animal core</t>
        </is>
      </c>
      <c r="J90" s="7" t="inlineStr">
        <is>
          <t>Milk, yoghurt and cream</t>
        </is>
      </c>
      <c r="K90" s="7" t="inlineStr">
        <is>
          <t>A</t>
        </is>
      </c>
      <c r="L90" s="7" t="inlineStr">
        <is>
          <t>All ingredients on one side</t>
        </is>
      </c>
      <c r="M90" s="51" t="n">
        <v>3.5</v>
      </c>
      <c r="N90" s="7" t="inlineStr">
        <is>
          <t>National food table (CIQUAL in France)</t>
        </is>
      </c>
      <c r="O90" s="54" t="n">
        <v>0</v>
      </c>
      <c r="P90" s="54" t="n">
        <v>3.5</v>
      </c>
      <c r="Q90" s="7" t="inlineStr">
        <is>
          <t>yes</t>
        </is>
      </c>
      <c r="R90" s="7" t="inlineStr">
        <is>
          <t>whole</t>
        </is>
      </c>
      <c r="S90" s="7" t="inlineStr">
        <is>
          <t>FG2</t>
        </is>
      </c>
      <c r="T90" s="7" t="inlineStr">
        <is>
          <t>Dairy</t>
        </is>
      </c>
      <c r="U90" s="7" t="inlineStr">
        <is>
          <t>animal</t>
        </is>
      </c>
      <c r="V90" s="7" t="n"/>
      <c r="W90" s="7" t="n"/>
      <c r="X90" s="55" t="n">
        <v>1</v>
      </c>
      <c r="Y90" s="50" t="n">
        <v>1.03</v>
      </c>
      <c r="Z90" s="7" t="inlineStr">
        <is>
          <t>label</t>
        </is>
      </c>
      <c r="AA90" s="19">
        <f>IF(ISBLANK(Welcome!D116),"",Welcome!D116)</f>
        <v/>
      </c>
      <c r="AB90" s="29">
        <f>IF(ISBLANK(Welcome!E116),"",Welcome!E116)</f>
        <v/>
      </c>
      <c r="AC90" s="29">
        <f>IF(N(AB90)&gt;0,N(AB90),N(AA90)*Y90)</f>
        <v/>
      </c>
      <c r="AD90" s="29">
        <f>IF(H90="yes",AC90,0)</f>
        <v/>
      </c>
      <c r="AE90" s="29">
        <f>AD90*N(M90)/100</f>
        <v/>
      </c>
      <c r="AF90" s="29">
        <f>AD90*N(O90)/100</f>
        <v/>
      </c>
      <c r="AG90" s="29">
        <f>AD90*N(P90)/100</f>
        <v/>
      </c>
      <c r="AH90" s="50">
        <f>IF(Q90="yes",AD90/1000,0)</f>
        <v/>
      </c>
      <c r="AI90" s="50">
        <f>IF(S90="FG2",AH90*X90,AH90)</f>
        <v/>
      </c>
    </row>
    <row r="91">
      <c r="A91" s="7" t="inlineStr">
        <is>
          <t>HM00275</t>
        </is>
      </c>
      <c r="B91" s="16" t="inlineStr">
        <is>
          <t>3012345163194</t>
        </is>
      </c>
      <c r="C91" s="7" t="inlineStr">
        <is>
          <t>SOLVANE OAT DRINK 1L</t>
        </is>
      </c>
      <c r="D91" s="7" t="inlineStr">
        <is>
          <t>Oat drink, 1l</t>
        </is>
      </c>
      <c r="E91" s="7" t="inlineStr">
        <is>
          <t>Solvane</t>
        </is>
      </c>
      <c r="F91" s="7" t="inlineStr">
        <is>
          <t>Plant-Based</t>
        </is>
      </c>
      <c r="G91" s="7" t="inlineStr">
        <is>
          <t>Plant Drinks</t>
        </is>
      </c>
      <c r="H91" s="7" t="inlineStr">
        <is>
          <t>yes</t>
        </is>
      </c>
      <c r="I91" s="7" t="inlineStr">
        <is>
          <t>Plant-based core</t>
        </is>
      </c>
      <c r="J91" s="7" t="inlineStr">
        <is>
          <t>Plant-based dairy alternatives</t>
        </is>
      </c>
      <c r="K91" s="7" t="inlineStr">
        <is>
          <t>A</t>
        </is>
      </c>
      <c r="L91" s="7" t="inlineStr">
        <is>
          <t>All ingredients on one side</t>
        </is>
      </c>
      <c r="M91" s="51" t="n">
        <v>1</v>
      </c>
      <c r="N91" s="7" t="inlineStr">
        <is>
          <t>Open Food Facts and NEVO, by EAN</t>
        </is>
      </c>
      <c r="O91" s="54" t="n">
        <v>1</v>
      </c>
      <c r="P91" s="54" t="n">
        <v>0</v>
      </c>
      <c r="Q91" s="7" t="inlineStr">
        <is>
          <t>yes</t>
        </is>
      </c>
      <c r="R91" s="7" t="inlineStr">
        <is>
          <t>whole</t>
        </is>
      </c>
      <c r="S91" s="7" t="inlineStr">
        <is>
          <t>FG2</t>
        </is>
      </c>
      <c r="T91" s="7" t="inlineStr">
        <is>
          <t>Dairy alternatives</t>
        </is>
      </c>
      <c r="U91" s="7" t="inlineStr">
        <is>
          <t>plant</t>
        </is>
      </c>
      <c r="V91" s="7" t="n"/>
      <c r="W91" s="7" t="n"/>
      <c r="X91" s="55" t="n">
        <v>1</v>
      </c>
      <c r="Y91" s="50" t="n">
        <v>1.03</v>
      </c>
      <c r="Z91" s="7" t="inlineStr">
        <is>
          <t>declared</t>
        </is>
      </c>
      <c r="AA91" s="19">
        <f>IF(ISBLANK(Welcome!D117),"",Welcome!D117)</f>
        <v/>
      </c>
      <c r="AB91" s="29">
        <f>IF(ISBLANK(Welcome!E117),"",Welcome!E117)</f>
        <v/>
      </c>
      <c r="AC91" s="29">
        <f>IF(N(AB91)&gt;0,N(AB91),N(AA91)*Y91)</f>
        <v/>
      </c>
      <c r="AD91" s="29">
        <f>IF(H91="yes",AC91,0)</f>
        <v/>
      </c>
      <c r="AE91" s="29">
        <f>AD91*N(M91)/100</f>
        <v/>
      </c>
      <c r="AF91" s="29">
        <f>AD91*N(O91)/100</f>
        <v/>
      </c>
      <c r="AG91" s="29">
        <f>AD91*N(P91)/100</f>
        <v/>
      </c>
      <c r="AH91" s="50">
        <f>IF(Q91="yes",AD91/1000,0)</f>
        <v/>
      </c>
      <c r="AI91" s="50">
        <f>IF(S91="FG2",AH91*X91,AH91)</f>
        <v/>
      </c>
    </row>
    <row r="92">
      <c r="A92" s="7" t="inlineStr">
        <is>
          <t>HM00539</t>
        </is>
      </c>
      <c r="B92" s="16" t="inlineStr">
        <is>
          <t>8712345935467</t>
        </is>
      </c>
      <c r="C92" s="7" t="inlineStr">
        <is>
          <t>HM BROWN BASMATI 1KG</t>
        </is>
      </c>
      <c r="D92" s="7" t="inlineStr">
        <is>
          <t>Brown basmati rice, 1kg</t>
        </is>
      </c>
      <c r="E92" s="7" t="inlineStr">
        <is>
          <t>Harbour Market</t>
        </is>
      </c>
      <c r="F92" s="7" t="inlineStr">
        <is>
          <t>Grocery</t>
        </is>
      </c>
      <c r="G92" s="7" t="inlineStr">
        <is>
          <t>Rice &amp; Grains</t>
        </is>
      </c>
      <c r="H92" s="7" t="inlineStr">
        <is>
          <t>yes</t>
        </is>
      </c>
      <c r="I92" s="7" t="inlineStr">
        <is>
          <t>Plant-based non-core</t>
        </is>
      </c>
      <c r="J92" s="7" t="inlineStr">
        <is>
          <t>Whole grains</t>
        </is>
      </c>
      <c r="K92" s="7" t="inlineStr">
        <is>
          <t>A</t>
        </is>
      </c>
      <c r="L92" s="7" t="inlineStr">
        <is>
          <t>All ingredients on one side</t>
        </is>
      </c>
      <c r="M92" s="51" t="n">
        <v>7.9</v>
      </c>
      <c r="N92" s="7" t="inlineStr">
        <is>
          <t>Declared by the retailer</t>
        </is>
      </c>
      <c r="O92" s="54" t="n">
        <v>7.9</v>
      </c>
      <c r="P92" s="54" t="n">
        <v>0</v>
      </c>
      <c r="Q92" s="7" t="inlineStr">
        <is>
          <t>yes</t>
        </is>
      </c>
      <c r="R92" s="7" t="inlineStr">
        <is>
          <t>whole</t>
        </is>
      </c>
      <c r="S92" s="7" t="inlineStr">
        <is>
          <t>FG5</t>
        </is>
      </c>
      <c r="T92" s="7" t="inlineStr">
        <is>
          <t>Whole grain</t>
        </is>
      </c>
      <c r="U92" s="7" t="inlineStr">
        <is>
          <t>plant</t>
        </is>
      </c>
      <c r="V92" s="7" t="n"/>
      <c r="W92" s="7" t="n"/>
      <c r="X92" s="55" t="n">
        <v>1</v>
      </c>
      <c r="Y92" s="50" t="n">
        <v>1</v>
      </c>
      <c r="Z92" s="7" t="inlineStr">
        <is>
          <t>declared</t>
        </is>
      </c>
      <c r="AA92" s="19">
        <f>IF(ISBLANK(Welcome!D118),"",Welcome!D118)</f>
        <v/>
      </c>
      <c r="AB92" s="29">
        <f>IF(ISBLANK(Welcome!E118),"",Welcome!E118)</f>
        <v/>
      </c>
      <c r="AC92" s="29">
        <f>IF(N(AB92)&gt;0,N(AB92),N(AA92)*Y92)</f>
        <v/>
      </c>
      <c r="AD92" s="29">
        <f>IF(H92="yes",AC92,0)</f>
        <v/>
      </c>
      <c r="AE92" s="29">
        <f>AD92*N(M92)/100</f>
        <v/>
      </c>
      <c r="AF92" s="29">
        <f>AD92*N(O92)/100</f>
        <v/>
      </c>
      <c r="AG92" s="29">
        <f>AD92*N(P92)/100</f>
        <v/>
      </c>
      <c r="AH92" s="50">
        <f>IF(Q92="yes",AD92/1000,0)</f>
        <v/>
      </c>
      <c r="AI92" s="50">
        <f>IF(S92="FG2",AH92*X92,AH92)</f>
        <v/>
      </c>
    </row>
    <row r="93">
      <c r="A93" s="7" t="inlineStr">
        <is>
          <t>HM00469</t>
        </is>
      </c>
      <c r="B93" s="16" t="inlineStr">
        <is>
          <t>3012345993692</t>
        </is>
      </c>
      <c r="C93" s="7" t="inlineStr">
        <is>
          <t>HM BROWN ONIONS 1KG</t>
        </is>
      </c>
      <c r="D93" s="7" t="inlineStr">
        <is>
          <t>Brown onions, 1kg</t>
        </is>
      </c>
      <c r="E93" s="7" t="inlineStr">
        <is>
          <t>Harbour Market</t>
        </is>
      </c>
      <c r="F93" s="7" t="inlineStr">
        <is>
          <t>Fruit &amp; Vegetables</t>
        </is>
      </c>
      <c r="G93" s="7" t="inlineStr">
        <is>
          <t>Vegetables</t>
        </is>
      </c>
      <c r="H93" s="7" t="inlineStr">
        <is>
          <t>yes</t>
        </is>
      </c>
      <c r="I93" s="7" t="inlineStr">
        <is>
          <t>Plant-based non-core</t>
        </is>
      </c>
      <c r="J93" s="7" t="inlineStr">
        <is>
          <t>Fruit and vegetables</t>
        </is>
      </c>
      <c r="K93" s="7" t="inlineStr">
        <is>
          <t>B</t>
        </is>
      </c>
      <c r="L93" s="7" t="inlineStr">
        <is>
          <t>Follows the class</t>
        </is>
      </c>
      <c r="M93" s="51" t="n">
        <v>1</v>
      </c>
      <c r="N93" s="7" t="inlineStr">
        <is>
          <t>Declared by the retailer</t>
        </is>
      </c>
      <c r="O93" s="54" t="n">
        <v>1</v>
      </c>
      <c r="P93" s="54" t="n">
        <v>0</v>
      </c>
      <c r="Q93" s="7" t="inlineStr">
        <is>
          <t>yes</t>
        </is>
      </c>
      <c r="R93" s="7" t="inlineStr">
        <is>
          <t>whole</t>
        </is>
      </c>
      <c r="S93" s="7" t="inlineStr">
        <is>
          <t>FG4</t>
        </is>
      </c>
      <c r="T93" s="7" t="n"/>
      <c r="U93" s="7" t="inlineStr">
        <is>
          <t>plant</t>
        </is>
      </c>
      <c r="V93" s="7" t="n"/>
      <c r="W93" s="7" t="n"/>
      <c r="X93" s="55" t="n">
        <v>1</v>
      </c>
      <c r="Y93" s="50" t="n">
        <v>1</v>
      </c>
      <c r="Z93" s="7" t="inlineStr">
        <is>
          <t>label</t>
        </is>
      </c>
      <c r="AA93" s="19">
        <f>IF(ISBLANK(Welcome!D119),"",Welcome!D119)</f>
        <v/>
      </c>
      <c r="AB93" s="29">
        <f>IF(ISBLANK(Welcome!E119),"",Welcome!E119)</f>
        <v/>
      </c>
      <c r="AC93" s="29">
        <f>IF(N(AB93)&gt;0,N(AB93),N(AA93)*Y93)</f>
        <v/>
      </c>
      <c r="AD93" s="29">
        <f>IF(H93="yes",AC93,0)</f>
        <v/>
      </c>
      <c r="AE93" s="29">
        <f>AD93*N(M93)/100</f>
        <v/>
      </c>
      <c r="AF93" s="29">
        <f>AD93*N(O93)/100</f>
        <v/>
      </c>
      <c r="AG93" s="29">
        <f>AD93*N(P93)/100</f>
        <v/>
      </c>
      <c r="AH93" s="50">
        <f>IF(Q93="yes",AD93/1000,0)</f>
        <v/>
      </c>
      <c r="AI93" s="50">
        <f>IF(S93="FG2",AH93*X93,AH93)</f>
        <v/>
      </c>
    </row>
    <row r="94">
      <c r="A94" s="7" t="inlineStr">
        <is>
          <t>HM00551</t>
        </is>
      </c>
      <c r="B94" s="16" t="inlineStr">
        <is>
          <t>2209820707930</t>
        </is>
      </c>
      <c r="C94" s="7" t="inlineStr">
        <is>
          <t>HM APPLES GALA LOOSE</t>
        </is>
      </c>
      <c r="D94" s="7" t="inlineStr">
        <is>
          <t>Gala apples</t>
        </is>
      </c>
      <c r="E94" s="7" t="inlineStr">
        <is>
          <t>Harbour Market</t>
        </is>
      </c>
      <c r="F94" s="7" t="inlineStr">
        <is>
          <t>Fruit &amp; Vegetables</t>
        </is>
      </c>
      <c r="G94" s="7" t="inlineStr">
        <is>
          <t>Fruit</t>
        </is>
      </c>
      <c r="H94" s="7" t="inlineStr">
        <is>
          <t>yes</t>
        </is>
      </c>
      <c r="I94" s="7" t="inlineStr">
        <is>
          <t>Plant-based non-core</t>
        </is>
      </c>
      <c r="J94" s="7" t="inlineStr">
        <is>
          <t>Fruit and vegetables</t>
        </is>
      </c>
      <c r="K94" s="7" t="inlineStr">
        <is>
          <t>B</t>
        </is>
      </c>
      <c r="L94" s="7" t="inlineStr">
        <is>
          <t>Follows the class</t>
        </is>
      </c>
      <c r="M94" s="51" t="n">
        <v>0.29</v>
      </c>
      <c r="N94" s="7" t="inlineStr">
        <is>
          <t>Declared by the retailer</t>
        </is>
      </c>
      <c r="O94" s="54" t="n">
        <v>0.29</v>
      </c>
      <c r="P94" s="54" t="n">
        <v>0</v>
      </c>
      <c r="Q94" s="7" t="inlineStr">
        <is>
          <t>yes</t>
        </is>
      </c>
      <c r="R94" s="7" t="inlineStr">
        <is>
          <t>whole</t>
        </is>
      </c>
      <c r="S94" s="7" t="inlineStr">
        <is>
          <t>FG4</t>
        </is>
      </c>
      <c r="T94" s="7" t="n"/>
      <c r="U94" s="7" t="inlineStr">
        <is>
          <t>plant</t>
        </is>
      </c>
      <c r="V94" s="7" t="n"/>
      <c r="W94" s="7" t="n"/>
      <c r="X94" s="55" t="n">
        <v>1</v>
      </c>
      <c r="Y94" s="50" t="n">
        <v>1</v>
      </c>
      <c r="Z94" s="7" t="inlineStr">
        <is>
          <t>variable</t>
        </is>
      </c>
      <c r="AA94" s="19">
        <f>IF(ISBLANK(Welcome!D120),"",Welcome!D120)</f>
        <v/>
      </c>
      <c r="AB94" s="29">
        <f>IF(ISBLANK(Welcome!E120),"",Welcome!E120)</f>
        <v/>
      </c>
      <c r="AC94" s="29">
        <f>IF(N(AB94)&gt;0,N(AB94),N(AA94)*Y94)</f>
        <v/>
      </c>
      <c r="AD94" s="29">
        <f>IF(H94="yes",AC94,0)</f>
        <v/>
      </c>
      <c r="AE94" s="29">
        <f>AD94*N(M94)/100</f>
        <v/>
      </c>
      <c r="AF94" s="29">
        <f>AD94*N(O94)/100</f>
        <v/>
      </c>
      <c r="AG94" s="29">
        <f>AD94*N(P94)/100</f>
        <v/>
      </c>
      <c r="AH94" s="50">
        <f>IF(Q94="yes",AD94/1000,0)</f>
        <v/>
      </c>
      <c r="AI94" s="50">
        <f>IF(S94="FG2",AH94*X94,AH94)</f>
        <v/>
      </c>
    </row>
    <row r="95">
      <c r="A95" s="7" t="inlineStr">
        <is>
          <t>HM00036</t>
        </is>
      </c>
      <c r="B95" s="16" t="inlineStr">
        <is>
          <t>5012345424200</t>
        </is>
      </c>
      <c r="C95" s="7" t="inlineStr">
        <is>
          <t>ORVALIS SPAGHETTI 3KG</t>
        </is>
      </c>
      <c r="D95" s="7" t="inlineStr">
        <is>
          <t>Spaghetti, 3kg</t>
        </is>
      </c>
      <c r="E95" s="7" t="inlineStr">
        <is>
          <t>Orvalis</t>
        </is>
      </c>
      <c r="F95" s="7" t="inlineStr">
        <is>
          <t>Grocery</t>
        </is>
      </c>
      <c r="G95" s="7" t="inlineStr">
        <is>
          <t>Pasta</t>
        </is>
      </c>
      <c r="H95" s="7" t="inlineStr">
        <is>
          <t>yes</t>
        </is>
      </c>
      <c r="I95" s="7" t="inlineStr">
        <is>
          <t>Plant-based non-core</t>
        </is>
      </c>
      <c r="J95" s="7" t="inlineStr">
        <is>
          <t>Refined grains</t>
        </is>
      </c>
      <c r="K95" s="7" t="inlineStr">
        <is>
          <t>A</t>
        </is>
      </c>
      <c r="L95" s="7" t="inlineStr">
        <is>
          <t>All ingredients on one side</t>
        </is>
      </c>
      <c r="M95" s="51" t="n">
        <v>11.9</v>
      </c>
      <c r="N95" s="7" t="inlineStr">
        <is>
          <t>Median of the family</t>
        </is>
      </c>
      <c r="O95" s="54" t="n">
        <v>11.9</v>
      </c>
      <c r="P95" s="54" t="n">
        <v>0</v>
      </c>
      <c r="Q95" s="7" t="inlineStr">
        <is>
          <t>yes</t>
        </is>
      </c>
      <c r="R95" s="7" t="inlineStr">
        <is>
          <t>whole</t>
        </is>
      </c>
      <c r="S95" s="7" t="inlineStr">
        <is>
          <t>FG5</t>
        </is>
      </c>
      <c r="T95" s="7" t="inlineStr">
        <is>
          <t>Refined grain</t>
        </is>
      </c>
      <c r="U95" s="7" t="inlineStr">
        <is>
          <t>plant</t>
        </is>
      </c>
      <c r="V95" s="7" t="n"/>
      <c r="W95" s="7" t="n"/>
      <c r="X95" s="55" t="n">
        <v>1</v>
      </c>
      <c r="Y95" s="50" t="n">
        <v>3</v>
      </c>
      <c r="Z95" s="7" t="inlineStr">
        <is>
          <t>label</t>
        </is>
      </c>
      <c r="AA95" s="19">
        <f>IF(ISBLANK(Welcome!D121),"",Welcome!D121)</f>
        <v/>
      </c>
      <c r="AB95" s="29">
        <f>IF(ISBLANK(Welcome!E121),"",Welcome!E121)</f>
        <v/>
      </c>
      <c r="AC95" s="29">
        <f>IF(N(AB95)&gt;0,N(AB95),N(AA95)*Y95)</f>
        <v/>
      </c>
      <c r="AD95" s="29">
        <f>IF(H95="yes",AC95,0)</f>
        <v/>
      </c>
      <c r="AE95" s="29">
        <f>AD95*N(M95)/100</f>
        <v/>
      </c>
      <c r="AF95" s="29">
        <f>AD95*N(O95)/100</f>
        <v/>
      </c>
      <c r="AG95" s="29">
        <f>AD95*N(P95)/100</f>
        <v/>
      </c>
      <c r="AH95" s="50">
        <f>IF(Q95="yes",AD95/1000,0)</f>
        <v/>
      </c>
      <c r="AI95" s="50">
        <f>IF(S95="FG2",AH95*X95,AH95)</f>
        <v/>
      </c>
    </row>
    <row r="96">
      <c r="A96" s="7" t="inlineStr">
        <is>
          <t>HM00741</t>
        </is>
      </c>
      <c r="B96" s="16" t="inlineStr">
        <is>
          <t>5012345277363</t>
        </is>
      </c>
      <c r="C96" s="7" t="inlineStr">
        <is>
          <t>HM LONG GRAIN RICE 2KG</t>
        </is>
      </c>
      <c r="D96" s="7" t="inlineStr">
        <is>
          <t>Long-grain rice, 2kg</t>
        </is>
      </c>
      <c r="E96" s="7" t="inlineStr">
        <is>
          <t>Harbour Market</t>
        </is>
      </c>
      <c r="F96" s="7" t="inlineStr">
        <is>
          <t>Grocery</t>
        </is>
      </c>
      <c r="G96" s="7" t="inlineStr">
        <is>
          <t>Rice &amp; Grains</t>
        </is>
      </c>
      <c r="H96" s="7" t="inlineStr">
        <is>
          <t>yes</t>
        </is>
      </c>
      <c r="I96" s="7" t="inlineStr">
        <is>
          <t>Plant-based non-core</t>
        </is>
      </c>
      <c r="J96" s="7" t="inlineStr">
        <is>
          <t>Refined grains</t>
        </is>
      </c>
      <c r="K96" s="7" t="inlineStr">
        <is>
          <t>A</t>
        </is>
      </c>
      <c r="L96" s="7" t="inlineStr">
        <is>
          <t>All ingredients on one side</t>
        </is>
      </c>
      <c r="M96" s="51" t="n">
        <v>7.1</v>
      </c>
      <c r="N96" s="7" t="inlineStr">
        <is>
          <t>Declared by the retailer</t>
        </is>
      </c>
      <c r="O96" s="54" t="n">
        <v>7.1</v>
      </c>
      <c r="P96" s="54" t="n">
        <v>0</v>
      </c>
      <c r="Q96" s="7" t="inlineStr">
        <is>
          <t>yes</t>
        </is>
      </c>
      <c r="R96" s="7" t="inlineStr">
        <is>
          <t>whole</t>
        </is>
      </c>
      <c r="S96" s="7" t="inlineStr">
        <is>
          <t>FG5</t>
        </is>
      </c>
      <c r="T96" s="7" t="inlineStr">
        <is>
          <t>Refined grain</t>
        </is>
      </c>
      <c r="U96" s="7" t="inlineStr">
        <is>
          <t>plant</t>
        </is>
      </c>
      <c r="V96" s="7" t="n"/>
      <c r="W96" s="7" t="n"/>
      <c r="X96" s="55" t="n">
        <v>1</v>
      </c>
      <c r="Y96" s="50" t="n">
        <v>2</v>
      </c>
      <c r="Z96" s="7" t="inlineStr">
        <is>
          <t>declared</t>
        </is>
      </c>
      <c r="AA96" s="19">
        <f>IF(ISBLANK(Welcome!D122),"",Welcome!D122)</f>
        <v/>
      </c>
      <c r="AB96" s="29">
        <f>IF(ISBLANK(Welcome!E122),"",Welcome!E122)</f>
        <v/>
      </c>
      <c r="AC96" s="29">
        <f>IF(N(AB96)&gt;0,N(AB96),N(AA96)*Y96)</f>
        <v/>
      </c>
      <c r="AD96" s="29">
        <f>IF(H96="yes",AC96,0)</f>
        <v/>
      </c>
      <c r="AE96" s="29">
        <f>AD96*N(M96)/100</f>
        <v/>
      </c>
      <c r="AF96" s="29">
        <f>AD96*N(O96)/100</f>
        <v/>
      </c>
      <c r="AG96" s="29">
        <f>AD96*N(P96)/100</f>
        <v/>
      </c>
      <c r="AH96" s="50">
        <f>IF(Q96="yes",AD96/1000,0)</f>
        <v/>
      </c>
      <c r="AI96" s="50">
        <f>IF(S96="FG2",AH96*X96,AH96)</f>
        <v/>
      </c>
    </row>
    <row r="97">
      <c r="A97" s="7" t="inlineStr">
        <is>
          <t>HM00595</t>
        </is>
      </c>
      <c r="B97" s="16" t="inlineStr">
        <is>
          <t>5012345053103</t>
        </is>
      </c>
      <c r="C97" s="7" t="inlineStr">
        <is>
          <t>HM PASSATA 4X400G</t>
        </is>
      </c>
      <c r="D97" s="7" t="inlineStr">
        <is>
          <t>Sieved tomatoes (passata), 4x400g</t>
        </is>
      </c>
      <c r="E97" s="7" t="inlineStr">
        <is>
          <t>Harbour Market</t>
        </is>
      </c>
      <c r="F97" s="7" t="inlineStr">
        <is>
          <t>Grocery</t>
        </is>
      </c>
      <c r="G97" s="7" t="inlineStr">
        <is>
          <t>Canned Vegetables</t>
        </is>
      </c>
      <c r="H97" s="7" t="inlineStr">
        <is>
          <t>yes</t>
        </is>
      </c>
      <c r="I97" s="7" t="inlineStr">
        <is>
          <t>Plant-based non-core</t>
        </is>
      </c>
      <c r="J97" s="7" t="inlineStr">
        <is>
          <t>Fruit and vegetables</t>
        </is>
      </c>
      <c r="K97" s="7" t="inlineStr">
        <is>
          <t>B</t>
        </is>
      </c>
      <c r="L97" s="7" t="inlineStr">
        <is>
          <t>Follows the class</t>
        </is>
      </c>
      <c r="M97" s="51" t="n">
        <v>1.2</v>
      </c>
      <c r="N97" s="7" t="inlineStr">
        <is>
          <t>Declared by the retailer</t>
        </is>
      </c>
      <c r="O97" s="54" t="n">
        <v>1.2</v>
      </c>
      <c r="P97" s="54" t="n">
        <v>0</v>
      </c>
      <c r="Q97" s="7" t="inlineStr">
        <is>
          <t>yes</t>
        </is>
      </c>
      <c r="R97" s="7" t="inlineStr">
        <is>
          <t>whole</t>
        </is>
      </c>
      <c r="S97" s="7" t="inlineStr">
        <is>
          <t>FG4</t>
        </is>
      </c>
      <c r="T97" s="7" t="n"/>
      <c r="U97" s="7" t="inlineStr">
        <is>
          <t>plant</t>
        </is>
      </c>
      <c r="V97" s="7" t="n"/>
      <c r="W97" s="7" t="n"/>
      <c r="X97" s="55" t="n">
        <v>1</v>
      </c>
      <c r="Y97" s="50" t="n">
        <v>1.6</v>
      </c>
      <c r="Z97" s="7" t="inlineStr">
        <is>
          <t>label</t>
        </is>
      </c>
      <c r="AA97" s="19">
        <f>IF(ISBLANK(Welcome!D123),"",Welcome!D123)</f>
        <v/>
      </c>
      <c r="AB97" s="29">
        <f>IF(ISBLANK(Welcome!E123),"",Welcome!E123)</f>
        <v/>
      </c>
      <c r="AC97" s="29">
        <f>IF(N(AB97)&gt;0,N(AB97),N(AA97)*Y97)</f>
        <v/>
      </c>
      <c r="AD97" s="29">
        <f>IF(H97="yes",AC97,0)</f>
        <v/>
      </c>
      <c r="AE97" s="29">
        <f>AD97*N(M97)/100</f>
        <v/>
      </c>
      <c r="AF97" s="29">
        <f>AD97*N(O97)/100</f>
        <v/>
      </c>
      <c r="AG97" s="29">
        <f>AD97*N(P97)/100</f>
        <v/>
      </c>
      <c r="AH97" s="50">
        <f>IF(Q97="yes",AD97/1000,0)</f>
        <v/>
      </c>
      <c r="AI97" s="50">
        <f>IF(S97="FG2",AH97*X97,AH97)</f>
        <v/>
      </c>
    </row>
    <row r="98">
      <c r="A98" s="7" t="inlineStr">
        <is>
          <t>HM00496</t>
        </is>
      </c>
      <c r="B98" s="16" t="inlineStr">
        <is>
          <t>3012345571128</t>
        </is>
      </c>
      <c r="C98" s="7" t="inlineStr">
        <is>
          <t>HM CLEMENTINES 6PK</t>
        </is>
      </c>
      <c r="D98" s="7" t="inlineStr">
        <is>
          <t>Clementines, 6pk</t>
        </is>
      </c>
      <c r="E98" s="7" t="inlineStr">
        <is>
          <t>Harbour Market</t>
        </is>
      </c>
      <c r="F98" s="7" t="inlineStr">
        <is>
          <t>Fruit &amp; Vegetables</t>
        </is>
      </c>
      <c r="G98" s="7" t="inlineStr">
        <is>
          <t>Fruit</t>
        </is>
      </c>
      <c r="H98" s="7" t="inlineStr">
        <is>
          <t>yes</t>
        </is>
      </c>
      <c r="I98" s="7" t="inlineStr">
        <is>
          <t>Plant-based non-core</t>
        </is>
      </c>
      <c r="J98" s="7" t="inlineStr">
        <is>
          <t>Fruit and vegetables</t>
        </is>
      </c>
      <c r="K98" s="7" t="inlineStr">
        <is>
          <t>B</t>
        </is>
      </c>
      <c r="L98" s="7" t="inlineStr">
        <is>
          <t>Follows the class</t>
        </is>
      </c>
      <c r="M98" s="51" t="n">
        <v>0.84</v>
      </c>
      <c r="N98" s="7" t="inlineStr">
        <is>
          <t>National food table (CIQUAL in France)</t>
        </is>
      </c>
      <c r="O98" s="54" t="n">
        <v>0.84</v>
      </c>
      <c r="P98" s="54" t="n">
        <v>0</v>
      </c>
      <c r="Q98" s="7" t="inlineStr">
        <is>
          <t>yes</t>
        </is>
      </c>
      <c r="R98" s="7" t="inlineStr">
        <is>
          <t>whole</t>
        </is>
      </c>
      <c r="S98" s="7" t="inlineStr">
        <is>
          <t>FG4</t>
        </is>
      </c>
      <c r="T98" s="7" t="n"/>
      <c r="U98" s="7" t="inlineStr">
        <is>
          <t>plant</t>
        </is>
      </c>
      <c r="V98" s="7" t="n"/>
      <c r="W98" s="7" t="n"/>
      <c r="X98" s="55" t="n">
        <v>1</v>
      </c>
      <c r="Y98" s="50" t="n">
        <v>0.9</v>
      </c>
      <c r="Z98" s="7" t="inlineStr">
        <is>
          <t>declared</t>
        </is>
      </c>
      <c r="AA98" s="19">
        <f>IF(ISBLANK(Welcome!D124),"",Welcome!D124)</f>
        <v/>
      </c>
      <c r="AB98" s="29">
        <f>IF(ISBLANK(Welcome!E124),"",Welcome!E124)</f>
        <v/>
      </c>
      <c r="AC98" s="29">
        <f>IF(N(AB98)&gt;0,N(AB98),N(AA98)*Y98)</f>
        <v/>
      </c>
      <c r="AD98" s="29">
        <f>IF(H98="yes",AC98,0)</f>
        <v/>
      </c>
      <c r="AE98" s="29">
        <f>AD98*N(M98)/100</f>
        <v/>
      </c>
      <c r="AF98" s="29">
        <f>AD98*N(O98)/100</f>
        <v/>
      </c>
      <c r="AG98" s="29">
        <f>AD98*N(P98)/100</f>
        <v/>
      </c>
      <c r="AH98" s="50">
        <f>IF(Q98="yes",AD98/1000,0)</f>
        <v/>
      </c>
      <c r="AI98" s="50">
        <f>IF(S98="FG2",AH98*X98,AH98)</f>
        <v/>
      </c>
    </row>
    <row r="99">
      <c r="A99" s="7" t="inlineStr">
        <is>
          <t>HM00394</t>
        </is>
      </c>
      <c r="B99" s="16" t="inlineStr">
        <is>
          <t>8712345280499</t>
        </is>
      </c>
      <c r="C99" s="7" t="inlineStr">
        <is>
          <t>HM MILD CHEDDAR 400G</t>
        </is>
      </c>
      <c r="D99" s="7" t="inlineStr">
        <is>
          <t>Mild cheddar, 400g</t>
        </is>
      </c>
      <c r="E99" s="7" t="inlineStr">
        <is>
          <t>Harbour Market</t>
        </is>
      </c>
      <c r="F99" s="7" t="inlineStr">
        <is>
          <t>Cheese</t>
        </is>
      </c>
      <c r="G99" s="7" t="inlineStr">
        <is>
          <t>Hard Cheese</t>
        </is>
      </c>
      <c r="H99" s="7" t="inlineStr">
        <is>
          <t>yes</t>
        </is>
      </c>
      <c r="I99" s="7" t="inlineStr">
        <is>
          <t>Animal core</t>
        </is>
      </c>
      <c r="J99" s="7" t="inlineStr">
        <is>
          <t>Cheese</t>
        </is>
      </c>
      <c r="K99" s="7" t="inlineStr">
        <is>
          <t>B</t>
        </is>
      </c>
      <c r="L99" s="7" t="inlineStr">
        <is>
          <t>Follows the class</t>
        </is>
      </c>
      <c r="M99" s="51" t="n">
        <v>24.9</v>
      </c>
      <c r="N99" s="7" t="inlineStr">
        <is>
          <t>Declared by the retailer</t>
        </is>
      </c>
      <c r="O99" s="54" t="n">
        <v>0</v>
      </c>
      <c r="P99" s="54" t="n">
        <v>24.9</v>
      </c>
      <c r="Q99" s="7" t="inlineStr">
        <is>
          <t>yes</t>
        </is>
      </c>
      <c r="R99" s="7" t="inlineStr">
        <is>
          <t>whole</t>
        </is>
      </c>
      <c r="S99" s="7" t="inlineStr">
        <is>
          <t>FG2</t>
        </is>
      </c>
      <c r="T99" s="7" t="inlineStr">
        <is>
          <t>Dairy</t>
        </is>
      </c>
      <c r="U99" s="7" t="inlineStr">
        <is>
          <t>animal</t>
        </is>
      </c>
      <c r="V99" s="7" t="n"/>
      <c r="W99" s="7" t="n"/>
      <c r="X99" s="55" t="n">
        <v>10</v>
      </c>
      <c r="Y99" s="50" t="n">
        <v>0.4</v>
      </c>
      <c r="Z99" s="7" t="inlineStr">
        <is>
          <t>declared</t>
        </is>
      </c>
      <c r="AA99" s="19">
        <f>IF(ISBLANK(Welcome!D125),"",Welcome!D125)</f>
        <v/>
      </c>
      <c r="AB99" s="29">
        <f>IF(ISBLANK(Welcome!E125),"",Welcome!E125)</f>
        <v/>
      </c>
      <c r="AC99" s="29">
        <f>IF(N(AB99)&gt;0,N(AB99),N(AA99)*Y99)</f>
        <v/>
      </c>
      <c r="AD99" s="29">
        <f>IF(H99="yes",AC99,0)</f>
        <v/>
      </c>
      <c r="AE99" s="29">
        <f>AD99*N(M99)/100</f>
        <v/>
      </c>
      <c r="AF99" s="29">
        <f>AD99*N(O99)/100</f>
        <v/>
      </c>
      <c r="AG99" s="29">
        <f>AD99*N(P99)/100</f>
        <v/>
      </c>
      <c r="AH99" s="50">
        <f>IF(Q99="yes",AD99/1000,0)</f>
        <v/>
      </c>
      <c r="AI99" s="50">
        <f>IF(S99="FG2",AH99*X99,AH99)</f>
        <v/>
      </c>
    </row>
    <row r="100">
      <c r="A100" s="7" t="inlineStr">
        <is>
          <t>HM00676</t>
        </is>
      </c>
      <c r="B100" s="16" t="inlineStr">
        <is>
          <t>8712345077921</t>
        </is>
      </c>
      <c r="C100" s="7" t="inlineStr">
        <is>
          <t>SKYR NAT 4X125G FJELDA</t>
        </is>
      </c>
      <c r="D100" s="7" t="inlineStr">
        <is>
          <t>Natural skyr, 4x125g</t>
        </is>
      </c>
      <c r="E100" s="7" t="inlineStr">
        <is>
          <t>Fjelda</t>
        </is>
      </c>
      <c r="F100" s="7" t="inlineStr">
        <is>
          <t>Dairy &amp; Eggs</t>
        </is>
      </c>
      <c r="G100" s="7" t="inlineStr">
        <is>
          <t>Yoghurt</t>
        </is>
      </c>
      <c r="H100" s="7" t="inlineStr">
        <is>
          <t>yes</t>
        </is>
      </c>
      <c r="I100" s="7" t="inlineStr">
        <is>
          <t>Animal core</t>
        </is>
      </c>
      <c r="J100" s="7" t="inlineStr">
        <is>
          <t>Milk, yoghurt and cream</t>
        </is>
      </c>
      <c r="K100" s="7" t="inlineStr">
        <is>
          <t>A</t>
        </is>
      </c>
      <c r="L100" s="7" t="inlineStr">
        <is>
          <t>All ingredients on one side</t>
        </is>
      </c>
      <c r="M100" s="51" t="n">
        <v>11.4</v>
      </c>
      <c r="N100" s="7" t="inlineStr">
        <is>
          <t>Declared by the retailer</t>
        </is>
      </c>
      <c r="O100" s="54" t="n">
        <v>0</v>
      </c>
      <c r="P100" s="54" t="n">
        <v>11.4</v>
      </c>
      <c r="Q100" s="7" t="inlineStr">
        <is>
          <t>yes</t>
        </is>
      </c>
      <c r="R100" s="7" t="inlineStr">
        <is>
          <t>whole</t>
        </is>
      </c>
      <c r="S100" s="7" t="inlineStr">
        <is>
          <t>FG2</t>
        </is>
      </c>
      <c r="T100" s="7" t="inlineStr">
        <is>
          <t>Dairy</t>
        </is>
      </c>
      <c r="U100" s="7" t="inlineStr">
        <is>
          <t>animal</t>
        </is>
      </c>
      <c r="V100" s="7" t="n"/>
      <c r="W100" s="7" t="n"/>
      <c r="X100" s="55" t="n">
        <v>1</v>
      </c>
      <c r="Y100" s="50" t="n">
        <v>0.5</v>
      </c>
      <c r="Z100" s="7" t="inlineStr">
        <is>
          <t>declared</t>
        </is>
      </c>
      <c r="AA100" s="19">
        <f>IF(ISBLANK(Welcome!D126),"",Welcome!D126)</f>
        <v/>
      </c>
      <c r="AB100" s="29">
        <f>IF(ISBLANK(Welcome!E126),"",Welcome!E126)</f>
        <v/>
      </c>
      <c r="AC100" s="29">
        <f>IF(N(AB100)&gt;0,N(AB100),N(AA100)*Y100)</f>
        <v/>
      </c>
      <c r="AD100" s="29">
        <f>IF(H100="yes",AC100,0)</f>
        <v/>
      </c>
      <c r="AE100" s="29">
        <f>AD100*N(M100)/100</f>
        <v/>
      </c>
      <c r="AF100" s="29">
        <f>AD100*N(O100)/100</f>
        <v/>
      </c>
      <c r="AG100" s="29">
        <f>AD100*N(P100)/100</f>
        <v/>
      </c>
      <c r="AH100" s="50">
        <f>IF(Q100="yes",AD100/1000,0)</f>
        <v/>
      </c>
      <c r="AI100" s="50">
        <f>IF(S100="FG2",AH100*X100,AH100)</f>
        <v/>
      </c>
    </row>
    <row r="101">
      <c r="A101" s="7" t="inlineStr">
        <is>
          <t>HM00720</t>
        </is>
      </c>
      <c r="B101" s="16" t="inlineStr">
        <is>
          <t>8712345292164</t>
        </is>
      </c>
      <c r="C101" s="7" t="inlineStr">
        <is>
          <t>SKMD MILK 4PT 2.27L FJELDA</t>
        </is>
      </c>
      <c r="D101" s="7" t="inlineStr">
        <is>
          <t>Skimmed milk, 4pt 2.27l</t>
        </is>
      </c>
      <c r="E101" s="7" t="inlineStr">
        <is>
          <t>Fjelda</t>
        </is>
      </c>
      <c r="F101" s="7" t="inlineStr">
        <is>
          <t>Dairy &amp; Eggs</t>
        </is>
      </c>
      <c r="G101" s="7" t="inlineStr">
        <is>
          <t>Milk</t>
        </is>
      </c>
      <c r="H101" s="7" t="inlineStr">
        <is>
          <t>yes</t>
        </is>
      </c>
      <c r="I101" s="7" t="inlineStr">
        <is>
          <t>Animal core</t>
        </is>
      </c>
      <c r="J101" s="7" t="inlineStr">
        <is>
          <t>Milk, yoghurt and cream</t>
        </is>
      </c>
      <c r="K101" s="7" t="inlineStr">
        <is>
          <t>A</t>
        </is>
      </c>
      <c r="L101" s="7" t="inlineStr">
        <is>
          <t>All ingredients on one side</t>
        </is>
      </c>
      <c r="M101" s="51" t="n">
        <v>3.5</v>
      </c>
      <c r="N101" s="7" t="inlineStr">
        <is>
          <t>Declared by the retailer</t>
        </is>
      </c>
      <c r="O101" s="54" t="n">
        <v>0</v>
      </c>
      <c r="P101" s="54" t="n">
        <v>3.5</v>
      </c>
      <c r="Q101" s="7" t="inlineStr">
        <is>
          <t>yes</t>
        </is>
      </c>
      <c r="R101" s="7" t="inlineStr">
        <is>
          <t>whole</t>
        </is>
      </c>
      <c r="S101" s="7" t="inlineStr">
        <is>
          <t>FG2</t>
        </is>
      </c>
      <c r="T101" s="7" t="inlineStr">
        <is>
          <t>Dairy</t>
        </is>
      </c>
      <c r="U101" s="7" t="inlineStr">
        <is>
          <t>animal</t>
        </is>
      </c>
      <c r="V101" s="7" t="n"/>
      <c r="W101" s="7" t="n"/>
      <c r="X101" s="55" t="n">
        <v>1</v>
      </c>
      <c r="Y101" s="50" t="n">
        <v>2.34</v>
      </c>
      <c r="Z101" s="7" t="inlineStr">
        <is>
          <t>declared</t>
        </is>
      </c>
      <c r="AA101" s="19">
        <f>IF(ISBLANK(Welcome!D127),"",Welcome!D127)</f>
        <v/>
      </c>
      <c r="AB101" s="29">
        <f>IF(ISBLANK(Welcome!E127),"",Welcome!E127)</f>
        <v/>
      </c>
      <c r="AC101" s="29">
        <f>IF(N(AB101)&gt;0,N(AB101),N(AA101)*Y101)</f>
        <v/>
      </c>
      <c r="AD101" s="29">
        <f>IF(H101="yes",AC101,0)</f>
        <v/>
      </c>
      <c r="AE101" s="29">
        <f>AD101*N(M101)/100</f>
        <v/>
      </c>
      <c r="AF101" s="29">
        <f>AD101*N(O101)/100</f>
        <v/>
      </c>
      <c r="AG101" s="29">
        <f>AD101*N(P101)/100</f>
        <v/>
      </c>
      <c r="AH101" s="50">
        <f>IF(Q101="yes",AD101/1000,0)</f>
        <v/>
      </c>
      <c r="AI101" s="50">
        <f>IF(S101="FG2",AH101*X101,AH101)</f>
        <v/>
      </c>
    </row>
    <row r="102">
      <c r="A102" s="7" t="inlineStr">
        <is>
          <t>HM00693</t>
        </is>
      </c>
      <c r="B102" s="16" t="inlineStr">
        <is>
          <t>5012345053172</t>
        </is>
      </c>
      <c r="C102" s="7" t="inlineStr">
        <is>
          <t>HM BROCCOLI 1KG</t>
        </is>
      </c>
      <c r="D102" s="7" t="inlineStr">
        <is>
          <t>Broccoli, 1kg</t>
        </is>
      </c>
      <c r="E102" s="7" t="inlineStr">
        <is>
          <t>Harbour Market</t>
        </is>
      </c>
      <c r="F102" s="7" t="inlineStr">
        <is>
          <t>Fruit &amp; Vegetables</t>
        </is>
      </c>
      <c r="G102" s="7" t="inlineStr">
        <is>
          <t>Vegetables</t>
        </is>
      </c>
      <c r="H102" s="7" t="inlineStr">
        <is>
          <t>yes</t>
        </is>
      </c>
      <c r="I102" s="7" t="inlineStr">
        <is>
          <t>Plant-based non-core</t>
        </is>
      </c>
      <c r="J102" s="7" t="inlineStr">
        <is>
          <t>Fruit and vegetables</t>
        </is>
      </c>
      <c r="K102" s="7" t="inlineStr">
        <is>
          <t>B</t>
        </is>
      </c>
      <c r="L102" s="7" t="inlineStr">
        <is>
          <t>Follows the class</t>
        </is>
      </c>
      <c r="M102" s="51" t="n">
        <v>2.9</v>
      </c>
      <c r="N102" s="7" t="inlineStr">
        <is>
          <t>Declared by the retailer</t>
        </is>
      </c>
      <c r="O102" s="54" t="n">
        <v>2.9</v>
      </c>
      <c r="P102" s="54" t="n">
        <v>0</v>
      </c>
      <c r="Q102" s="7" t="inlineStr">
        <is>
          <t>yes</t>
        </is>
      </c>
      <c r="R102" s="7" t="inlineStr">
        <is>
          <t>whole</t>
        </is>
      </c>
      <c r="S102" s="7" t="inlineStr">
        <is>
          <t>FG4</t>
        </is>
      </c>
      <c r="T102" s="7" t="n"/>
      <c r="U102" s="7" t="inlineStr">
        <is>
          <t>plant</t>
        </is>
      </c>
      <c r="V102" s="7" t="n"/>
      <c r="W102" s="7" t="n"/>
      <c r="X102" s="55" t="n">
        <v>1</v>
      </c>
      <c r="Y102" s="50" t="n">
        <v>1</v>
      </c>
      <c r="Z102" s="7" t="inlineStr">
        <is>
          <t>declared</t>
        </is>
      </c>
      <c r="AA102" s="19">
        <f>IF(ISBLANK(Welcome!D128),"",Welcome!D128)</f>
        <v/>
      </c>
      <c r="AB102" s="29">
        <f>IF(ISBLANK(Welcome!E128),"",Welcome!E128)</f>
        <v/>
      </c>
      <c r="AC102" s="29">
        <f>IF(N(AB102)&gt;0,N(AB102),N(AA102)*Y102)</f>
        <v/>
      </c>
      <c r="AD102" s="29">
        <f>IF(H102="yes",AC102,0)</f>
        <v/>
      </c>
      <c r="AE102" s="29">
        <f>AD102*N(M102)/100</f>
        <v/>
      </c>
      <c r="AF102" s="29">
        <f>AD102*N(O102)/100</f>
        <v/>
      </c>
      <c r="AG102" s="29">
        <f>AD102*N(P102)/100</f>
        <v/>
      </c>
      <c r="AH102" s="50">
        <f>IF(Q102="yes",AD102/1000,0)</f>
        <v/>
      </c>
      <c r="AI102" s="50">
        <f>IF(S102="FG2",AH102*X102,AH102)</f>
        <v/>
      </c>
    </row>
    <row r="103">
      <c r="A103" s="7" t="inlineStr">
        <is>
          <t>HM00581</t>
        </is>
      </c>
      <c r="B103" s="16" t="inlineStr">
        <is>
          <t>4012345957020</t>
        </is>
      </c>
      <c r="C103" s="7" t="inlineStr">
        <is>
          <t>HM SPARKLING WATER 1.5L</t>
        </is>
      </c>
      <c r="D103" s="7" t="inlineStr">
        <is>
          <t>Sparkling mineral water, 1.5l</t>
        </is>
      </c>
      <c r="E103" s="7" t="inlineStr">
        <is>
          <t>Harbour Market</t>
        </is>
      </c>
      <c r="F103" s="7" t="inlineStr">
        <is>
          <t>Soft Drinks &amp; Water</t>
        </is>
      </c>
      <c r="G103" s="7" t="inlineStr">
        <is>
          <t>Water</t>
        </is>
      </c>
      <c r="H103" s="7" t="inlineStr">
        <is>
          <t>yes</t>
        </is>
      </c>
      <c r="I103" s="7" t="inlineStr">
        <is>
          <t>Plant-based non-core</t>
        </is>
      </c>
      <c r="J103" s="7" t="inlineStr">
        <is>
          <t>Outside the WWF scope</t>
        </is>
      </c>
      <c r="K103" s="7" t="inlineStr">
        <is>
          <t>A</t>
        </is>
      </c>
      <c r="L103" s="7" t="inlineStr">
        <is>
          <t>All ingredients on one side</t>
        </is>
      </c>
      <c r="M103" s="51" t="n">
        <v>0</v>
      </c>
      <c r="N103" s="7" t="inlineStr">
        <is>
          <t>Median of the family</t>
        </is>
      </c>
      <c r="O103" s="54" t="n">
        <v>0</v>
      </c>
      <c r="P103" s="54" t="n">
        <v>0</v>
      </c>
      <c r="Q103" s="7" t="inlineStr">
        <is>
          <t>no</t>
        </is>
      </c>
      <c r="R103" s="7" t="n"/>
      <c r="S103" s="7" t="n"/>
      <c r="T103" s="7" t="n"/>
      <c r="U103" s="7" t="n"/>
      <c r="V103" s="7" t="n"/>
      <c r="W103" s="7" t="inlineStr">
        <is>
          <t>beverage</t>
        </is>
      </c>
      <c r="X103" s="55" t="n">
        <v>1</v>
      </c>
      <c r="Y103" s="50" t="n">
        <v>1.5</v>
      </c>
      <c r="Z103" s="7" t="inlineStr">
        <is>
          <t>declared</t>
        </is>
      </c>
      <c r="AA103" s="19">
        <f>IF(ISBLANK(Welcome!D129),"",Welcome!D129)</f>
        <v/>
      </c>
      <c r="AB103" s="29">
        <f>IF(ISBLANK(Welcome!E129),"",Welcome!E129)</f>
        <v/>
      </c>
      <c r="AC103" s="29">
        <f>IF(N(AB103)&gt;0,N(AB103),N(AA103)*Y103)</f>
        <v/>
      </c>
      <c r="AD103" s="29">
        <f>IF(H103="yes",AC103,0)</f>
        <v/>
      </c>
      <c r="AE103" s="29">
        <f>AD103*N(M103)/100</f>
        <v/>
      </c>
      <c r="AF103" s="29">
        <f>AD103*N(O103)/100</f>
        <v/>
      </c>
      <c r="AG103" s="29">
        <f>AD103*N(P103)/100</f>
        <v/>
      </c>
      <c r="AH103" s="50">
        <f>IF(Q103="yes",AD103/1000,0)</f>
        <v/>
      </c>
      <c r="AI103" s="50">
        <f>IF(S103="FG2",AH103*X103,AH103)</f>
        <v/>
      </c>
    </row>
    <row r="104">
      <c r="A104" s="7" t="inlineStr">
        <is>
          <t>HM00591</t>
        </is>
      </c>
      <c r="B104" s="16" t="inlineStr">
        <is>
          <t>5012345036793</t>
        </is>
      </c>
      <c r="C104" s="7" t="inlineStr">
        <is>
          <t>PENWARD APPLE CIDER 500ML</t>
        </is>
      </c>
      <c r="D104" s="7" t="inlineStr">
        <is>
          <t>Apple cider, 500ml</t>
        </is>
      </c>
      <c r="E104" s="7" t="inlineStr">
        <is>
          <t>Penward</t>
        </is>
      </c>
      <c r="F104" s="7" t="inlineStr">
        <is>
          <t>Beer, Wine &amp; Spirits</t>
        </is>
      </c>
      <c r="G104" s="7" t="inlineStr">
        <is>
          <t>Beer &amp; Cider</t>
        </is>
      </c>
      <c r="H104" s="7" t="inlineStr">
        <is>
          <t>yes</t>
        </is>
      </c>
      <c r="I104" s="7" t="inlineStr">
        <is>
          <t>Plant-based non-core</t>
        </is>
      </c>
      <c r="J104" s="7" t="inlineStr">
        <is>
          <t>Outside the WWF scope</t>
        </is>
      </c>
      <c r="K104" s="7" t="inlineStr">
        <is>
          <t>B</t>
        </is>
      </c>
      <c r="L104" s="7" t="inlineStr">
        <is>
          <t>Follows the class</t>
        </is>
      </c>
      <c r="M104" s="51" t="n">
        <v>0</v>
      </c>
      <c r="N104" s="7" t="inlineStr">
        <is>
          <t>Declared by the retailer</t>
        </is>
      </c>
      <c r="O104" s="54" t="n">
        <v>0</v>
      </c>
      <c r="P104" s="54" t="n">
        <v>0</v>
      </c>
      <c r="Q104" s="7" t="inlineStr">
        <is>
          <t>no</t>
        </is>
      </c>
      <c r="R104" s="7" t="n"/>
      <c r="S104" s="7" t="n"/>
      <c r="T104" s="7" t="n"/>
      <c r="U104" s="7" t="n"/>
      <c r="V104" s="7" t="n"/>
      <c r="W104" s="7" t="inlineStr">
        <is>
          <t>alcohol</t>
        </is>
      </c>
      <c r="X104" s="55" t="n">
        <v>1</v>
      </c>
      <c r="Y104" s="50" t="n">
        <v>0.5</v>
      </c>
      <c r="Z104" s="7" t="inlineStr">
        <is>
          <t>declared</t>
        </is>
      </c>
      <c r="AA104" s="19">
        <f>IF(ISBLANK(Welcome!D130),"",Welcome!D130)</f>
        <v/>
      </c>
      <c r="AB104" s="29">
        <f>IF(ISBLANK(Welcome!E130),"",Welcome!E130)</f>
        <v/>
      </c>
      <c r="AC104" s="29">
        <f>IF(N(AB104)&gt;0,N(AB104),N(AA104)*Y104)</f>
        <v/>
      </c>
      <c r="AD104" s="29">
        <f>IF(H104="yes",AC104,0)</f>
        <v/>
      </c>
      <c r="AE104" s="29">
        <f>AD104*N(M104)/100</f>
        <v/>
      </c>
      <c r="AF104" s="29">
        <f>AD104*N(O104)/100</f>
        <v/>
      </c>
      <c r="AG104" s="29">
        <f>AD104*N(P104)/100</f>
        <v/>
      </c>
      <c r="AH104" s="50">
        <f>IF(Q104="yes",AD104/1000,0)</f>
        <v/>
      </c>
      <c r="AI104" s="50">
        <f>IF(S104="FG2",AH104*X104,AH104)</f>
        <v/>
      </c>
    </row>
    <row r="105">
      <c r="A105" s="7" t="inlineStr">
        <is>
          <t>HM00531</t>
        </is>
      </c>
      <c r="B105" s="16" t="inlineStr">
        <is>
          <t>5012345466804</t>
        </is>
      </c>
      <c r="C105" s="7" t="inlineStr">
        <is>
          <t>ORVALIS PORRIDGE OATS 2KG</t>
        </is>
      </c>
      <c r="D105" s="7" t="inlineStr">
        <is>
          <t>Porridge oats, 2kg</t>
        </is>
      </c>
      <c r="E105" s="7" t="inlineStr">
        <is>
          <t>Orvalis</t>
        </is>
      </c>
      <c r="F105" s="7" t="inlineStr">
        <is>
          <t>Grocery</t>
        </is>
      </c>
      <c r="G105" s="7" t="inlineStr">
        <is>
          <t>Rice &amp; Grains</t>
        </is>
      </c>
      <c r="H105" s="7" t="inlineStr">
        <is>
          <t>yes</t>
        </is>
      </c>
      <c r="I105" s="7" t="inlineStr">
        <is>
          <t>Plant-based non-core</t>
        </is>
      </c>
      <c r="J105" s="7" t="inlineStr">
        <is>
          <t>Whole grains</t>
        </is>
      </c>
      <c r="K105" s="7" t="inlineStr">
        <is>
          <t>A</t>
        </is>
      </c>
      <c r="L105" s="7" t="inlineStr">
        <is>
          <t>All ingredients on one side</t>
        </is>
      </c>
      <c r="M105" s="51" t="n">
        <v>10.8</v>
      </c>
      <c r="N105" s="7" t="inlineStr">
        <is>
          <t>Median of the family</t>
        </is>
      </c>
      <c r="O105" s="54" t="n">
        <v>10.8</v>
      </c>
      <c r="P105" s="54" t="n">
        <v>0</v>
      </c>
      <c r="Q105" s="7" t="inlineStr">
        <is>
          <t>yes</t>
        </is>
      </c>
      <c r="R105" s="7" t="inlineStr">
        <is>
          <t>whole</t>
        </is>
      </c>
      <c r="S105" s="7" t="inlineStr">
        <is>
          <t>FG5</t>
        </is>
      </c>
      <c r="T105" s="7" t="inlineStr">
        <is>
          <t>Whole grain</t>
        </is>
      </c>
      <c r="U105" s="7" t="inlineStr">
        <is>
          <t>plant</t>
        </is>
      </c>
      <c r="V105" s="7" t="n"/>
      <c r="W105" s="7" t="n"/>
      <c r="X105" s="55" t="n">
        <v>1</v>
      </c>
      <c r="Y105" s="50" t="n">
        <v>2</v>
      </c>
      <c r="Z105" s="7" t="inlineStr">
        <is>
          <t>declared</t>
        </is>
      </c>
      <c r="AA105" s="19">
        <f>IF(ISBLANK(Welcome!D131),"",Welcome!D131)</f>
        <v/>
      </c>
      <c r="AB105" s="29">
        <f>IF(ISBLANK(Welcome!E131),"",Welcome!E131)</f>
        <v/>
      </c>
      <c r="AC105" s="29">
        <f>IF(N(AB105)&gt;0,N(AB105),N(AA105)*Y105)</f>
        <v/>
      </c>
      <c r="AD105" s="29">
        <f>IF(H105="yes",AC105,0)</f>
        <v/>
      </c>
      <c r="AE105" s="29">
        <f>AD105*N(M105)/100</f>
        <v/>
      </c>
      <c r="AF105" s="29">
        <f>AD105*N(O105)/100</f>
        <v/>
      </c>
      <c r="AG105" s="29">
        <f>AD105*N(P105)/100</f>
        <v/>
      </c>
      <c r="AH105" s="50">
        <f>IF(Q105="yes",AD105/1000,0)</f>
        <v/>
      </c>
      <c r="AI105" s="50">
        <f>IF(S105="FG2",AH105*X105,AH105)</f>
        <v/>
      </c>
    </row>
    <row r="106">
      <c r="A106" s="7" t="inlineStr">
        <is>
          <t>HM00616</t>
        </is>
      </c>
      <c r="B106" s="16" t="inlineStr">
        <is>
          <t>8712345888244</t>
        </is>
      </c>
      <c r="C106" s="7" t="inlineStr">
        <is>
          <t>HM ORANGES 1KG</t>
        </is>
      </c>
      <c r="D106" s="7" t="inlineStr">
        <is>
          <t>Oranges, 1kg</t>
        </is>
      </c>
      <c r="E106" s="7" t="inlineStr">
        <is>
          <t>Harbour Market</t>
        </is>
      </c>
      <c r="F106" s="7" t="inlineStr">
        <is>
          <t>Fruit &amp; Vegetables</t>
        </is>
      </c>
      <c r="G106" s="7" t="inlineStr">
        <is>
          <t>Fruit</t>
        </is>
      </c>
      <c r="H106" s="7" t="inlineStr">
        <is>
          <t>yes</t>
        </is>
      </c>
      <c r="I106" s="7" t="inlineStr">
        <is>
          <t>Plant-based non-core</t>
        </is>
      </c>
      <c r="J106" s="7" t="inlineStr">
        <is>
          <t>Fruit and vegetables</t>
        </is>
      </c>
      <c r="K106" s="7" t="inlineStr">
        <is>
          <t>B</t>
        </is>
      </c>
      <c r="L106" s="7" t="inlineStr">
        <is>
          <t>Follows the class</t>
        </is>
      </c>
      <c r="M106" s="51" t="n">
        <v>0.85</v>
      </c>
      <c r="N106" s="7" t="inlineStr">
        <is>
          <t>Median of the family</t>
        </is>
      </c>
      <c r="O106" s="54" t="n">
        <v>0.85</v>
      </c>
      <c r="P106" s="54" t="n">
        <v>0</v>
      </c>
      <c r="Q106" s="7" t="inlineStr">
        <is>
          <t>yes</t>
        </is>
      </c>
      <c r="R106" s="7" t="inlineStr">
        <is>
          <t>whole</t>
        </is>
      </c>
      <c r="S106" s="7" t="inlineStr">
        <is>
          <t>FG4</t>
        </is>
      </c>
      <c r="T106" s="7" t="n"/>
      <c r="U106" s="7" t="inlineStr">
        <is>
          <t>plant</t>
        </is>
      </c>
      <c r="V106" s="7" t="n"/>
      <c r="W106" s="7" t="n"/>
      <c r="X106" s="55" t="n">
        <v>1</v>
      </c>
      <c r="Y106" s="50" t="n">
        <v>1</v>
      </c>
      <c r="Z106" s="7" t="inlineStr">
        <is>
          <t>declared</t>
        </is>
      </c>
      <c r="AA106" s="19">
        <f>IF(ISBLANK(Welcome!D132),"",Welcome!D132)</f>
        <v/>
      </c>
      <c r="AB106" s="29">
        <f>IF(ISBLANK(Welcome!E132),"",Welcome!E132)</f>
        <v/>
      </c>
      <c r="AC106" s="29">
        <f>IF(N(AB106)&gt;0,N(AB106),N(AA106)*Y106)</f>
        <v/>
      </c>
      <c r="AD106" s="29">
        <f>IF(H106="yes",AC106,0)</f>
        <v/>
      </c>
      <c r="AE106" s="29">
        <f>AD106*N(M106)/100</f>
        <v/>
      </c>
      <c r="AF106" s="29">
        <f>AD106*N(O106)/100</f>
        <v/>
      </c>
      <c r="AG106" s="29">
        <f>AD106*N(P106)/100</f>
        <v/>
      </c>
      <c r="AH106" s="50">
        <f>IF(Q106="yes",AD106/1000,0)</f>
        <v/>
      </c>
      <c r="AI106" s="50">
        <f>IF(S106="FG2",AH106*X106,AH106)</f>
        <v/>
      </c>
    </row>
    <row r="107">
      <c r="A107" s="7" t="inlineStr">
        <is>
          <t>HM00705</t>
        </is>
      </c>
      <c r="B107" s="16" t="inlineStr">
        <is>
          <t>5012345294360</t>
        </is>
      </c>
      <c r="C107" s="7" t="inlineStr">
        <is>
          <t>NUVELLE ICED TEA PEACH 2L</t>
        </is>
      </c>
      <c r="D107" s="7" t="inlineStr">
        <is>
          <t>Peach iced tea, 2l</t>
        </is>
      </c>
      <c r="E107" s="7" t="inlineStr">
        <is>
          <t>Nuvelle</t>
        </is>
      </c>
      <c r="F107" s="7" t="inlineStr">
        <is>
          <t>Soft Drinks &amp; Water</t>
        </is>
      </c>
      <c r="G107" s="7" t="inlineStr">
        <is>
          <t>Soft Drinks</t>
        </is>
      </c>
      <c r="H107" s="7" t="inlineStr">
        <is>
          <t>yes</t>
        </is>
      </c>
      <c r="I107" s="7" t="inlineStr">
        <is>
          <t>Plant-based non-core</t>
        </is>
      </c>
      <c r="J107" s="7" t="inlineStr">
        <is>
          <t>Outside the WWF scope</t>
        </is>
      </c>
      <c r="K107" s="7" t="inlineStr">
        <is>
          <t>B</t>
        </is>
      </c>
      <c r="L107" s="7" t="inlineStr">
        <is>
          <t>Follows the class</t>
        </is>
      </c>
      <c r="M107" s="51" t="n">
        <v>0</v>
      </c>
      <c r="N107" s="7" t="inlineStr">
        <is>
          <t>Altera reference base</t>
        </is>
      </c>
      <c r="O107" s="54" t="n">
        <v>0</v>
      </c>
      <c r="P107" s="54" t="n">
        <v>0</v>
      </c>
      <c r="Q107" s="7" t="inlineStr">
        <is>
          <t>no</t>
        </is>
      </c>
      <c r="R107" s="7" t="n"/>
      <c r="S107" s="7" t="n"/>
      <c r="T107" s="7" t="n"/>
      <c r="U107" s="7" t="n"/>
      <c r="V107" s="7" t="n"/>
      <c r="W107" s="7" t="inlineStr">
        <is>
          <t>beverage</t>
        </is>
      </c>
      <c r="X107" s="55" t="n">
        <v>1</v>
      </c>
      <c r="Y107" s="50" t="n">
        <v>2</v>
      </c>
      <c r="Z107" s="7" t="inlineStr">
        <is>
          <t>label</t>
        </is>
      </c>
      <c r="AA107" s="19">
        <f>IF(ISBLANK(Welcome!D133),"",Welcome!D133)</f>
        <v/>
      </c>
      <c r="AB107" s="29">
        <f>IF(ISBLANK(Welcome!E133),"",Welcome!E133)</f>
        <v/>
      </c>
      <c r="AC107" s="29">
        <f>IF(N(AB107)&gt;0,N(AB107),N(AA107)*Y107)</f>
        <v/>
      </c>
      <c r="AD107" s="29">
        <f>IF(H107="yes",AC107,0)</f>
        <v/>
      </c>
      <c r="AE107" s="29">
        <f>AD107*N(M107)/100</f>
        <v/>
      </c>
      <c r="AF107" s="29">
        <f>AD107*N(O107)/100</f>
        <v/>
      </c>
      <c r="AG107" s="29">
        <f>AD107*N(P107)/100</f>
        <v/>
      </c>
      <c r="AH107" s="50">
        <f>IF(Q107="yes",AD107/1000,0)</f>
        <v/>
      </c>
      <c r="AI107" s="50">
        <f>IF(S107="FG2",AH107*X107,AH107)</f>
        <v/>
      </c>
    </row>
    <row r="108">
      <c r="A108" s="7" t="inlineStr">
        <is>
          <t>HM00541</t>
        </is>
      </c>
      <c r="B108" s="16" t="inlineStr">
        <is>
          <t>5012345890739</t>
        </is>
      </c>
      <c r="C108" s="7" t="inlineStr">
        <is>
          <t>HM CAULIFLOWER 1KG</t>
        </is>
      </c>
      <c r="D108" s="7" t="inlineStr">
        <is>
          <t>Cauliflower, 1kg</t>
        </is>
      </c>
      <c r="E108" s="7" t="inlineStr">
        <is>
          <t>Harbour Market</t>
        </is>
      </c>
      <c r="F108" s="7" t="inlineStr">
        <is>
          <t>Fruit &amp; Vegetables</t>
        </is>
      </c>
      <c r="G108" s="7" t="inlineStr">
        <is>
          <t>Vegetables</t>
        </is>
      </c>
      <c r="H108" s="7" t="inlineStr">
        <is>
          <t>yes</t>
        </is>
      </c>
      <c r="I108" s="7" t="inlineStr">
        <is>
          <t>Plant-based non-core</t>
        </is>
      </c>
      <c r="J108" s="7" t="inlineStr">
        <is>
          <t>Fruit and vegetables</t>
        </is>
      </c>
      <c r="K108" s="7" t="inlineStr">
        <is>
          <t>B</t>
        </is>
      </c>
      <c r="L108" s="7" t="inlineStr">
        <is>
          <t>Follows the class</t>
        </is>
      </c>
      <c r="M108" s="51" t="n">
        <v>1.9</v>
      </c>
      <c r="N108" s="7" t="inlineStr">
        <is>
          <t>Median of the family</t>
        </is>
      </c>
      <c r="O108" s="54" t="n">
        <v>1.9</v>
      </c>
      <c r="P108" s="54" t="n">
        <v>0</v>
      </c>
      <c r="Q108" s="7" t="inlineStr">
        <is>
          <t>yes</t>
        </is>
      </c>
      <c r="R108" s="7" t="inlineStr">
        <is>
          <t>whole</t>
        </is>
      </c>
      <c r="S108" s="7" t="inlineStr">
        <is>
          <t>FG4</t>
        </is>
      </c>
      <c r="T108" s="7" t="n"/>
      <c r="U108" s="7" t="inlineStr">
        <is>
          <t>plant</t>
        </is>
      </c>
      <c r="V108" s="7" t="n"/>
      <c r="W108" s="7" t="n"/>
      <c r="X108" s="55" t="n">
        <v>1</v>
      </c>
      <c r="Y108" s="50" t="n">
        <v>1</v>
      </c>
      <c r="Z108" s="7" t="inlineStr">
        <is>
          <t>declared</t>
        </is>
      </c>
      <c r="AA108" s="19">
        <f>IF(ISBLANK(Welcome!D134),"",Welcome!D134)</f>
        <v/>
      </c>
      <c r="AB108" s="29">
        <f>IF(ISBLANK(Welcome!E134),"",Welcome!E134)</f>
        <v/>
      </c>
      <c r="AC108" s="29">
        <f>IF(N(AB108)&gt;0,N(AB108),N(AA108)*Y108)</f>
        <v/>
      </c>
      <c r="AD108" s="29">
        <f>IF(H108="yes",AC108,0)</f>
        <v/>
      </c>
      <c r="AE108" s="29">
        <f>AD108*N(M108)/100</f>
        <v/>
      </c>
      <c r="AF108" s="29">
        <f>AD108*N(O108)/100</f>
        <v/>
      </c>
      <c r="AG108" s="29">
        <f>AD108*N(P108)/100</f>
        <v/>
      </c>
      <c r="AH108" s="50">
        <f>IF(Q108="yes",AD108/1000,0)</f>
        <v/>
      </c>
      <c r="AI108" s="50">
        <f>IF(S108="FG2",AH108*X108,AH108)</f>
        <v/>
      </c>
    </row>
    <row r="109">
      <c r="A109" s="7" t="inlineStr">
        <is>
          <t>HM00272</t>
        </is>
      </c>
      <c r="B109" s="16" t="inlineStr">
        <is>
          <t>5012345707839</t>
        </is>
      </c>
      <c r="C109" s="7" t="inlineStr">
        <is>
          <t>HM GARLIC 4PK 1KG</t>
        </is>
      </c>
      <c r="D109" s="7" t="inlineStr">
        <is>
          <t>Garlic bulbs, 1kg</t>
        </is>
      </c>
      <c r="E109" s="7" t="inlineStr">
        <is>
          <t>Harbour Market</t>
        </is>
      </c>
      <c r="F109" s="7" t="inlineStr">
        <is>
          <t>Fruit &amp; Vegetables</t>
        </is>
      </c>
      <c r="G109" s="7" t="inlineStr">
        <is>
          <t>Vegetables</t>
        </is>
      </c>
      <c r="H109" s="7" t="inlineStr">
        <is>
          <t>yes</t>
        </is>
      </c>
      <c r="I109" s="7" t="inlineStr">
        <is>
          <t>Plant-based non-core</t>
        </is>
      </c>
      <c r="J109" s="7" t="inlineStr">
        <is>
          <t>Fruit and vegetables</t>
        </is>
      </c>
      <c r="K109" s="7" t="inlineStr">
        <is>
          <t>B</t>
        </is>
      </c>
      <c r="L109" s="7" t="inlineStr">
        <is>
          <t>Follows the class</t>
        </is>
      </c>
      <c r="M109" s="51" t="n">
        <v>6.2</v>
      </c>
      <c r="N109" s="7" t="inlineStr">
        <is>
          <t>Declared by the retailer</t>
        </is>
      </c>
      <c r="O109" s="54" t="n">
        <v>6.2</v>
      </c>
      <c r="P109" s="54" t="n">
        <v>0</v>
      </c>
      <c r="Q109" s="7" t="inlineStr">
        <is>
          <t>yes</t>
        </is>
      </c>
      <c r="R109" s="7" t="inlineStr">
        <is>
          <t>whole</t>
        </is>
      </c>
      <c r="S109" s="7" t="inlineStr">
        <is>
          <t>FG4</t>
        </is>
      </c>
      <c r="T109" s="7" t="n"/>
      <c r="U109" s="7" t="inlineStr">
        <is>
          <t>plant</t>
        </is>
      </c>
      <c r="V109" s="7" t="n"/>
      <c r="W109" s="7" t="n"/>
      <c r="X109" s="55" t="n">
        <v>1</v>
      </c>
      <c r="Y109" s="50" t="n">
        <v>1</v>
      </c>
      <c r="Z109" s="7" t="inlineStr">
        <is>
          <t>declared</t>
        </is>
      </c>
      <c r="AA109" s="19">
        <f>IF(ISBLANK(Welcome!D135),"",Welcome!D135)</f>
        <v/>
      </c>
      <c r="AB109" s="29">
        <f>IF(ISBLANK(Welcome!E135),"",Welcome!E135)</f>
        <v/>
      </c>
      <c r="AC109" s="29">
        <f>IF(N(AB109)&gt;0,N(AB109),N(AA109)*Y109)</f>
        <v/>
      </c>
      <c r="AD109" s="29">
        <f>IF(H109="yes",AC109,0)</f>
        <v/>
      </c>
      <c r="AE109" s="29">
        <f>AD109*N(M109)/100</f>
        <v/>
      </c>
      <c r="AF109" s="29">
        <f>AD109*N(O109)/100</f>
        <v/>
      </c>
      <c r="AG109" s="29">
        <f>AD109*N(P109)/100</f>
        <v/>
      </c>
      <c r="AH109" s="50">
        <f>IF(Q109="yes",AD109/1000,0)</f>
        <v/>
      </c>
      <c r="AI109" s="50">
        <f>IF(S109="FG2",AH109*X109,AH109)</f>
        <v/>
      </c>
    </row>
    <row r="110">
      <c r="A110" s="7" t="inlineStr">
        <is>
          <t>HM00116</t>
        </is>
      </c>
      <c r="B110" s="16" t="inlineStr">
        <is>
          <t>4012345803983</t>
        </is>
      </c>
      <c r="C110" s="7" t="inlineStr">
        <is>
          <t>TARROW WHOLE CHKN 300G</t>
        </is>
      </c>
      <c r="D110" s="7" t="inlineStr">
        <is>
          <t>Whole chicken, 300g</t>
        </is>
      </c>
      <c r="E110" s="7" t="inlineStr">
        <is>
          <t>Tarrow Farm</t>
        </is>
      </c>
      <c r="F110" s="7" t="inlineStr">
        <is>
          <t>Fresh Meat &amp; Poultry</t>
        </is>
      </c>
      <c r="G110" s="7" t="inlineStr">
        <is>
          <t>Poultry</t>
        </is>
      </c>
      <c r="H110" s="7" t="inlineStr">
        <is>
          <t>yes</t>
        </is>
      </c>
      <c r="I110" s="7" t="inlineStr">
        <is>
          <t>Animal core</t>
        </is>
      </c>
      <c r="J110" s="7" t="inlineStr">
        <is>
          <t>Poultry</t>
        </is>
      </c>
      <c r="K110" s="7" t="inlineStr">
        <is>
          <t>A</t>
        </is>
      </c>
      <c r="L110" s="7" t="inlineStr">
        <is>
          <t>All ingredients on one side</t>
        </is>
      </c>
      <c r="M110" s="51" t="n">
        <v>21.1</v>
      </c>
      <c r="N110" s="7" t="inlineStr">
        <is>
          <t>Declared by the retailer</t>
        </is>
      </c>
      <c r="O110" s="54" t="n">
        <v>0</v>
      </c>
      <c r="P110" s="54" t="n">
        <v>21.1</v>
      </c>
      <c r="Q110" s="7" t="inlineStr">
        <is>
          <t>yes</t>
        </is>
      </c>
      <c r="R110" s="7" t="inlineStr">
        <is>
          <t>whole</t>
        </is>
      </c>
      <c r="S110" s="7" t="inlineStr">
        <is>
          <t>FG1</t>
        </is>
      </c>
      <c r="T110" s="7" t="inlineStr">
        <is>
          <t>Poultry</t>
        </is>
      </c>
      <c r="U110" s="7" t="inlineStr">
        <is>
          <t>animal</t>
        </is>
      </c>
      <c r="V110" s="7" t="n"/>
      <c r="W110" s="7" t="n"/>
      <c r="X110" s="55" t="n">
        <v>1</v>
      </c>
      <c r="Y110" s="50" t="n">
        <v>0.3</v>
      </c>
      <c r="Z110" s="7" t="inlineStr">
        <is>
          <t>declared</t>
        </is>
      </c>
      <c r="AA110" s="19">
        <f>IF(ISBLANK(Welcome!D136),"",Welcome!D136)</f>
        <v/>
      </c>
      <c r="AB110" s="29">
        <f>IF(ISBLANK(Welcome!E136),"",Welcome!E136)</f>
        <v/>
      </c>
      <c r="AC110" s="29">
        <f>IF(N(AB110)&gt;0,N(AB110),N(AA110)*Y110)</f>
        <v/>
      </c>
      <c r="AD110" s="29">
        <f>IF(H110="yes",AC110,0)</f>
        <v/>
      </c>
      <c r="AE110" s="29">
        <f>AD110*N(M110)/100</f>
        <v/>
      </c>
      <c r="AF110" s="29">
        <f>AD110*N(O110)/100</f>
        <v/>
      </c>
      <c r="AG110" s="29">
        <f>AD110*N(P110)/100</f>
        <v/>
      </c>
      <c r="AH110" s="50">
        <f>IF(Q110="yes",AD110/1000,0)</f>
        <v/>
      </c>
      <c r="AI110" s="50">
        <f>IF(S110="FG2",AH110*X110,AH110)</f>
        <v/>
      </c>
    </row>
    <row r="111">
      <c r="A111" s="7" t="inlineStr">
        <is>
          <t>HM00137</t>
        </is>
      </c>
      <c r="B111" s="16" t="inlineStr">
        <is>
          <t>3012345832939</t>
        </is>
      </c>
      <c r="C111" s="7" t="inlineStr">
        <is>
          <t>HM PROSECCO 3X75CL</t>
        </is>
      </c>
      <c r="D111" s="7" t="inlineStr">
        <is>
          <t>Prosecco, 3x75cl</t>
        </is>
      </c>
      <c r="E111" s="7" t="inlineStr">
        <is>
          <t>Harbour Market</t>
        </is>
      </c>
      <c r="F111" s="7" t="inlineStr">
        <is>
          <t>Beer, Wine &amp; Spirits</t>
        </is>
      </c>
      <c r="G111" s="7" t="inlineStr">
        <is>
          <t>Wine</t>
        </is>
      </c>
      <c r="H111" s="7" t="inlineStr">
        <is>
          <t>yes</t>
        </is>
      </c>
      <c r="I111" s="7" t="inlineStr">
        <is>
          <t>Plant-based non-core</t>
        </is>
      </c>
      <c r="J111" s="7" t="inlineStr">
        <is>
          <t>Outside the WWF scope</t>
        </is>
      </c>
      <c r="K111" s="7" t="inlineStr">
        <is>
          <t>A</t>
        </is>
      </c>
      <c r="L111" s="7" t="inlineStr">
        <is>
          <t>All ingredients on one side</t>
        </is>
      </c>
      <c r="M111" s="51" t="n">
        <v>0.1</v>
      </c>
      <c r="N111" s="7" t="inlineStr">
        <is>
          <t>Open Food Facts and NEVO, by EAN</t>
        </is>
      </c>
      <c r="O111" s="54" t="n">
        <v>0.1</v>
      </c>
      <c r="P111" s="54" t="n">
        <v>0</v>
      </c>
      <c r="Q111" s="7" t="inlineStr">
        <is>
          <t>no</t>
        </is>
      </c>
      <c r="R111" s="7" t="n"/>
      <c r="S111" s="7" t="n"/>
      <c r="T111" s="7" t="n"/>
      <c r="U111" s="7" t="n"/>
      <c r="V111" s="7" t="n"/>
      <c r="W111" s="7" t="inlineStr">
        <is>
          <t>alcohol</t>
        </is>
      </c>
      <c r="X111" s="55" t="n">
        <v>1</v>
      </c>
      <c r="Y111" s="50" t="n">
        <v>2.25</v>
      </c>
      <c r="Z111" s="7" t="inlineStr">
        <is>
          <t>declared</t>
        </is>
      </c>
      <c r="AA111" s="19">
        <f>IF(ISBLANK(Welcome!D137),"",Welcome!D137)</f>
        <v/>
      </c>
      <c r="AB111" s="29">
        <f>IF(ISBLANK(Welcome!E137),"",Welcome!E137)</f>
        <v/>
      </c>
      <c r="AC111" s="29">
        <f>IF(N(AB111)&gt;0,N(AB111),N(AA111)*Y111)</f>
        <v/>
      </c>
      <c r="AD111" s="29">
        <f>IF(H111="yes",AC111,0)</f>
        <v/>
      </c>
      <c r="AE111" s="29">
        <f>AD111*N(M111)/100</f>
        <v/>
      </c>
      <c r="AF111" s="29">
        <f>AD111*N(O111)/100</f>
        <v/>
      </c>
      <c r="AG111" s="29">
        <f>AD111*N(P111)/100</f>
        <v/>
      </c>
      <c r="AH111" s="50">
        <f>IF(Q111="yes",AD111/1000,0)</f>
        <v/>
      </c>
      <c r="AI111" s="50">
        <f>IF(S111="FG2",AH111*X111,AH111)</f>
        <v/>
      </c>
    </row>
    <row r="112">
      <c r="A112" s="7" t="inlineStr">
        <is>
          <t>HM00429</t>
        </is>
      </c>
      <c r="B112" s="16" t="inlineStr">
        <is>
          <t>4012345403626</t>
        </is>
      </c>
      <c r="C112" s="7" t="inlineStr">
        <is>
          <t>HM FARFALLE 1KG</t>
        </is>
      </c>
      <c r="D112" s="7" t="inlineStr">
        <is>
          <t>Farfalle, 1kg</t>
        </is>
      </c>
      <c r="E112" s="7" t="inlineStr">
        <is>
          <t>Harbour Market</t>
        </is>
      </c>
      <c r="F112" s="7" t="inlineStr">
        <is>
          <t>Grocery</t>
        </is>
      </c>
      <c r="G112" s="7" t="inlineStr">
        <is>
          <t>Pasta</t>
        </is>
      </c>
      <c r="H112" s="7" t="inlineStr">
        <is>
          <t>yes</t>
        </is>
      </c>
      <c r="I112" s="7" t="inlineStr">
        <is>
          <t>Plant-based non-core</t>
        </is>
      </c>
      <c r="J112" s="7" t="inlineStr">
        <is>
          <t>Refined grains</t>
        </is>
      </c>
      <c r="K112" s="7" t="inlineStr">
        <is>
          <t>A</t>
        </is>
      </c>
      <c r="L112" s="7" t="inlineStr">
        <is>
          <t>All ingredients on one side</t>
        </is>
      </c>
      <c r="M112" s="51" t="n">
        <v>13</v>
      </c>
      <c r="N112" s="7" t="inlineStr">
        <is>
          <t>Open Food Facts and NEVO, by EAN</t>
        </is>
      </c>
      <c r="O112" s="54" t="n">
        <v>13</v>
      </c>
      <c r="P112" s="54" t="n">
        <v>0</v>
      </c>
      <c r="Q112" s="7" t="inlineStr">
        <is>
          <t>yes</t>
        </is>
      </c>
      <c r="R112" s="7" t="inlineStr">
        <is>
          <t>whole</t>
        </is>
      </c>
      <c r="S112" s="7" t="inlineStr">
        <is>
          <t>FG5</t>
        </is>
      </c>
      <c r="T112" s="7" t="inlineStr">
        <is>
          <t>Refined grain</t>
        </is>
      </c>
      <c r="U112" s="7" t="inlineStr">
        <is>
          <t>plant</t>
        </is>
      </c>
      <c r="V112" s="7" t="n"/>
      <c r="W112" s="7" t="n"/>
      <c r="X112" s="55" t="n">
        <v>1</v>
      </c>
      <c r="Y112" s="50" t="n">
        <v>1</v>
      </c>
      <c r="Z112" s="7" t="inlineStr">
        <is>
          <t>declared</t>
        </is>
      </c>
      <c r="AA112" s="19">
        <f>IF(ISBLANK(Welcome!D138),"",Welcome!D138)</f>
        <v/>
      </c>
      <c r="AB112" s="29">
        <f>IF(ISBLANK(Welcome!E138),"",Welcome!E138)</f>
        <v/>
      </c>
      <c r="AC112" s="29">
        <f>IF(N(AB112)&gt;0,N(AB112),N(AA112)*Y112)</f>
        <v/>
      </c>
      <c r="AD112" s="29">
        <f>IF(H112="yes",AC112,0)</f>
        <v/>
      </c>
      <c r="AE112" s="29">
        <f>AD112*N(M112)/100</f>
        <v/>
      </c>
      <c r="AF112" s="29">
        <f>AD112*N(O112)/100</f>
        <v/>
      </c>
      <c r="AG112" s="29">
        <f>AD112*N(P112)/100</f>
        <v/>
      </c>
      <c r="AH112" s="50">
        <f>IF(Q112="yes",AD112/1000,0)</f>
        <v/>
      </c>
      <c r="AI112" s="50">
        <f>IF(S112="FG2",AH112*X112,AH112)</f>
        <v/>
      </c>
    </row>
    <row r="113">
      <c r="A113" s="7" t="inlineStr">
        <is>
          <t>HM00276</t>
        </is>
      </c>
      <c r="B113" s="16" t="inlineStr">
        <is>
          <t>2625799418610</t>
        </is>
      </c>
      <c r="C113" s="7" t="inlineStr">
        <is>
          <t>HM BROWN ONIONS KG</t>
        </is>
      </c>
      <c r="D113" s="7" t="inlineStr">
        <is>
          <t>Brown onions</t>
        </is>
      </c>
      <c r="E113" s="7" t="inlineStr">
        <is>
          <t>Harbour Market</t>
        </is>
      </c>
      <c r="F113" s="7" t="inlineStr">
        <is>
          <t>Fruit &amp; Vegetables</t>
        </is>
      </c>
      <c r="G113" s="7" t="inlineStr">
        <is>
          <t>Vegetables</t>
        </is>
      </c>
      <c r="H113" s="7" t="inlineStr">
        <is>
          <t>yes</t>
        </is>
      </c>
      <c r="I113" s="7" t="inlineStr">
        <is>
          <t>Plant-based non-core</t>
        </is>
      </c>
      <c r="J113" s="7" t="inlineStr">
        <is>
          <t>Fruit and vegetables</t>
        </is>
      </c>
      <c r="K113" s="7" t="inlineStr">
        <is>
          <t>B</t>
        </is>
      </c>
      <c r="L113" s="7" t="inlineStr">
        <is>
          <t>Follows the class</t>
        </is>
      </c>
      <c r="M113" s="51" t="n">
        <v>1.1</v>
      </c>
      <c r="N113" s="7" t="inlineStr">
        <is>
          <t>National food table (CIQUAL in France)</t>
        </is>
      </c>
      <c r="O113" s="54" t="n">
        <v>1.1</v>
      </c>
      <c r="P113" s="54" t="n">
        <v>0</v>
      </c>
      <c r="Q113" s="7" t="inlineStr">
        <is>
          <t>yes</t>
        </is>
      </c>
      <c r="R113" s="7" t="inlineStr">
        <is>
          <t>whole</t>
        </is>
      </c>
      <c r="S113" s="7" t="inlineStr">
        <is>
          <t>FG4</t>
        </is>
      </c>
      <c r="T113" s="7" t="n"/>
      <c r="U113" s="7" t="inlineStr">
        <is>
          <t>plant</t>
        </is>
      </c>
      <c r="V113" s="7" t="n"/>
      <c r="W113" s="7" t="n"/>
      <c r="X113" s="55" t="n">
        <v>1</v>
      </c>
      <c r="Y113" s="50" t="n">
        <v>1</v>
      </c>
      <c r="Z113" s="7" t="inlineStr">
        <is>
          <t>variable</t>
        </is>
      </c>
      <c r="AA113" s="19">
        <f>IF(ISBLANK(Welcome!D139),"",Welcome!D139)</f>
        <v/>
      </c>
      <c r="AB113" s="29">
        <f>IF(ISBLANK(Welcome!E139),"",Welcome!E139)</f>
        <v/>
      </c>
      <c r="AC113" s="29">
        <f>IF(N(AB113)&gt;0,N(AB113),N(AA113)*Y113)</f>
        <v/>
      </c>
      <c r="AD113" s="29">
        <f>IF(H113="yes",AC113,0)</f>
        <v/>
      </c>
      <c r="AE113" s="29">
        <f>AD113*N(M113)/100</f>
        <v/>
      </c>
      <c r="AF113" s="29">
        <f>AD113*N(O113)/100</f>
        <v/>
      </c>
      <c r="AG113" s="29">
        <f>AD113*N(P113)/100</f>
        <v/>
      </c>
      <c r="AH113" s="50">
        <f>IF(Q113="yes",AD113/1000,0)</f>
        <v/>
      </c>
      <c r="AI113" s="50">
        <f>IF(S113="FG2",AH113*X113,AH113)</f>
        <v/>
      </c>
    </row>
    <row r="114">
      <c r="A114" s="7" t="inlineStr">
        <is>
          <t>HM00323</t>
        </is>
      </c>
      <c r="B114" s="16" t="inlineStr">
        <is>
          <t>5012345241005</t>
        </is>
      </c>
      <c r="C114" s="7" t="inlineStr">
        <is>
          <t>SOLVANE OLIVE SPREAD 1KG</t>
        </is>
      </c>
      <c r="D114" s="7" t="inlineStr">
        <is>
          <t>Olive oil spread, 1kg</t>
        </is>
      </c>
      <c r="E114" s="7" t="inlineStr">
        <is>
          <t>Solvane</t>
        </is>
      </c>
      <c r="F114" s="7" t="inlineStr">
        <is>
          <t>Dairy &amp; Eggs</t>
        </is>
      </c>
      <c r="G114" s="7" t="inlineStr">
        <is>
          <t>Butter &amp; Spreads</t>
        </is>
      </c>
      <c r="H114" s="7" t="inlineStr">
        <is>
          <t>yes</t>
        </is>
      </c>
      <c r="I114" s="7" t="inlineStr">
        <is>
          <t>Plant-based non-core</t>
        </is>
      </c>
      <c r="J114" s="7" t="inlineStr">
        <is>
          <t>Other</t>
        </is>
      </c>
      <c r="K114" s="7" t="inlineStr">
        <is>
          <t>A</t>
        </is>
      </c>
      <c r="L114" s="7" t="inlineStr">
        <is>
          <t>All ingredients on one side</t>
        </is>
      </c>
      <c r="M114" s="51" t="n">
        <v>0.1</v>
      </c>
      <c r="N114" s="7" t="inlineStr">
        <is>
          <t>Declared by the retailer</t>
        </is>
      </c>
      <c r="O114" s="54" t="n">
        <v>0.1</v>
      </c>
      <c r="P114" s="54" t="n">
        <v>0</v>
      </c>
      <c r="Q114" s="7" t="inlineStr">
        <is>
          <t>yes</t>
        </is>
      </c>
      <c r="R114" s="7" t="inlineStr">
        <is>
          <t>whole</t>
        </is>
      </c>
      <c r="S114" s="7" t="inlineStr">
        <is>
          <t>FG3</t>
        </is>
      </c>
      <c r="T114" s="7" t="inlineStr">
        <is>
          <t>Plant-based fat</t>
        </is>
      </c>
      <c r="U114" s="7" t="inlineStr">
        <is>
          <t>plant</t>
        </is>
      </c>
      <c r="V114" s="7" t="n"/>
      <c r="W114" s="7" t="n"/>
      <c r="X114" s="55" t="n">
        <v>1</v>
      </c>
      <c r="Y114" s="50" t="n">
        <v>1</v>
      </c>
      <c r="Z114" s="7" t="inlineStr">
        <is>
          <t>declared</t>
        </is>
      </c>
      <c r="AA114" s="19">
        <f>IF(ISBLANK(Welcome!D140),"",Welcome!D140)</f>
        <v/>
      </c>
      <c r="AB114" s="29">
        <f>IF(ISBLANK(Welcome!E140),"",Welcome!E140)</f>
        <v/>
      </c>
      <c r="AC114" s="29">
        <f>IF(N(AB114)&gt;0,N(AB114),N(AA114)*Y114)</f>
        <v/>
      </c>
      <c r="AD114" s="29">
        <f>IF(H114="yes",AC114,0)</f>
        <v/>
      </c>
      <c r="AE114" s="29">
        <f>AD114*N(M114)/100</f>
        <v/>
      </c>
      <c r="AF114" s="29">
        <f>AD114*N(O114)/100</f>
        <v/>
      </c>
      <c r="AG114" s="29">
        <f>AD114*N(P114)/100</f>
        <v/>
      </c>
      <c r="AH114" s="50">
        <f>IF(Q114="yes",AD114/1000,0)</f>
        <v/>
      </c>
      <c r="AI114" s="50">
        <f>IF(S114="FG2",AH114*X114,AH114)</f>
        <v/>
      </c>
    </row>
    <row r="115">
      <c r="A115" s="7" t="inlineStr">
        <is>
          <t>HM00712</t>
        </is>
      </c>
      <c r="B115" s="16" t="inlineStr">
        <is>
          <t>8712345151195</t>
        </is>
      </c>
      <c r="C115" s="7" t="inlineStr">
        <is>
          <t>HM RASPBERRIES 500G</t>
        </is>
      </c>
      <c r="D115" s="7" t="inlineStr">
        <is>
          <t>Raspberries, 500g</t>
        </is>
      </c>
      <c r="E115" s="7" t="inlineStr">
        <is>
          <t>Harbour Market</t>
        </is>
      </c>
      <c r="F115" s="7" t="inlineStr">
        <is>
          <t>Fruit &amp; Vegetables</t>
        </is>
      </c>
      <c r="G115" s="7" t="inlineStr">
        <is>
          <t>Fruit</t>
        </is>
      </c>
      <c r="H115" s="7" t="inlineStr">
        <is>
          <t>yes</t>
        </is>
      </c>
      <c r="I115" s="7" t="inlineStr">
        <is>
          <t>Plant-based non-core</t>
        </is>
      </c>
      <c r="J115" s="7" t="inlineStr">
        <is>
          <t>Fruit and vegetables</t>
        </is>
      </c>
      <c r="K115" s="7" t="inlineStr">
        <is>
          <t>B</t>
        </is>
      </c>
      <c r="L115" s="7" t="inlineStr">
        <is>
          <t>Follows the class</t>
        </is>
      </c>
      <c r="M115" s="51" t="n">
        <v>1.1</v>
      </c>
      <c r="N115" s="7" t="inlineStr">
        <is>
          <t>Altera reference base</t>
        </is>
      </c>
      <c r="O115" s="54" t="n">
        <v>1.1</v>
      </c>
      <c r="P115" s="54" t="n">
        <v>0</v>
      </c>
      <c r="Q115" s="7" t="inlineStr">
        <is>
          <t>yes</t>
        </is>
      </c>
      <c r="R115" s="7" t="inlineStr">
        <is>
          <t>whole</t>
        </is>
      </c>
      <c r="S115" s="7" t="inlineStr">
        <is>
          <t>FG4</t>
        </is>
      </c>
      <c r="T115" s="7" t="n"/>
      <c r="U115" s="7" t="inlineStr">
        <is>
          <t>plant</t>
        </is>
      </c>
      <c r="V115" s="7" t="n"/>
      <c r="W115" s="7" t="n"/>
      <c r="X115" s="55" t="n">
        <v>1</v>
      </c>
      <c r="Y115" s="50" t="n">
        <v>0.5</v>
      </c>
      <c r="Z115" s="7" t="inlineStr">
        <is>
          <t>declared</t>
        </is>
      </c>
      <c r="AA115" s="19">
        <f>IF(ISBLANK(Welcome!D141),"",Welcome!D141)</f>
        <v/>
      </c>
      <c r="AB115" s="29">
        <f>IF(ISBLANK(Welcome!E141),"",Welcome!E141)</f>
        <v/>
      </c>
      <c r="AC115" s="29">
        <f>IF(N(AB115)&gt;0,N(AB115),N(AA115)*Y115)</f>
        <v/>
      </c>
      <c r="AD115" s="29">
        <f>IF(H115="yes",AC115,0)</f>
        <v/>
      </c>
      <c r="AE115" s="29">
        <f>AD115*N(M115)/100</f>
        <v/>
      </c>
      <c r="AF115" s="29">
        <f>AD115*N(O115)/100</f>
        <v/>
      </c>
      <c r="AG115" s="29">
        <f>AD115*N(P115)/100</f>
        <v/>
      </c>
      <c r="AH115" s="50">
        <f>IF(Q115="yes",AD115/1000,0)</f>
        <v/>
      </c>
      <c r="AI115" s="50">
        <f>IF(S115="FG2",AH115*X115,AH115)</f>
        <v/>
      </c>
    </row>
    <row r="116">
      <c r="A116" s="7" t="inlineStr">
        <is>
          <t>HM00207</t>
        </is>
      </c>
      <c r="B116" s="16" t="inlineStr">
        <is>
          <t>5012345272870</t>
        </is>
      </c>
      <c r="C116" s="7" t="inlineStr">
        <is>
          <t>HM CHERRY YOG 450G</t>
        </is>
      </c>
      <c r="D116" s="7" t="inlineStr">
        <is>
          <t>Cherry yoghurt, 450g</t>
        </is>
      </c>
      <c r="E116" s="7" t="inlineStr">
        <is>
          <t>Harbour Market</t>
        </is>
      </c>
      <c r="F116" s="7" t="inlineStr">
        <is>
          <t>Dairy &amp; Eggs</t>
        </is>
      </c>
      <c r="G116" s="7" t="inlineStr">
        <is>
          <t>Yoghurt</t>
        </is>
      </c>
      <c r="H116" s="7" t="inlineStr">
        <is>
          <t>yes</t>
        </is>
      </c>
      <c r="I116" s="7" t="inlineStr">
        <is>
          <t>Animal core</t>
        </is>
      </c>
      <c r="J116" s="7" t="inlineStr">
        <is>
          <t>Milk, yoghurt and cream</t>
        </is>
      </c>
      <c r="K116" s="7" t="inlineStr">
        <is>
          <t>B</t>
        </is>
      </c>
      <c r="L116" s="7" t="inlineStr">
        <is>
          <t>First ingredient</t>
        </is>
      </c>
      <c r="M116" s="51" t="n">
        <v>3.6</v>
      </c>
      <c r="N116" s="7" t="inlineStr">
        <is>
          <t>Declared by the retailer</t>
        </is>
      </c>
      <c r="O116" s="54" t="n">
        <v>0</v>
      </c>
      <c r="P116" s="54" t="n">
        <v>3.6</v>
      </c>
      <c r="Q116" s="7" t="inlineStr">
        <is>
          <t>yes</t>
        </is>
      </c>
      <c r="R116" s="7" t="inlineStr">
        <is>
          <t>whole</t>
        </is>
      </c>
      <c r="S116" s="7" t="inlineStr">
        <is>
          <t>FG2</t>
        </is>
      </c>
      <c r="T116" s="7" t="inlineStr">
        <is>
          <t>Dairy</t>
        </is>
      </c>
      <c r="U116" s="7" t="inlineStr">
        <is>
          <t>animal</t>
        </is>
      </c>
      <c r="V116" s="7" t="n"/>
      <c r="W116" s="7" t="n"/>
      <c r="X116" s="55" t="n">
        <v>1</v>
      </c>
      <c r="Y116" s="50" t="n">
        <v>0.45</v>
      </c>
      <c r="Z116" s="7" t="inlineStr">
        <is>
          <t>declared</t>
        </is>
      </c>
      <c r="AA116" s="19">
        <f>IF(ISBLANK(Welcome!D142),"",Welcome!D142)</f>
        <v/>
      </c>
      <c r="AB116" s="29">
        <f>IF(ISBLANK(Welcome!E142),"",Welcome!E142)</f>
        <v/>
      </c>
      <c r="AC116" s="29">
        <f>IF(N(AB116)&gt;0,N(AB116),N(AA116)*Y116)</f>
        <v/>
      </c>
      <c r="AD116" s="29">
        <f>IF(H116="yes",AC116,0)</f>
        <v/>
      </c>
      <c r="AE116" s="29">
        <f>AD116*N(M116)/100</f>
        <v/>
      </c>
      <c r="AF116" s="29">
        <f>AD116*N(O116)/100</f>
        <v/>
      </c>
      <c r="AG116" s="29">
        <f>AD116*N(P116)/100</f>
        <v/>
      </c>
      <c r="AH116" s="50">
        <f>IF(Q116="yes",AD116/1000,0)</f>
        <v/>
      </c>
      <c r="AI116" s="50">
        <f>IF(S116="FG2",AH116*X116,AH116)</f>
        <v/>
      </c>
    </row>
    <row r="117">
      <c r="A117" s="7" t="inlineStr">
        <is>
          <t>HM00254</t>
        </is>
      </c>
      <c r="B117" s="16" t="inlineStr">
        <is>
          <t>0012345375217</t>
        </is>
      </c>
      <c r="C117" s="7" t="inlineStr">
        <is>
          <t>SOLVANE HOUMOUS CLASSIC 200G</t>
        </is>
      </c>
      <c r="D117" s="7" t="inlineStr">
        <is>
          <t>Classic houmous, 200g</t>
        </is>
      </c>
      <c r="E117" s="7" t="inlineStr">
        <is>
          <t>Solvane</t>
        </is>
      </c>
      <c r="F117" s="7" t="inlineStr">
        <is>
          <t>Deli</t>
        </is>
      </c>
      <c r="G117" s="7" t="inlineStr">
        <is>
          <t>Dips</t>
        </is>
      </c>
      <c r="H117" s="7" t="inlineStr">
        <is>
          <t>yes</t>
        </is>
      </c>
      <c r="I117" s="7" t="inlineStr">
        <is>
          <t>Plant-based core</t>
        </is>
      </c>
      <c r="J117" s="7" t="inlineStr">
        <is>
          <t>Pulses</t>
        </is>
      </c>
      <c r="K117" s="7" t="inlineStr">
        <is>
          <t>A</t>
        </is>
      </c>
      <c r="L117" s="7" t="inlineStr">
        <is>
          <t>All ingredients on one side</t>
        </is>
      </c>
      <c r="M117" s="51" t="n">
        <v>6.9</v>
      </c>
      <c r="N117" s="7" t="inlineStr">
        <is>
          <t>National food table (CIQUAL in France)</t>
        </is>
      </c>
      <c r="O117" s="54" t="n">
        <v>6.9</v>
      </c>
      <c r="P117" s="54" t="n">
        <v>0</v>
      </c>
      <c r="Q117" s="7" t="inlineStr">
        <is>
          <t>yes</t>
        </is>
      </c>
      <c r="R117" s="7" t="inlineStr">
        <is>
          <t>whole</t>
        </is>
      </c>
      <c r="S117" s="7" t="inlineStr">
        <is>
          <t>FG1</t>
        </is>
      </c>
      <c r="T117" s="7" t="inlineStr">
        <is>
          <t>Pulses</t>
        </is>
      </c>
      <c r="U117" s="7" t="inlineStr">
        <is>
          <t>plant</t>
        </is>
      </c>
      <c r="V117" s="7" t="n"/>
      <c r="W117" s="7" t="n"/>
      <c r="X117" s="55" t="n">
        <v>1</v>
      </c>
      <c r="Y117" s="50" t="n">
        <v>0.2</v>
      </c>
      <c r="Z117" s="7" t="inlineStr">
        <is>
          <t>declared</t>
        </is>
      </c>
      <c r="AA117" s="19">
        <f>IF(ISBLANK(Welcome!D143),"",Welcome!D143)</f>
        <v/>
      </c>
      <c r="AB117" s="29">
        <f>IF(ISBLANK(Welcome!E143),"",Welcome!E143)</f>
        <v/>
      </c>
      <c r="AC117" s="29">
        <f>IF(N(AB117)&gt;0,N(AB117),N(AA117)*Y117)</f>
        <v/>
      </c>
      <c r="AD117" s="29">
        <f>IF(H117="yes",AC117,0)</f>
        <v/>
      </c>
      <c r="AE117" s="29">
        <f>AD117*N(M117)/100</f>
        <v/>
      </c>
      <c r="AF117" s="29">
        <f>AD117*N(O117)/100</f>
        <v/>
      </c>
      <c r="AG117" s="29">
        <f>AD117*N(P117)/100</f>
        <v/>
      </c>
      <c r="AH117" s="50">
        <f>IF(Q117="yes",AD117/1000,0)</f>
        <v/>
      </c>
      <c r="AI117" s="50">
        <f>IF(S117="FG2",AH117*X117,AH117)</f>
        <v/>
      </c>
    </row>
    <row r="118">
      <c r="A118" s="7" t="inlineStr">
        <is>
          <t>HM00495</t>
        </is>
      </c>
      <c r="B118" s="16" t="inlineStr">
        <is>
          <t>3012345771986</t>
        </is>
      </c>
      <c r="C118" s="7" t="inlineStr">
        <is>
          <t>HM RED KIDNEY BEANS 4X400G</t>
        </is>
      </c>
      <c r="D118" s="7" t="inlineStr">
        <is>
          <t>Red kidney beans in water, 4x400g</t>
        </is>
      </c>
      <c r="E118" s="7" t="inlineStr">
        <is>
          <t>Harbour Market</t>
        </is>
      </c>
      <c r="F118" s="7" t="inlineStr">
        <is>
          <t>Grocery</t>
        </is>
      </c>
      <c r="G118" s="7" t="inlineStr">
        <is>
          <t>Pulses</t>
        </is>
      </c>
      <c r="H118" s="7" t="inlineStr">
        <is>
          <t>yes</t>
        </is>
      </c>
      <c r="I118" s="7" t="inlineStr">
        <is>
          <t>Plant-based core</t>
        </is>
      </c>
      <c r="J118" s="7" t="inlineStr">
        <is>
          <t>Pulses</t>
        </is>
      </c>
      <c r="K118" s="7" t="inlineStr">
        <is>
          <t>A</t>
        </is>
      </c>
      <c r="L118" s="7" t="inlineStr">
        <is>
          <t>All ingredients on one side</t>
        </is>
      </c>
      <c r="M118" s="51" t="n">
        <v>6.8</v>
      </c>
      <c r="N118" s="7" t="inlineStr">
        <is>
          <t>Open Food Facts and NEVO, by EAN</t>
        </is>
      </c>
      <c r="O118" s="54" t="n">
        <v>6.8</v>
      </c>
      <c r="P118" s="54" t="n">
        <v>0</v>
      </c>
      <c r="Q118" s="7" t="inlineStr">
        <is>
          <t>yes</t>
        </is>
      </c>
      <c r="R118" s="7" t="inlineStr">
        <is>
          <t>whole</t>
        </is>
      </c>
      <c r="S118" s="7" t="inlineStr">
        <is>
          <t>FG1</t>
        </is>
      </c>
      <c r="T118" s="7" t="inlineStr">
        <is>
          <t>Pulses</t>
        </is>
      </c>
      <c r="U118" s="7" t="inlineStr">
        <is>
          <t>plant</t>
        </is>
      </c>
      <c r="V118" s="7" t="n"/>
      <c r="W118" s="7" t="n"/>
      <c r="X118" s="55" t="n">
        <v>1</v>
      </c>
      <c r="Y118" s="50" t="n">
        <v>1.6</v>
      </c>
      <c r="Z118" s="7" t="inlineStr">
        <is>
          <t>declared</t>
        </is>
      </c>
      <c r="AA118" s="19">
        <f>IF(ISBLANK(Welcome!D144),"",Welcome!D144)</f>
        <v/>
      </c>
      <c r="AB118" s="29">
        <f>IF(ISBLANK(Welcome!E144),"",Welcome!E144)</f>
        <v/>
      </c>
      <c r="AC118" s="29">
        <f>IF(N(AB118)&gt;0,N(AB118),N(AA118)*Y118)</f>
        <v/>
      </c>
      <c r="AD118" s="29">
        <f>IF(H118="yes",AC118,0)</f>
        <v/>
      </c>
      <c r="AE118" s="29">
        <f>AD118*N(M118)/100</f>
        <v/>
      </c>
      <c r="AF118" s="29">
        <f>AD118*N(O118)/100</f>
        <v/>
      </c>
      <c r="AG118" s="29">
        <f>AD118*N(P118)/100</f>
        <v/>
      </c>
      <c r="AH118" s="50">
        <f>IF(Q118="yes",AD118/1000,0)</f>
        <v/>
      </c>
      <c r="AI118" s="50">
        <f>IF(S118="FG2",AH118*X118,AH118)</f>
        <v/>
      </c>
    </row>
    <row r="119">
      <c r="A119" s="7" t="inlineStr">
        <is>
          <t>HM00445</t>
        </is>
      </c>
      <c r="B119" s="16" t="inlineStr">
        <is>
          <t>4012345357578</t>
        </is>
      </c>
      <c r="C119" s="7" t="inlineStr">
        <is>
          <t>FJELDA SPREADABLE BUTTER 250G</t>
        </is>
      </c>
      <c r="D119" s="7" t="inlineStr">
        <is>
          <t>Spreadable butter, 250g</t>
        </is>
      </c>
      <c r="E119" s="7" t="inlineStr">
        <is>
          <t>Fjelda</t>
        </is>
      </c>
      <c r="F119" s="7" t="inlineStr">
        <is>
          <t>Dairy &amp; Eggs</t>
        </is>
      </c>
      <c r="G119" s="7" t="inlineStr">
        <is>
          <t>Butter &amp; Spreads</t>
        </is>
      </c>
      <c r="H119" s="7" t="inlineStr">
        <is>
          <t>yes</t>
        </is>
      </c>
      <c r="I119" s="7" t="inlineStr">
        <is>
          <t>Animal core</t>
        </is>
      </c>
      <c r="J119" s="7" t="inlineStr">
        <is>
          <t>Other</t>
        </is>
      </c>
      <c r="K119" s="7" t="inlineStr">
        <is>
          <t>A</t>
        </is>
      </c>
      <c r="L119" s="7" t="inlineStr">
        <is>
          <t>All ingredients on one side</t>
        </is>
      </c>
      <c r="M119" s="51" t="n">
        <v>0.58</v>
      </c>
      <c r="N119" s="7" t="inlineStr">
        <is>
          <t>Declared by the retailer</t>
        </is>
      </c>
      <c r="O119" s="54" t="n">
        <v>0</v>
      </c>
      <c r="P119" s="54" t="n">
        <v>0.58</v>
      </c>
      <c r="Q119" s="7" t="inlineStr">
        <is>
          <t>yes</t>
        </is>
      </c>
      <c r="R119" s="7" t="inlineStr">
        <is>
          <t>whole</t>
        </is>
      </c>
      <c r="S119" s="7" t="inlineStr">
        <is>
          <t>FG3</t>
        </is>
      </c>
      <c r="T119" s="7" t="inlineStr">
        <is>
          <t>Animal-based fat</t>
        </is>
      </c>
      <c r="U119" s="7" t="inlineStr">
        <is>
          <t>animal</t>
        </is>
      </c>
      <c r="V119" s="7" t="n"/>
      <c r="W119" s="7" t="n"/>
      <c r="X119" s="55" t="n">
        <v>1</v>
      </c>
      <c r="Y119" s="50" t="n">
        <v>0.25</v>
      </c>
      <c r="Z119" s="7" t="inlineStr">
        <is>
          <t>declared</t>
        </is>
      </c>
      <c r="AA119" s="19">
        <f>IF(ISBLANK(Welcome!D145),"",Welcome!D145)</f>
        <v/>
      </c>
      <c r="AB119" s="29">
        <f>IF(ISBLANK(Welcome!E145),"",Welcome!E145)</f>
        <v/>
      </c>
      <c r="AC119" s="29">
        <f>IF(N(AB119)&gt;0,N(AB119),N(AA119)*Y119)</f>
        <v/>
      </c>
      <c r="AD119" s="29">
        <f>IF(H119="yes",AC119,0)</f>
        <v/>
      </c>
      <c r="AE119" s="29">
        <f>AD119*N(M119)/100</f>
        <v/>
      </c>
      <c r="AF119" s="29">
        <f>AD119*N(O119)/100</f>
        <v/>
      </c>
      <c r="AG119" s="29">
        <f>AD119*N(P119)/100</f>
        <v/>
      </c>
      <c r="AH119" s="50">
        <f>IF(Q119="yes",AD119/1000,0)</f>
        <v/>
      </c>
      <c r="AI119" s="50">
        <f>IF(S119="FG2",AH119*X119,AH119)</f>
        <v/>
      </c>
    </row>
    <row r="120">
      <c r="A120" s="7" t="inlineStr">
        <is>
          <t>HM00664</t>
        </is>
      </c>
      <c r="B120" s="16" t="inlineStr">
        <is>
          <t>4012345084641</t>
        </is>
      </c>
      <c r="C120" s="7" t="inlineStr">
        <is>
          <t>HM ICEBERG LETTUCE 1KG</t>
        </is>
      </c>
      <c r="D120" s="7" t="inlineStr">
        <is>
          <t>Iceberg lettuce, 1kg</t>
        </is>
      </c>
      <c r="E120" s="7" t="inlineStr">
        <is>
          <t>Harbour Market</t>
        </is>
      </c>
      <c r="F120" s="7" t="inlineStr">
        <is>
          <t>Fruit &amp; Vegetables</t>
        </is>
      </c>
      <c r="G120" s="7" t="inlineStr">
        <is>
          <t>Vegetables</t>
        </is>
      </c>
      <c r="H120" s="7" t="inlineStr">
        <is>
          <t>yes</t>
        </is>
      </c>
      <c r="I120" s="7" t="inlineStr">
        <is>
          <t>Plant-based non-core</t>
        </is>
      </c>
      <c r="J120" s="7" t="inlineStr">
        <is>
          <t>Fruit and vegetables</t>
        </is>
      </c>
      <c r="K120" s="7" t="inlineStr">
        <is>
          <t>B</t>
        </is>
      </c>
      <c r="L120" s="7" t="inlineStr">
        <is>
          <t>Follows the class</t>
        </is>
      </c>
      <c r="M120" s="51" t="n">
        <v>1</v>
      </c>
      <c r="N120" s="7" t="inlineStr">
        <is>
          <t>Declared by the retailer</t>
        </is>
      </c>
      <c r="O120" s="54" t="n">
        <v>1</v>
      </c>
      <c r="P120" s="54" t="n">
        <v>0</v>
      </c>
      <c r="Q120" s="7" t="inlineStr">
        <is>
          <t>yes</t>
        </is>
      </c>
      <c r="R120" s="7" t="inlineStr">
        <is>
          <t>whole</t>
        </is>
      </c>
      <c r="S120" s="7" t="inlineStr">
        <is>
          <t>FG4</t>
        </is>
      </c>
      <c r="T120" s="7" t="n"/>
      <c r="U120" s="7" t="inlineStr">
        <is>
          <t>plant</t>
        </is>
      </c>
      <c r="V120" s="7" t="n"/>
      <c r="W120" s="7" t="n"/>
      <c r="X120" s="55" t="n">
        <v>1</v>
      </c>
      <c r="Y120" s="50" t="n">
        <v>1</v>
      </c>
      <c r="Z120" s="7" t="inlineStr">
        <is>
          <t>declared</t>
        </is>
      </c>
      <c r="AA120" s="19">
        <f>IF(ISBLANK(Welcome!D146),"",Welcome!D146)</f>
        <v/>
      </c>
      <c r="AB120" s="29">
        <f>IF(ISBLANK(Welcome!E146),"",Welcome!E146)</f>
        <v/>
      </c>
      <c r="AC120" s="29">
        <f>IF(N(AB120)&gt;0,N(AB120),N(AA120)*Y120)</f>
        <v/>
      </c>
      <c r="AD120" s="29">
        <f>IF(H120="yes",AC120,0)</f>
        <v/>
      </c>
      <c r="AE120" s="29">
        <f>AD120*N(M120)/100</f>
        <v/>
      </c>
      <c r="AF120" s="29">
        <f>AD120*N(O120)/100</f>
        <v/>
      </c>
      <c r="AG120" s="29">
        <f>AD120*N(P120)/100</f>
        <v/>
      </c>
      <c r="AH120" s="50">
        <f>IF(Q120="yes",AD120/1000,0)</f>
        <v/>
      </c>
      <c r="AI120" s="50">
        <f>IF(S120="FG2",AH120*X120,AH120)</f>
        <v/>
      </c>
    </row>
    <row r="121">
      <c r="A121" s="7" t="inlineStr">
        <is>
          <t>HM00621</t>
        </is>
      </c>
      <c r="B121" s="16" t="inlineStr">
        <is>
          <t>5012345217505</t>
        </is>
      </c>
      <c r="C121" s="7" t="inlineStr">
        <is>
          <t>NUVELLE ORANGE SODA 2L</t>
        </is>
      </c>
      <c r="D121" s="7" t="inlineStr">
        <is>
          <t>Orange soda, 2l</t>
        </is>
      </c>
      <c r="E121" s="7" t="inlineStr">
        <is>
          <t>Nuvelle</t>
        </is>
      </c>
      <c r="F121" s="7" t="inlineStr">
        <is>
          <t>Soft Drinks &amp; Water</t>
        </is>
      </c>
      <c r="G121" s="7" t="inlineStr">
        <is>
          <t>Soft Drinks</t>
        </is>
      </c>
      <c r="H121" s="7" t="inlineStr">
        <is>
          <t>yes</t>
        </is>
      </c>
      <c r="I121" s="7" t="inlineStr">
        <is>
          <t>Plant-based non-core</t>
        </is>
      </c>
      <c r="J121" s="7" t="inlineStr">
        <is>
          <t>Outside the WWF scope</t>
        </is>
      </c>
      <c r="K121" s="7" t="inlineStr">
        <is>
          <t>A</t>
        </is>
      </c>
      <c r="L121" s="7" t="inlineStr">
        <is>
          <t>All ingredients on one side</t>
        </is>
      </c>
      <c r="M121" s="51" t="n">
        <v>0</v>
      </c>
      <c r="N121" s="7" t="inlineStr">
        <is>
          <t>Declared by the retailer</t>
        </is>
      </c>
      <c r="O121" s="54" t="n">
        <v>0</v>
      </c>
      <c r="P121" s="54" t="n">
        <v>0</v>
      </c>
      <c r="Q121" s="7" t="inlineStr">
        <is>
          <t>no</t>
        </is>
      </c>
      <c r="R121" s="7" t="n"/>
      <c r="S121" s="7" t="n"/>
      <c r="T121" s="7" t="n"/>
      <c r="U121" s="7" t="n"/>
      <c r="V121" s="7" t="n"/>
      <c r="W121" s="7" t="inlineStr">
        <is>
          <t>beverage</t>
        </is>
      </c>
      <c r="X121" s="55" t="n">
        <v>1</v>
      </c>
      <c r="Y121" s="50" t="n">
        <v>2</v>
      </c>
      <c r="Z121" s="7" t="inlineStr">
        <is>
          <t>declared</t>
        </is>
      </c>
      <c r="AA121" s="19">
        <f>IF(ISBLANK(Welcome!D147),"",Welcome!D147)</f>
        <v/>
      </c>
      <c r="AB121" s="29">
        <f>IF(ISBLANK(Welcome!E147),"",Welcome!E147)</f>
        <v/>
      </c>
      <c r="AC121" s="29">
        <f>IF(N(AB121)&gt;0,N(AB121),N(AA121)*Y121)</f>
        <v/>
      </c>
      <c r="AD121" s="29">
        <f>IF(H121="yes",AC121,0)</f>
        <v/>
      </c>
      <c r="AE121" s="29">
        <f>AD121*N(M121)/100</f>
        <v/>
      </c>
      <c r="AF121" s="29">
        <f>AD121*N(O121)/100</f>
        <v/>
      </c>
      <c r="AG121" s="29">
        <f>AD121*N(P121)/100</f>
        <v/>
      </c>
      <c r="AH121" s="50">
        <f>IF(Q121="yes",AD121/1000,0)</f>
        <v/>
      </c>
      <c r="AI121" s="50">
        <f>IF(S121="FG2",AH121*X121,AH121)</f>
        <v/>
      </c>
    </row>
    <row r="122">
      <c r="A122" s="7" t="inlineStr">
        <is>
          <t>HM00045</t>
        </is>
      </c>
      <c r="B122" s="16" t="inlineStr">
        <is>
          <t>5012345442990</t>
        </is>
      </c>
      <c r="C122" s="7" t="inlineStr">
        <is>
          <t>GREEK STYLE YOG 4X125G FJELDA</t>
        </is>
      </c>
      <c r="D122" s="7" t="inlineStr">
        <is>
          <t>Greek-style yoghurt, 4x125g</t>
        </is>
      </c>
      <c r="E122" s="7" t="inlineStr">
        <is>
          <t>Fjelda</t>
        </is>
      </c>
      <c r="F122" s="7" t="inlineStr">
        <is>
          <t>Dairy &amp; Eggs</t>
        </is>
      </c>
      <c r="G122" s="7" t="inlineStr">
        <is>
          <t>Yoghurt</t>
        </is>
      </c>
      <c r="H122" s="7" t="inlineStr">
        <is>
          <t>yes</t>
        </is>
      </c>
      <c r="I122" s="7" t="inlineStr">
        <is>
          <t>Animal core</t>
        </is>
      </c>
      <c r="J122" s="7" t="inlineStr">
        <is>
          <t>Milk, yoghurt and cream</t>
        </is>
      </c>
      <c r="K122" s="7" t="inlineStr">
        <is>
          <t>A</t>
        </is>
      </c>
      <c r="L122" s="7" t="inlineStr">
        <is>
          <t>All ingredients on one side</t>
        </is>
      </c>
      <c r="M122" s="51" t="n">
        <v>5.9</v>
      </c>
      <c r="N122" s="7" t="inlineStr">
        <is>
          <t>Declared by the retailer</t>
        </is>
      </c>
      <c r="O122" s="54" t="n">
        <v>0</v>
      </c>
      <c r="P122" s="54" t="n">
        <v>5.9</v>
      </c>
      <c r="Q122" s="7" t="inlineStr">
        <is>
          <t>yes</t>
        </is>
      </c>
      <c r="R122" s="7" t="inlineStr">
        <is>
          <t>whole</t>
        </is>
      </c>
      <c r="S122" s="7" t="inlineStr">
        <is>
          <t>FG2</t>
        </is>
      </c>
      <c r="T122" s="7" t="inlineStr">
        <is>
          <t>Dairy</t>
        </is>
      </c>
      <c r="U122" s="7" t="inlineStr">
        <is>
          <t>animal</t>
        </is>
      </c>
      <c r="V122" s="7" t="n"/>
      <c r="W122" s="7" t="n"/>
      <c r="X122" s="55" t="n">
        <v>1</v>
      </c>
      <c r="Y122" s="50" t="n">
        <v>0.5</v>
      </c>
      <c r="Z122" s="7" t="inlineStr">
        <is>
          <t>declared</t>
        </is>
      </c>
      <c r="AA122" s="19">
        <f>IF(ISBLANK(Welcome!D148),"",Welcome!D148)</f>
        <v/>
      </c>
      <c r="AB122" s="29">
        <f>IF(ISBLANK(Welcome!E148),"",Welcome!E148)</f>
        <v/>
      </c>
      <c r="AC122" s="29">
        <f>IF(N(AB122)&gt;0,N(AB122),N(AA122)*Y122)</f>
        <v/>
      </c>
      <c r="AD122" s="29">
        <f>IF(H122="yes",AC122,0)</f>
        <v/>
      </c>
      <c r="AE122" s="29">
        <f>AD122*N(M122)/100</f>
        <v/>
      </c>
      <c r="AF122" s="29">
        <f>AD122*N(O122)/100</f>
        <v/>
      </c>
      <c r="AG122" s="29">
        <f>AD122*N(P122)/100</f>
        <v/>
      </c>
      <c r="AH122" s="50">
        <f>IF(Q122="yes",AD122/1000,0)</f>
        <v/>
      </c>
      <c r="AI122" s="50">
        <f>IF(S122="FG2",AH122*X122,AH122)</f>
        <v/>
      </c>
    </row>
    <row r="123">
      <c r="A123" s="7" t="inlineStr">
        <is>
          <t>HM00048</t>
        </is>
      </c>
      <c r="B123" s="16" t="inlineStr">
        <is>
          <t>8712345104481</t>
        </is>
      </c>
      <c r="C123" s="7" t="inlineStr">
        <is>
          <t>TARROW BF DICED STEW 250G</t>
        </is>
      </c>
      <c r="D123" s="7" t="inlineStr">
        <is>
          <t>Diced beef for stewing, 250g</t>
        </is>
      </c>
      <c r="E123" s="7" t="inlineStr">
        <is>
          <t>Tarrow Farm</t>
        </is>
      </c>
      <c r="F123" s="7" t="inlineStr">
        <is>
          <t>Fresh Meat &amp; Poultry</t>
        </is>
      </c>
      <c r="G123" s="7" t="inlineStr">
        <is>
          <t>Beef</t>
        </is>
      </c>
      <c r="H123" s="7" t="inlineStr">
        <is>
          <t>yes</t>
        </is>
      </c>
      <c r="I123" s="7" t="inlineStr">
        <is>
          <t>Animal core</t>
        </is>
      </c>
      <c r="J123" s="7" t="inlineStr">
        <is>
          <t>Red meat</t>
        </is>
      </c>
      <c r="K123" s="7" t="inlineStr">
        <is>
          <t>B</t>
        </is>
      </c>
      <c r="L123" s="7" t="inlineStr">
        <is>
          <t>Follows the class</t>
        </is>
      </c>
      <c r="M123" s="51" t="n">
        <v>21.8</v>
      </c>
      <c r="N123" s="7" t="inlineStr">
        <is>
          <t>Declared by the retailer</t>
        </is>
      </c>
      <c r="O123" s="54" t="n">
        <v>0</v>
      </c>
      <c r="P123" s="54" t="n">
        <v>21.8</v>
      </c>
      <c r="Q123" s="7" t="inlineStr">
        <is>
          <t>yes</t>
        </is>
      </c>
      <c r="R123" s="7" t="inlineStr">
        <is>
          <t>whole</t>
        </is>
      </c>
      <c r="S123" s="7" t="inlineStr">
        <is>
          <t>FG1</t>
        </is>
      </c>
      <c r="T123" s="7" t="inlineStr">
        <is>
          <t>Red meat</t>
        </is>
      </c>
      <c r="U123" s="7" t="inlineStr">
        <is>
          <t>animal</t>
        </is>
      </c>
      <c r="V123" s="7" t="n"/>
      <c r="W123" s="7" t="n"/>
      <c r="X123" s="55" t="n">
        <v>1</v>
      </c>
      <c r="Y123" s="50" t="n">
        <v>0.25</v>
      </c>
      <c r="Z123" s="7" t="inlineStr">
        <is>
          <t>declared</t>
        </is>
      </c>
      <c r="AA123" s="19">
        <f>IF(ISBLANK(Welcome!D149),"",Welcome!D149)</f>
        <v/>
      </c>
      <c r="AB123" s="29">
        <f>IF(ISBLANK(Welcome!E149),"",Welcome!E149)</f>
        <v/>
      </c>
      <c r="AC123" s="29">
        <f>IF(N(AB123)&gt;0,N(AB123),N(AA123)*Y123)</f>
        <v/>
      </c>
      <c r="AD123" s="29">
        <f>IF(H123="yes",AC123,0)</f>
        <v/>
      </c>
      <c r="AE123" s="29">
        <f>AD123*N(M123)/100</f>
        <v/>
      </c>
      <c r="AF123" s="29">
        <f>AD123*N(O123)/100</f>
        <v/>
      </c>
      <c r="AG123" s="29">
        <f>AD123*N(P123)/100</f>
        <v/>
      </c>
      <c r="AH123" s="50">
        <f>IF(Q123="yes",AD123/1000,0)</f>
        <v/>
      </c>
      <c r="AI123" s="50">
        <f>IF(S123="FG2",AH123*X123,AH123)</f>
        <v/>
      </c>
    </row>
    <row r="124">
      <c r="A124" s="7" t="inlineStr">
        <is>
          <t>HM00131</t>
        </is>
      </c>
      <c r="B124" s="16" t="inlineStr">
        <is>
          <t>2707017813310</t>
        </is>
      </c>
      <c r="C124" s="7" t="inlineStr">
        <is>
          <t>HM LEMONS KG</t>
        </is>
      </c>
      <c r="D124" s="7" t="inlineStr">
        <is>
          <t>Lemons</t>
        </is>
      </c>
      <c r="E124" s="7" t="inlineStr">
        <is>
          <t>Harbour Market</t>
        </is>
      </c>
      <c r="F124" s="7" t="inlineStr">
        <is>
          <t>Fruit &amp; Vegetables</t>
        </is>
      </c>
      <c r="G124" s="7" t="inlineStr">
        <is>
          <t>Fruit</t>
        </is>
      </c>
      <c r="H124" s="7" t="inlineStr">
        <is>
          <t>yes</t>
        </is>
      </c>
      <c r="I124" s="7" t="inlineStr">
        <is>
          <t>Plant-based non-core</t>
        </is>
      </c>
      <c r="J124" s="7" t="inlineStr">
        <is>
          <t>Fruit and vegetables</t>
        </is>
      </c>
      <c r="K124" s="7" t="inlineStr">
        <is>
          <t>B</t>
        </is>
      </c>
      <c r="L124" s="7" t="inlineStr">
        <is>
          <t>Follows the class</t>
        </is>
      </c>
      <c r="M124" s="51" t="n">
        <v>0.57</v>
      </c>
      <c r="N124" s="7" t="inlineStr">
        <is>
          <t>Declared by the retailer</t>
        </is>
      </c>
      <c r="O124" s="54" t="n">
        <v>0.57</v>
      </c>
      <c r="P124" s="54" t="n">
        <v>0</v>
      </c>
      <c r="Q124" s="7" t="inlineStr">
        <is>
          <t>yes</t>
        </is>
      </c>
      <c r="R124" s="7" t="inlineStr">
        <is>
          <t>whole</t>
        </is>
      </c>
      <c r="S124" s="7" t="inlineStr">
        <is>
          <t>FG4</t>
        </is>
      </c>
      <c r="T124" s="7" t="n"/>
      <c r="U124" s="7" t="inlineStr">
        <is>
          <t>plant</t>
        </is>
      </c>
      <c r="V124" s="7" t="n"/>
      <c r="W124" s="7" t="n"/>
      <c r="X124" s="55" t="n">
        <v>1</v>
      </c>
      <c r="Y124" s="50" t="n">
        <v>1</v>
      </c>
      <c r="Z124" s="7" t="inlineStr">
        <is>
          <t>variable</t>
        </is>
      </c>
      <c r="AA124" s="19">
        <f>IF(ISBLANK(Welcome!D150),"",Welcome!D150)</f>
        <v/>
      </c>
      <c r="AB124" s="29">
        <f>IF(ISBLANK(Welcome!E150),"",Welcome!E150)</f>
        <v/>
      </c>
      <c r="AC124" s="29">
        <f>IF(N(AB124)&gt;0,N(AB124),N(AA124)*Y124)</f>
        <v/>
      </c>
      <c r="AD124" s="29">
        <f>IF(H124="yes",AC124,0)</f>
        <v/>
      </c>
      <c r="AE124" s="29">
        <f>AD124*N(M124)/100</f>
        <v/>
      </c>
      <c r="AF124" s="29">
        <f>AD124*N(O124)/100</f>
        <v/>
      </c>
      <c r="AG124" s="29">
        <f>AD124*N(P124)/100</f>
        <v/>
      </c>
      <c r="AH124" s="50">
        <f>IF(Q124="yes",AD124/1000,0)</f>
        <v/>
      </c>
      <c r="AI124" s="50">
        <f>IF(S124="FG2",AH124*X124,AH124)</f>
        <v/>
      </c>
    </row>
    <row r="125">
      <c r="A125" s="7" t="inlineStr">
        <is>
          <t>HM00639</t>
        </is>
      </c>
      <c r="B125" s="16" t="inlineStr">
        <is>
          <t>8712345649364</t>
        </is>
      </c>
      <c r="C125" s="7" t="inlineStr">
        <is>
          <t>CASTELNA WHITE WINE SAUV BLANC 3X75CL</t>
        </is>
      </c>
      <c r="D125" s="7" t="inlineStr">
        <is>
          <t>Sauvignon blanc white wine, 3x75cl</t>
        </is>
      </c>
      <c r="E125" s="7" t="inlineStr">
        <is>
          <t>Castelna</t>
        </is>
      </c>
      <c r="F125" s="7" t="inlineStr">
        <is>
          <t>Beer, Wine &amp; Spirits</t>
        </is>
      </c>
      <c r="G125" s="7" t="inlineStr">
        <is>
          <t>Wine</t>
        </is>
      </c>
      <c r="H125" s="7" t="inlineStr">
        <is>
          <t>yes</t>
        </is>
      </c>
      <c r="I125" s="7" t="inlineStr">
        <is>
          <t>Plant-based non-core</t>
        </is>
      </c>
      <c r="J125" s="7" t="inlineStr">
        <is>
          <t>Outside the WWF scope</t>
        </is>
      </c>
      <c r="K125" s="7" t="inlineStr">
        <is>
          <t>B</t>
        </is>
      </c>
      <c r="L125" s="7" t="inlineStr">
        <is>
          <t>Follows the class</t>
        </is>
      </c>
      <c r="M125" s="51" t="n">
        <v>0.1</v>
      </c>
      <c r="N125" s="7" t="inlineStr">
        <is>
          <t>Altera reference base</t>
        </is>
      </c>
      <c r="O125" s="54" t="n">
        <v>0.1</v>
      </c>
      <c r="P125" s="54" t="n">
        <v>0</v>
      </c>
      <c r="Q125" s="7" t="inlineStr">
        <is>
          <t>no</t>
        </is>
      </c>
      <c r="R125" s="7" t="n"/>
      <c r="S125" s="7" t="n"/>
      <c r="T125" s="7" t="n"/>
      <c r="U125" s="7" t="n"/>
      <c r="V125" s="7" t="n"/>
      <c r="W125" s="7" t="inlineStr">
        <is>
          <t>alcohol</t>
        </is>
      </c>
      <c r="X125" s="55" t="n">
        <v>1</v>
      </c>
      <c r="Y125" s="50" t="n">
        <v>2.25</v>
      </c>
      <c r="Z125" s="7" t="inlineStr">
        <is>
          <t>declared</t>
        </is>
      </c>
      <c r="AA125" s="19">
        <f>IF(ISBLANK(Welcome!D151),"",Welcome!D151)</f>
        <v/>
      </c>
      <c r="AB125" s="29">
        <f>IF(ISBLANK(Welcome!E151),"",Welcome!E151)</f>
        <v/>
      </c>
      <c r="AC125" s="29">
        <f>IF(N(AB125)&gt;0,N(AB125),N(AA125)*Y125)</f>
        <v/>
      </c>
      <c r="AD125" s="29">
        <f>IF(H125="yes",AC125,0)</f>
        <v/>
      </c>
      <c r="AE125" s="29">
        <f>AD125*N(M125)/100</f>
        <v/>
      </c>
      <c r="AF125" s="29">
        <f>AD125*N(O125)/100</f>
        <v/>
      </c>
      <c r="AG125" s="29">
        <f>AD125*N(P125)/100</f>
        <v/>
      </c>
      <c r="AH125" s="50">
        <f>IF(Q125="yes",AD125/1000,0)</f>
        <v/>
      </c>
      <c r="AI125" s="50">
        <f>IF(S125="FG2",AH125*X125,AH125)</f>
        <v/>
      </c>
    </row>
    <row r="126">
      <c r="A126" s="7" t="inlineStr">
        <is>
          <t>HM00582</t>
        </is>
      </c>
      <c r="B126" s="16" t="inlineStr">
        <is>
          <t>3012345039864</t>
        </is>
      </c>
      <c r="C126" s="7" t="inlineStr">
        <is>
          <t>HM CLEMENTINES 500G</t>
        </is>
      </c>
      <c r="D126" s="7" t="inlineStr">
        <is>
          <t>Clementines, 500g</t>
        </is>
      </c>
      <c r="E126" s="7" t="inlineStr">
        <is>
          <t>Harbour Market</t>
        </is>
      </c>
      <c r="F126" s="7" t="inlineStr">
        <is>
          <t>Fruit &amp; Vegetables</t>
        </is>
      </c>
      <c r="G126" s="7" t="inlineStr">
        <is>
          <t>Fruit</t>
        </is>
      </c>
      <c r="H126" s="7" t="inlineStr">
        <is>
          <t>yes</t>
        </is>
      </c>
      <c r="I126" s="7" t="inlineStr">
        <is>
          <t>Plant-based non-core</t>
        </is>
      </c>
      <c r="J126" s="7" t="inlineStr">
        <is>
          <t>Fruit and vegetables</t>
        </is>
      </c>
      <c r="K126" s="7" t="inlineStr">
        <is>
          <t>B</t>
        </is>
      </c>
      <c r="L126" s="7" t="inlineStr">
        <is>
          <t>Follows the class</t>
        </is>
      </c>
      <c r="M126" s="51" t="n">
        <v>0.76</v>
      </c>
      <c r="N126" s="7" t="inlineStr">
        <is>
          <t>Declared by the retailer</t>
        </is>
      </c>
      <c r="O126" s="54" t="n">
        <v>0.76</v>
      </c>
      <c r="P126" s="54" t="n">
        <v>0</v>
      </c>
      <c r="Q126" s="7" t="inlineStr">
        <is>
          <t>yes</t>
        </is>
      </c>
      <c r="R126" s="7" t="inlineStr">
        <is>
          <t>whole</t>
        </is>
      </c>
      <c r="S126" s="7" t="inlineStr">
        <is>
          <t>FG4</t>
        </is>
      </c>
      <c r="T126" s="7" t="n"/>
      <c r="U126" s="7" t="inlineStr">
        <is>
          <t>plant</t>
        </is>
      </c>
      <c r="V126" s="7" t="n"/>
      <c r="W126" s="7" t="n"/>
      <c r="X126" s="55" t="n">
        <v>1</v>
      </c>
      <c r="Y126" s="50" t="n">
        <v>0.5</v>
      </c>
      <c r="Z126" s="7" t="inlineStr">
        <is>
          <t>declared</t>
        </is>
      </c>
      <c r="AA126" s="19">
        <f>IF(ISBLANK(Welcome!D152),"",Welcome!D152)</f>
        <v/>
      </c>
      <c r="AB126" s="29">
        <f>IF(ISBLANK(Welcome!E152),"",Welcome!E152)</f>
        <v/>
      </c>
      <c r="AC126" s="29">
        <f>IF(N(AB126)&gt;0,N(AB126),N(AA126)*Y126)</f>
        <v/>
      </c>
      <c r="AD126" s="29">
        <f>IF(H126="yes",AC126,0)</f>
        <v/>
      </c>
      <c r="AE126" s="29">
        <f>AD126*N(M126)/100</f>
        <v/>
      </c>
      <c r="AF126" s="29">
        <f>AD126*N(O126)/100</f>
        <v/>
      </c>
      <c r="AG126" s="29">
        <f>AD126*N(P126)/100</f>
        <v/>
      </c>
      <c r="AH126" s="50">
        <f>IF(Q126="yes",AD126/1000,0)</f>
        <v/>
      </c>
      <c r="AI126" s="50">
        <f>IF(S126="FG2",AH126*X126,AH126)</f>
        <v/>
      </c>
    </row>
    <row r="127">
      <c r="A127" s="7" t="inlineStr">
        <is>
          <t>HM00257</t>
        </is>
      </c>
      <c r="B127" s="16" t="inlineStr">
        <is>
          <t>5012345440699</t>
        </is>
      </c>
      <c r="C127" s="7" t="inlineStr">
        <is>
          <t>HM CHERRY TOMATOES 1KG</t>
        </is>
      </c>
      <c r="D127" s="7" t="inlineStr">
        <is>
          <t>Cherry tomatoes, 1kg</t>
        </is>
      </c>
      <c r="E127" s="7" t="inlineStr">
        <is>
          <t>Harbour Market</t>
        </is>
      </c>
      <c r="F127" s="7" t="inlineStr">
        <is>
          <t>Fruit &amp; Vegetables</t>
        </is>
      </c>
      <c r="G127" s="7" t="inlineStr">
        <is>
          <t>Vegetables</t>
        </is>
      </c>
      <c r="H127" s="7" t="inlineStr">
        <is>
          <t>yes</t>
        </is>
      </c>
      <c r="I127" s="7" t="inlineStr">
        <is>
          <t>Plant-based non-core</t>
        </is>
      </c>
      <c r="J127" s="7" t="inlineStr">
        <is>
          <t>Fruit and vegetables</t>
        </is>
      </c>
      <c r="K127" s="7" t="inlineStr">
        <is>
          <t>B</t>
        </is>
      </c>
      <c r="L127" s="7" t="inlineStr">
        <is>
          <t>Follows the class</t>
        </is>
      </c>
      <c r="M127" s="51" t="n">
        <v>0.91</v>
      </c>
      <c r="N127" s="7" t="inlineStr">
        <is>
          <t>Declared by the retailer</t>
        </is>
      </c>
      <c r="O127" s="54" t="n">
        <v>0.91</v>
      </c>
      <c r="P127" s="54" t="n">
        <v>0</v>
      </c>
      <c r="Q127" s="7" t="inlineStr">
        <is>
          <t>yes</t>
        </is>
      </c>
      <c r="R127" s="7" t="inlineStr">
        <is>
          <t>whole</t>
        </is>
      </c>
      <c r="S127" s="7" t="inlineStr">
        <is>
          <t>FG4</t>
        </is>
      </c>
      <c r="T127" s="7" t="n"/>
      <c r="U127" s="7" t="inlineStr">
        <is>
          <t>plant</t>
        </is>
      </c>
      <c r="V127" s="7" t="n"/>
      <c r="W127" s="7" t="n"/>
      <c r="X127" s="55" t="n">
        <v>1</v>
      </c>
      <c r="Y127" s="50" t="n">
        <v>1</v>
      </c>
      <c r="Z127" s="7" t="inlineStr">
        <is>
          <t>declared</t>
        </is>
      </c>
      <c r="AA127" s="19">
        <f>IF(ISBLANK(Welcome!D153),"",Welcome!D153)</f>
        <v/>
      </c>
      <c r="AB127" s="29">
        <f>IF(ISBLANK(Welcome!E153),"",Welcome!E153)</f>
        <v/>
      </c>
      <c r="AC127" s="29">
        <f>IF(N(AB127)&gt;0,N(AB127),N(AA127)*Y127)</f>
        <v/>
      </c>
      <c r="AD127" s="29">
        <f>IF(H127="yes",AC127,0)</f>
        <v/>
      </c>
      <c r="AE127" s="29">
        <f>AD127*N(M127)/100</f>
        <v/>
      </c>
      <c r="AF127" s="29">
        <f>AD127*N(O127)/100</f>
        <v/>
      </c>
      <c r="AG127" s="29">
        <f>AD127*N(P127)/100</f>
        <v/>
      </c>
      <c r="AH127" s="50">
        <f>IF(Q127="yes",AD127/1000,0)</f>
        <v/>
      </c>
      <c r="AI127" s="50">
        <f>IF(S127="FG2",AH127*X127,AH127)</f>
        <v/>
      </c>
    </row>
    <row r="128">
      <c r="A128" s="7" t="inlineStr">
        <is>
          <t>HM00062</t>
        </is>
      </c>
      <c r="B128" s="16" t="inlineStr">
        <is>
          <t>4012345330366</t>
        </is>
      </c>
      <c r="C128" s="7" t="inlineStr">
        <is>
          <t>BRAMBLECOTE BAGUETTE 800G</t>
        </is>
      </c>
      <c r="D128" s="7" t="inlineStr">
        <is>
          <t>Baguette, 800g</t>
        </is>
      </c>
      <c r="E128" s="7" t="inlineStr">
        <is>
          <t>Bramblecote</t>
        </is>
      </c>
      <c r="F128" s="7" t="inlineStr">
        <is>
          <t>Bakery</t>
        </is>
      </c>
      <c r="G128" s="7" t="inlineStr">
        <is>
          <t>Bread</t>
        </is>
      </c>
      <c r="H128" s="7" t="inlineStr">
        <is>
          <t>yes</t>
        </is>
      </c>
      <c r="I128" s="7" t="inlineStr">
        <is>
          <t>Plant-based non-core</t>
        </is>
      </c>
      <c r="J128" s="7" t="inlineStr">
        <is>
          <t>Refined grains</t>
        </is>
      </c>
      <c r="K128" s="7" t="inlineStr">
        <is>
          <t>B</t>
        </is>
      </c>
      <c r="L128" s="7" t="inlineStr">
        <is>
          <t>Follows the class</t>
        </is>
      </c>
      <c r="M128" s="51" t="n">
        <v>8.4</v>
      </c>
      <c r="N128" s="7" t="inlineStr">
        <is>
          <t>Declared by the retailer</t>
        </is>
      </c>
      <c r="O128" s="54" t="n">
        <v>8.4</v>
      </c>
      <c r="P128" s="54" t="n">
        <v>0</v>
      </c>
      <c r="Q128" s="7" t="inlineStr">
        <is>
          <t>yes</t>
        </is>
      </c>
      <c r="R128" s="7" t="inlineStr">
        <is>
          <t>whole</t>
        </is>
      </c>
      <c r="S128" s="7" t="inlineStr">
        <is>
          <t>FG5</t>
        </is>
      </c>
      <c r="T128" s="7" t="inlineStr">
        <is>
          <t>Refined grain</t>
        </is>
      </c>
      <c r="U128" s="7" t="inlineStr">
        <is>
          <t>plant</t>
        </is>
      </c>
      <c r="V128" s="7" t="n"/>
      <c r="W128" s="7" t="n"/>
      <c r="X128" s="55" t="n">
        <v>1</v>
      </c>
      <c r="Y128" s="50" t="n">
        <v>0.8</v>
      </c>
      <c r="Z128" s="7" t="inlineStr">
        <is>
          <t>declared</t>
        </is>
      </c>
      <c r="AA128" s="19">
        <f>IF(ISBLANK(Welcome!D154),"",Welcome!D154)</f>
        <v/>
      </c>
      <c r="AB128" s="29">
        <f>IF(ISBLANK(Welcome!E154),"",Welcome!E154)</f>
        <v/>
      </c>
      <c r="AC128" s="29">
        <f>IF(N(AB128)&gt;0,N(AB128),N(AA128)*Y128)</f>
        <v/>
      </c>
      <c r="AD128" s="29">
        <f>IF(H128="yes",AC128,0)</f>
        <v/>
      </c>
      <c r="AE128" s="29">
        <f>AD128*N(M128)/100</f>
        <v/>
      </c>
      <c r="AF128" s="29">
        <f>AD128*N(O128)/100</f>
        <v/>
      </c>
      <c r="AG128" s="29">
        <f>AD128*N(P128)/100</f>
        <v/>
      </c>
      <c r="AH128" s="50">
        <f>IF(Q128="yes",AD128/1000,0)</f>
        <v/>
      </c>
      <c r="AI128" s="50">
        <f>IF(S128="FG2",AH128*X128,AH128)</f>
        <v/>
      </c>
    </row>
    <row r="129">
      <c r="A129" s="7" t="inlineStr">
        <is>
          <t>HM00053</t>
        </is>
      </c>
      <c r="B129" s="16" t="inlineStr">
        <is>
          <t>0012345230677</t>
        </is>
      </c>
      <c r="C129" s="7" t="inlineStr">
        <is>
          <t>BRAMBLECOTE WHITE PITTA 6PK 360G</t>
        </is>
      </c>
      <c r="D129" s="7" t="inlineStr">
        <is>
          <t>White pitta bread, 6pk 360g</t>
        </is>
      </c>
      <c r="E129" s="7" t="inlineStr">
        <is>
          <t>Bramblecote</t>
        </is>
      </c>
      <c r="F129" s="7" t="inlineStr">
        <is>
          <t>Bakery</t>
        </is>
      </c>
      <c r="G129" s="7" t="inlineStr">
        <is>
          <t>Bread</t>
        </is>
      </c>
      <c r="H129" s="7" t="inlineStr">
        <is>
          <t>yes</t>
        </is>
      </c>
      <c r="I129" s="7" t="inlineStr">
        <is>
          <t>Plant-based non-core</t>
        </is>
      </c>
      <c r="J129" s="7" t="inlineStr">
        <is>
          <t>Refined grains</t>
        </is>
      </c>
      <c r="K129" s="7" t="inlineStr">
        <is>
          <t>A</t>
        </is>
      </c>
      <c r="L129" s="7" t="inlineStr">
        <is>
          <t>All ingredients on one side</t>
        </is>
      </c>
      <c r="M129" s="51" t="n">
        <v>8.9</v>
      </c>
      <c r="N129" s="7" t="inlineStr">
        <is>
          <t>Open Food Facts and NEVO, by EAN</t>
        </is>
      </c>
      <c r="O129" s="54" t="n">
        <v>8.9</v>
      </c>
      <c r="P129" s="54" t="n">
        <v>0</v>
      </c>
      <c r="Q129" s="7" t="inlineStr">
        <is>
          <t>yes</t>
        </is>
      </c>
      <c r="R129" s="7" t="inlineStr">
        <is>
          <t>whole</t>
        </is>
      </c>
      <c r="S129" s="7" t="inlineStr">
        <is>
          <t>FG5</t>
        </is>
      </c>
      <c r="T129" s="7" t="inlineStr">
        <is>
          <t>Refined grain</t>
        </is>
      </c>
      <c r="U129" s="7" t="inlineStr">
        <is>
          <t>plant</t>
        </is>
      </c>
      <c r="V129" s="7" t="n"/>
      <c r="W129" s="7" t="n"/>
      <c r="X129" s="55" t="n">
        <v>1</v>
      </c>
      <c r="Y129" s="50" t="n">
        <v>0.36</v>
      </c>
      <c r="Z129" s="7" t="inlineStr">
        <is>
          <t>declared</t>
        </is>
      </c>
      <c r="AA129" s="19">
        <f>IF(ISBLANK(Welcome!D155),"",Welcome!D155)</f>
        <v/>
      </c>
      <c r="AB129" s="29">
        <f>IF(ISBLANK(Welcome!E155),"",Welcome!E155)</f>
        <v/>
      </c>
      <c r="AC129" s="29">
        <f>IF(N(AB129)&gt;0,N(AB129),N(AA129)*Y129)</f>
        <v/>
      </c>
      <c r="AD129" s="29">
        <f>IF(H129="yes",AC129,0)</f>
        <v/>
      </c>
      <c r="AE129" s="29">
        <f>AD129*N(M129)/100</f>
        <v/>
      </c>
      <c r="AF129" s="29">
        <f>AD129*N(O129)/100</f>
        <v/>
      </c>
      <c r="AG129" s="29">
        <f>AD129*N(P129)/100</f>
        <v/>
      </c>
      <c r="AH129" s="50">
        <f>IF(Q129="yes",AD129/1000,0)</f>
        <v/>
      </c>
      <c r="AI129" s="50">
        <f>IF(S129="FG2",AH129*X129,AH129)</f>
        <v/>
      </c>
    </row>
    <row r="130">
      <c r="A130" s="7" t="inlineStr">
        <is>
          <t>HM00180</t>
        </is>
      </c>
      <c r="B130" s="16" t="inlineStr">
        <is>
          <t>8712345606770</t>
        </is>
      </c>
      <c r="C130" s="7" t="inlineStr">
        <is>
          <t>CHKN BREAST FLT 300G TARROW</t>
        </is>
      </c>
      <c r="D130" s="7" t="inlineStr">
        <is>
          <t>Chicken breast fillets, 300g</t>
        </is>
      </c>
      <c r="E130" s="7" t="inlineStr">
        <is>
          <t>Tarrow Farm</t>
        </is>
      </c>
      <c r="F130" s="7" t="inlineStr">
        <is>
          <t>Fresh Meat &amp; Poultry</t>
        </is>
      </c>
      <c r="G130" s="7" t="inlineStr">
        <is>
          <t>Poultry</t>
        </is>
      </c>
      <c r="H130" s="7" t="inlineStr">
        <is>
          <t>yes</t>
        </is>
      </c>
      <c r="I130" s="7" t="inlineStr">
        <is>
          <t>Animal core</t>
        </is>
      </c>
      <c r="J130" s="7" t="inlineStr">
        <is>
          <t>Poultry</t>
        </is>
      </c>
      <c r="K130" s="7" t="inlineStr">
        <is>
          <t>B</t>
        </is>
      </c>
      <c r="L130" s="7" t="inlineStr">
        <is>
          <t>Follows the class</t>
        </is>
      </c>
      <c r="M130" s="51" t="n">
        <v>23.2</v>
      </c>
      <c r="N130" s="7" t="inlineStr">
        <is>
          <t>National food table (CIQUAL in France)</t>
        </is>
      </c>
      <c r="O130" s="54" t="n">
        <v>0</v>
      </c>
      <c r="P130" s="54" t="n">
        <v>23.2</v>
      </c>
      <c r="Q130" s="7" t="inlineStr">
        <is>
          <t>yes</t>
        </is>
      </c>
      <c r="R130" s="7" t="inlineStr">
        <is>
          <t>whole</t>
        </is>
      </c>
      <c r="S130" s="7" t="inlineStr">
        <is>
          <t>FG1</t>
        </is>
      </c>
      <c r="T130" s="7" t="inlineStr">
        <is>
          <t>Poultry</t>
        </is>
      </c>
      <c r="U130" s="7" t="inlineStr">
        <is>
          <t>animal</t>
        </is>
      </c>
      <c r="V130" s="7" t="n"/>
      <c r="W130" s="7" t="n"/>
      <c r="X130" s="55" t="n">
        <v>1</v>
      </c>
      <c r="Y130" s="50" t="n">
        <v>0.3</v>
      </c>
      <c r="Z130" s="7" t="inlineStr">
        <is>
          <t>declared</t>
        </is>
      </c>
      <c r="AA130" s="19">
        <f>IF(ISBLANK(Welcome!D156),"",Welcome!D156)</f>
        <v/>
      </c>
      <c r="AB130" s="29">
        <f>IF(ISBLANK(Welcome!E156),"",Welcome!E156)</f>
        <v/>
      </c>
      <c r="AC130" s="29">
        <f>IF(N(AB130)&gt;0,N(AB130),N(AA130)*Y130)</f>
        <v/>
      </c>
      <c r="AD130" s="29">
        <f>IF(H130="yes",AC130,0)</f>
        <v/>
      </c>
      <c r="AE130" s="29">
        <f>AD130*N(M130)/100</f>
        <v/>
      </c>
      <c r="AF130" s="29">
        <f>AD130*N(O130)/100</f>
        <v/>
      </c>
      <c r="AG130" s="29">
        <f>AD130*N(P130)/100</f>
        <v/>
      </c>
      <c r="AH130" s="50">
        <f>IF(Q130="yes",AD130/1000,0)</f>
        <v/>
      </c>
      <c r="AI130" s="50">
        <f>IF(S130="FG2",AH130*X130,AH130)</f>
        <v/>
      </c>
    </row>
    <row r="131">
      <c r="A131" s="7" t="inlineStr">
        <is>
          <t>HM00424</t>
        </is>
      </c>
      <c r="B131" s="16" t="inlineStr">
        <is>
          <t>3012345736930</t>
        </is>
      </c>
      <c r="C131" s="7" t="inlineStr">
        <is>
          <t>HM LINGUINE 3KG</t>
        </is>
      </c>
      <c r="D131" s="7" t="inlineStr">
        <is>
          <t>Linguine, 3kg</t>
        </is>
      </c>
      <c r="E131" s="7" t="inlineStr">
        <is>
          <t>Harbour Market</t>
        </is>
      </c>
      <c r="F131" s="7" t="inlineStr">
        <is>
          <t>Grocery</t>
        </is>
      </c>
      <c r="G131" s="7" t="inlineStr">
        <is>
          <t>Pasta</t>
        </is>
      </c>
      <c r="H131" s="7" t="inlineStr">
        <is>
          <t>yes</t>
        </is>
      </c>
      <c r="I131" s="7" t="inlineStr">
        <is>
          <t>Plant-based non-core</t>
        </is>
      </c>
      <c r="J131" s="7" t="inlineStr">
        <is>
          <t>Refined grains</t>
        </is>
      </c>
      <c r="K131" s="7" t="inlineStr">
        <is>
          <t>A</t>
        </is>
      </c>
      <c r="L131" s="7" t="inlineStr">
        <is>
          <t>All ingredients on one side</t>
        </is>
      </c>
      <c r="M131" s="51" t="n">
        <v>13</v>
      </c>
      <c r="N131" s="7" t="inlineStr">
        <is>
          <t>Altera reference base</t>
        </is>
      </c>
      <c r="O131" s="54" t="n">
        <v>13</v>
      </c>
      <c r="P131" s="54" t="n">
        <v>0</v>
      </c>
      <c r="Q131" s="7" t="inlineStr">
        <is>
          <t>yes</t>
        </is>
      </c>
      <c r="R131" s="7" t="inlineStr">
        <is>
          <t>whole</t>
        </is>
      </c>
      <c r="S131" s="7" t="inlineStr">
        <is>
          <t>FG5</t>
        </is>
      </c>
      <c r="T131" s="7" t="inlineStr">
        <is>
          <t>Refined grain</t>
        </is>
      </c>
      <c r="U131" s="7" t="inlineStr">
        <is>
          <t>plant</t>
        </is>
      </c>
      <c r="V131" s="7" t="n"/>
      <c r="W131" s="7" t="n"/>
      <c r="X131" s="55" t="n">
        <v>1</v>
      </c>
      <c r="Y131" s="50" t="n">
        <v>3</v>
      </c>
      <c r="Z131" s="7" t="inlineStr">
        <is>
          <t>declared</t>
        </is>
      </c>
      <c r="AA131" s="19">
        <f>IF(ISBLANK(Welcome!D157),"",Welcome!D157)</f>
        <v/>
      </c>
      <c r="AB131" s="29">
        <f>IF(ISBLANK(Welcome!E157),"",Welcome!E157)</f>
        <v/>
      </c>
      <c r="AC131" s="29">
        <f>IF(N(AB131)&gt;0,N(AB131),N(AA131)*Y131)</f>
        <v/>
      </c>
      <c r="AD131" s="29">
        <f>IF(H131="yes",AC131,0)</f>
        <v/>
      </c>
      <c r="AE131" s="29">
        <f>AD131*N(M131)/100</f>
        <v/>
      </c>
      <c r="AF131" s="29">
        <f>AD131*N(O131)/100</f>
        <v/>
      </c>
      <c r="AG131" s="29">
        <f>AD131*N(P131)/100</f>
        <v/>
      </c>
      <c r="AH131" s="50">
        <f>IF(Q131="yes",AD131/1000,0)</f>
        <v/>
      </c>
      <c r="AI131" s="50">
        <f>IF(S131="FG2",AH131*X131,AH131)</f>
        <v/>
      </c>
    </row>
    <row r="132">
      <c r="A132" s="7" t="inlineStr">
        <is>
          <t>HM00218</t>
        </is>
      </c>
      <c r="B132" s="16" t="inlineStr">
        <is>
          <t>4012345125740</t>
        </is>
      </c>
      <c r="C132" s="7" t="inlineStr">
        <is>
          <t>HM TOMATOES VINE 1KG</t>
        </is>
      </c>
      <c r="D132" s="7" t="inlineStr">
        <is>
          <t>Vine tomatoes, 1kg</t>
        </is>
      </c>
      <c r="E132" s="7" t="inlineStr">
        <is>
          <t>Harbour Market</t>
        </is>
      </c>
      <c r="F132" s="7" t="inlineStr">
        <is>
          <t>Fruit &amp; Vegetables</t>
        </is>
      </c>
      <c r="G132" s="7" t="inlineStr">
        <is>
          <t>Vegetables</t>
        </is>
      </c>
      <c r="H132" s="7" t="inlineStr">
        <is>
          <t>yes</t>
        </is>
      </c>
      <c r="I132" s="7" t="inlineStr">
        <is>
          <t>Plant-based non-core</t>
        </is>
      </c>
      <c r="J132" s="7" t="inlineStr">
        <is>
          <t>Fruit and vegetables</t>
        </is>
      </c>
      <c r="K132" s="7" t="inlineStr">
        <is>
          <t>B</t>
        </is>
      </c>
      <c r="L132" s="7" t="inlineStr">
        <is>
          <t>Follows the class</t>
        </is>
      </c>
      <c r="M132" s="51" t="n">
        <v>0.91</v>
      </c>
      <c r="N132" s="7" t="inlineStr">
        <is>
          <t>Median of the family</t>
        </is>
      </c>
      <c r="O132" s="54" t="n">
        <v>0.91</v>
      </c>
      <c r="P132" s="54" t="n">
        <v>0</v>
      </c>
      <c r="Q132" s="7" t="inlineStr">
        <is>
          <t>yes</t>
        </is>
      </c>
      <c r="R132" s="7" t="inlineStr">
        <is>
          <t>whole</t>
        </is>
      </c>
      <c r="S132" s="7" t="inlineStr">
        <is>
          <t>FG4</t>
        </is>
      </c>
      <c r="T132" s="7" t="n"/>
      <c r="U132" s="7" t="inlineStr">
        <is>
          <t>plant</t>
        </is>
      </c>
      <c r="V132" s="7" t="n"/>
      <c r="W132" s="7" t="n"/>
      <c r="X132" s="55" t="n">
        <v>1</v>
      </c>
      <c r="Y132" s="50" t="n">
        <v>1</v>
      </c>
      <c r="Z132" s="7" t="inlineStr">
        <is>
          <t>declared</t>
        </is>
      </c>
      <c r="AA132" s="19">
        <f>IF(ISBLANK(Welcome!D158),"",Welcome!D158)</f>
        <v/>
      </c>
      <c r="AB132" s="29">
        <f>IF(ISBLANK(Welcome!E158),"",Welcome!E158)</f>
        <v/>
      </c>
      <c r="AC132" s="29">
        <f>IF(N(AB132)&gt;0,N(AB132),N(AA132)*Y132)</f>
        <v/>
      </c>
      <c r="AD132" s="29">
        <f>IF(H132="yes",AC132,0)</f>
        <v/>
      </c>
      <c r="AE132" s="29">
        <f>AD132*N(M132)/100</f>
        <v/>
      </c>
      <c r="AF132" s="29">
        <f>AD132*N(O132)/100</f>
        <v/>
      </c>
      <c r="AG132" s="29">
        <f>AD132*N(P132)/100</f>
        <v/>
      </c>
      <c r="AH132" s="50">
        <f>IF(Q132="yes",AD132/1000,0)</f>
        <v/>
      </c>
      <c r="AI132" s="50">
        <f>IF(S132="FG2",AH132*X132,AH132)</f>
        <v/>
      </c>
    </row>
    <row r="133">
      <c r="A133" s="7" t="inlineStr">
        <is>
          <t>HM00494</t>
        </is>
      </c>
      <c r="B133" s="16" t="inlineStr">
        <is>
          <t>3012345869447</t>
        </is>
      </c>
      <c r="C133" s="7" t="inlineStr">
        <is>
          <t>ORVALIS FRUIT NUT MUESLI 500G</t>
        </is>
      </c>
      <c r="D133" s="7" t="inlineStr">
        <is>
          <t>Fruit &amp; nut muesli, 500g</t>
        </is>
      </c>
      <c r="E133" s="7" t="inlineStr">
        <is>
          <t>Orvalis</t>
        </is>
      </c>
      <c r="F133" s="7" t="inlineStr">
        <is>
          <t>Breakfast &amp; Snacks</t>
        </is>
      </c>
      <c r="G133" s="7" t="inlineStr">
        <is>
          <t>Cereals</t>
        </is>
      </c>
      <c r="H133" s="7" t="inlineStr">
        <is>
          <t>yes</t>
        </is>
      </c>
      <c r="I133" s="7" t="inlineStr">
        <is>
          <t>Plant-based non-core</t>
        </is>
      </c>
      <c r="J133" s="7" t="inlineStr">
        <is>
          <t>Whole grains</t>
        </is>
      </c>
      <c r="K133" s="7" t="inlineStr">
        <is>
          <t>B</t>
        </is>
      </c>
      <c r="L133" s="7" t="inlineStr">
        <is>
          <t>Follows the class</t>
        </is>
      </c>
      <c r="M133" s="51" t="n">
        <v>9.1</v>
      </c>
      <c r="N133" s="7" t="inlineStr">
        <is>
          <t>Declared by the retailer</t>
        </is>
      </c>
      <c r="O133" s="54" t="n">
        <v>9.1</v>
      </c>
      <c r="P133" s="54" t="n">
        <v>0</v>
      </c>
      <c r="Q133" s="7" t="inlineStr">
        <is>
          <t>yes</t>
        </is>
      </c>
      <c r="R133" s="7" t="inlineStr">
        <is>
          <t>whole</t>
        </is>
      </c>
      <c r="S133" s="7" t="inlineStr">
        <is>
          <t>FG5</t>
        </is>
      </c>
      <c r="T133" s="7" t="inlineStr">
        <is>
          <t>Whole grain</t>
        </is>
      </c>
      <c r="U133" s="7" t="inlineStr">
        <is>
          <t>plant</t>
        </is>
      </c>
      <c r="V133" s="7" t="n"/>
      <c r="W133" s="7" t="n"/>
      <c r="X133" s="55" t="n">
        <v>1</v>
      </c>
      <c r="Y133" s="50" t="n">
        <v>0.5</v>
      </c>
      <c r="Z133" s="7" t="inlineStr">
        <is>
          <t>declared</t>
        </is>
      </c>
      <c r="AA133" s="19">
        <f>IF(ISBLANK(Welcome!D159),"",Welcome!D159)</f>
        <v/>
      </c>
      <c r="AB133" s="29">
        <f>IF(ISBLANK(Welcome!E159),"",Welcome!E159)</f>
        <v/>
      </c>
      <c r="AC133" s="29">
        <f>IF(N(AB133)&gt;0,N(AB133),N(AA133)*Y133)</f>
        <v/>
      </c>
      <c r="AD133" s="29">
        <f>IF(H133="yes",AC133,0)</f>
        <v/>
      </c>
      <c r="AE133" s="29">
        <f>AD133*N(M133)/100</f>
        <v/>
      </c>
      <c r="AF133" s="29">
        <f>AD133*N(O133)/100</f>
        <v/>
      </c>
      <c r="AG133" s="29">
        <f>AD133*N(P133)/100</f>
        <v/>
      </c>
      <c r="AH133" s="50">
        <f>IF(Q133="yes",AD133/1000,0)</f>
        <v/>
      </c>
      <c r="AI133" s="50">
        <f>IF(S133="FG2",AH133*X133,AH133)</f>
        <v/>
      </c>
    </row>
    <row r="134">
      <c r="A134" s="7" t="inlineStr">
        <is>
          <t>HM00757</t>
        </is>
      </c>
      <c r="B134" s="16" t="inlineStr">
        <is>
          <t>5012345981284</t>
        </is>
      </c>
      <c r="C134" s="7" t="inlineStr">
        <is>
          <t>COLA ZERO 6X330ML NUVELLE</t>
        </is>
      </c>
      <c r="D134" s="7" t="inlineStr">
        <is>
          <t>Cola, no sugar, 6x330ml</t>
        </is>
      </c>
      <c r="E134" s="7" t="inlineStr">
        <is>
          <t>Nuvelle</t>
        </is>
      </c>
      <c r="F134" s="7" t="inlineStr">
        <is>
          <t>Soft Drinks &amp; Water</t>
        </is>
      </c>
      <c r="G134" s="7" t="inlineStr">
        <is>
          <t>Soft Drinks</t>
        </is>
      </c>
      <c r="H134" s="7" t="inlineStr">
        <is>
          <t>yes</t>
        </is>
      </c>
      <c r="I134" s="7" t="inlineStr">
        <is>
          <t>Plant-based non-core</t>
        </is>
      </c>
      <c r="J134" s="7" t="inlineStr">
        <is>
          <t>Outside the WWF scope</t>
        </is>
      </c>
      <c r="K134" s="7" t="inlineStr">
        <is>
          <t>A</t>
        </is>
      </c>
      <c r="L134" s="7" t="inlineStr">
        <is>
          <t>All ingredients on one side</t>
        </is>
      </c>
      <c r="M134" s="51" t="n">
        <v>0</v>
      </c>
      <c r="N134" s="7" t="inlineStr">
        <is>
          <t>Altera reference base</t>
        </is>
      </c>
      <c r="O134" s="54" t="n">
        <v>0</v>
      </c>
      <c r="P134" s="54" t="n">
        <v>0</v>
      </c>
      <c r="Q134" s="7" t="inlineStr">
        <is>
          <t>no</t>
        </is>
      </c>
      <c r="R134" s="7" t="n"/>
      <c r="S134" s="7" t="n"/>
      <c r="T134" s="7" t="n"/>
      <c r="U134" s="7" t="n"/>
      <c r="V134" s="7" t="n"/>
      <c r="W134" s="7" t="inlineStr">
        <is>
          <t>beverage</t>
        </is>
      </c>
      <c r="X134" s="55" t="n">
        <v>1</v>
      </c>
      <c r="Y134" s="50" t="n">
        <v>1.98</v>
      </c>
      <c r="Z134" s="7" t="inlineStr">
        <is>
          <t>declared</t>
        </is>
      </c>
      <c r="AA134" s="19">
        <f>IF(ISBLANK(Welcome!D160),"",Welcome!D160)</f>
        <v/>
      </c>
      <c r="AB134" s="29">
        <f>IF(ISBLANK(Welcome!E160),"",Welcome!E160)</f>
        <v/>
      </c>
      <c r="AC134" s="29">
        <f>IF(N(AB134)&gt;0,N(AB134),N(AA134)*Y134)</f>
        <v/>
      </c>
      <c r="AD134" s="29">
        <f>IF(H134="yes",AC134,0)</f>
        <v/>
      </c>
      <c r="AE134" s="29">
        <f>AD134*N(M134)/100</f>
        <v/>
      </c>
      <c r="AF134" s="29">
        <f>AD134*N(O134)/100</f>
        <v/>
      </c>
      <c r="AG134" s="29">
        <f>AD134*N(P134)/100</f>
        <v/>
      </c>
      <c r="AH134" s="50">
        <f>IF(Q134="yes",AD134/1000,0)</f>
        <v/>
      </c>
      <c r="AI134" s="50">
        <f>IF(S134="FG2",AH134*X134,AH134)</f>
        <v/>
      </c>
    </row>
    <row r="135">
      <c r="A135" s="7" t="inlineStr">
        <is>
          <t>HM00493</t>
        </is>
      </c>
      <c r="B135" s="16" t="inlineStr">
        <is>
          <t>4012345886924</t>
        </is>
      </c>
      <c r="C135" s="7" t="inlineStr">
        <is>
          <t>NUVELLE STILL WATER 500ML</t>
        </is>
      </c>
      <c r="D135" s="7" t="inlineStr">
        <is>
          <t>Still mineral water, 500ml</t>
        </is>
      </c>
      <c r="E135" s="7" t="inlineStr">
        <is>
          <t>Nuvelle</t>
        </is>
      </c>
      <c r="F135" s="7" t="inlineStr">
        <is>
          <t>Soft Drinks &amp; Water</t>
        </is>
      </c>
      <c r="G135" s="7" t="inlineStr">
        <is>
          <t>Water</t>
        </is>
      </c>
      <c r="H135" s="7" t="inlineStr">
        <is>
          <t>yes</t>
        </is>
      </c>
      <c r="I135" s="7" t="inlineStr">
        <is>
          <t>Plant-based non-core</t>
        </is>
      </c>
      <c r="J135" s="7" t="inlineStr">
        <is>
          <t>Outside the WWF scope</t>
        </is>
      </c>
      <c r="K135" s="7" t="inlineStr">
        <is>
          <t>A</t>
        </is>
      </c>
      <c r="L135" s="7" t="inlineStr">
        <is>
          <t>All ingredients on one side</t>
        </is>
      </c>
      <c r="M135" s="51" t="n">
        <v>0</v>
      </c>
      <c r="N135" s="7" t="inlineStr">
        <is>
          <t>Declared by the retailer</t>
        </is>
      </c>
      <c r="O135" s="54" t="n">
        <v>0</v>
      </c>
      <c r="P135" s="54" t="n">
        <v>0</v>
      </c>
      <c r="Q135" s="7" t="inlineStr">
        <is>
          <t>no</t>
        </is>
      </c>
      <c r="R135" s="7" t="n"/>
      <c r="S135" s="7" t="n"/>
      <c r="T135" s="7" t="n"/>
      <c r="U135" s="7" t="n"/>
      <c r="V135" s="7" t="n"/>
      <c r="W135" s="7" t="inlineStr">
        <is>
          <t>beverage</t>
        </is>
      </c>
      <c r="X135" s="55" t="n">
        <v>1</v>
      </c>
      <c r="Y135" s="50" t="n">
        <v>0.5</v>
      </c>
      <c r="Z135" s="7" t="inlineStr">
        <is>
          <t>declared</t>
        </is>
      </c>
      <c r="AA135" s="19">
        <f>IF(ISBLANK(Welcome!D161),"",Welcome!D161)</f>
        <v/>
      </c>
      <c r="AB135" s="29">
        <f>IF(ISBLANK(Welcome!E161),"",Welcome!E161)</f>
        <v/>
      </c>
      <c r="AC135" s="29">
        <f>IF(N(AB135)&gt;0,N(AB135),N(AA135)*Y135)</f>
        <v/>
      </c>
      <c r="AD135" s="29">
        <f>IF(H135="yes",AC135,0)</f>
        <v/>
      </c>
      <c r="AE135" s="29">
        <f>AD135*N(M135)/100</f>
        <v/>
      </c>
      <c r="AF135" s="29">
        <f>AD135*N(O135)/100</f>
        <v/>
      </c>
      <c r="AG135" s="29">
        <f>AD135*N(P135)/100</f>
        <v/>
      </c>
      <c r="AH135" s="50">
        <f>IF(Q135="yes",AD135/1000,0)</f>
        <v/>
      </c>
      <c r="AI135" s="50">
        <f>IF(S135="FG2",AH135*X135,AH135)</f>
        <v/>
      </c>
    </row>
    <row r="136">
      <c r="A136" s="7" t="inlineStr">
        <is>
          <t>HM00223</t>
        </is>
      </c>
      <c r="B136" s="16" t="inlineStr">
        <is>
          <t>8712345642068</t>
        </is>
      </c>
      <c r="C136" s="7" t="inlineStr">
        <is>
          <t>HM CAULIFLOWER EACH</t>
        </is>
      </c>
      <c r="D136" s="7" t="inlineStr">
        <is>
          <t>Cauliflower</t>
        </is>
      </c>
      <c r="E136" s="7" t="inlineStr">
        <is>
          <t>Harbour Market</t>
        </is>
      </c>
      <c r="F136" s="7" t="inlineStr">
        <is>
          <t>Fruit &amp; Vegetables</t>
        </is>
      </c>
      <c r="G136" s="7" t="inlineStr">
        <is>
          <t>Vegetables</t>
        </is>
      </c>
      <c r="H136" s="7" t="inlineStr">
        <is>
          <t>yes</t>
        </is>
      </c>
      <c r="I136" s="7" t="inlineStr">
        <is>
          <t>Plant-based non-core</t>
        </is>
      </c>
      <c r="J136" s="7" t="inlineStr">
        <is>
          <t>Fruit and vegetables</t>
        </is>
      </c>
      <c r="K136" s="7" t="inlineStr">
        <is>
          <t>B</t>
        </is>
      </c>
      <c r="L136" s="7" t="inlineStr">
        <is>
          <t>Follows the class</t>
        </is>
      </c>
      <c r="M136" s="51" t="n">
        <v>1.9</v>
      </c>
      <c r="N136" s="7" t="inlineStr">
        <is>
          <t>National food table (CIQUAL in France)</t>
        </is>
      </c>
      <c r="O136" s="54" t="n">
        <v>1.9</v>
      </c>
      <c r="P136" s="54" t="n">
        <v>0</v>
      </c>
      <c r="Q136" s="7" t="inlineStr">
        <is>
          <t>yes</t>
        </is>
      </c>
      <c r="R136" s="7" t="inlineStr">
        <is>
          <t>whole</t>
        </is>
      </c>
      <c r="S136" s="7" t="inlineStr">
        <is>
          <t>FG4</t>
        </is>
      </c>
      <c r="T136" s="7" t="n"/>
      <c r="U136" s="7" t="inlineStr">
        <is>
          <t>plant</t>
        </is>
      </c>
      <c r="V136" s="7" t="n"/>
      <c r="W136" s="7" t="n"/>
      <c r="X136" s="55" t="n">
        <v>1</v>
      </c>
      <c r="Y136" s="50" t="n">
        <v>0.6</v>
      </c>
      <c r="Z136" s="7" t="inlineStr">
        <is>
          <t>typical_piece</t>
        </is>
      </c>
      <c r="AA136" s="19">
        <f>IF(ISBLANK(Welcome!D162),"",Welcome!D162)</f>
        <v/>
      </c>
      <c r="AB136" s="29">
        <f>IF(ISBLANK(Welcome!E162),"",Welcome!E162)</f>
        <v/>
      </c>
      <c r="AC136" s="29">
        <f>IF(N(AB136)&gt;0,N(AB136),N(AA136)*Y136)</f>
        <v/>
      </c>
      <c r="AD136" s="29">
        <f>IF(H136="yes",AC136,0)</f>
        <v/>
      </c>
      <c r="AE136" s="29">
        <f>AD136*N(M136)/100</f>
        <v/>
      </c>
      <c r="AF136" s="29">
        <f>AD136*N(O136)/100</f>
        <v/>
      </c>
      <c r="AG136" s="29">
        <f>AD136*N(P136)/100</f>
        <v/>
      </c>
      <c r="AH136" s="50">
        <f>IF(Q136="yes",AD136/1000,0)</f>
        <v/>
      </c>
      <c r="AI136" s="50">
        <f>IF(S136="FG2",AH136*X136,AH136)</f>
        <v/>
      </c>
    </row>
    <row r="137">
      <c r="A137" s="7" t="inlineStr">
        <is>
          <t>HM00089</t>
        </is>
      </c>
      <c r="B137" s="16" t="inlineStr">
        <is>
          <t>8712345531966</t>
        </is>
      </c>
      <c r="C137" s="7" t="inlineStr">
        <is>
          <t>HM CONFERENCE PEARS 500G</t>
        </is>
      </c>
      <c r="D137" s="7" t="inlineStr">
        <is>
          <t>Conference pears, 500g</t>
        </is>
      </c>
      <c r="E137" s="7" t="inlineStr">
        <is>
          <t>Harbour Market</t>
        </is>
      </c>
      <c r="F137" s="7" t="inlineStr">
        <is>
          <t>Fruit &amp; Vegetables</t>
        </is>
      </c>
      <c r="G137" s="7" t="inlineStr">
        <is>
          <t>Fruit</t>
        </is>
      </c>
      <c r="H137" s="7" t="inlineStr">
        <is>
          <t>yes</t>
        </is>
      </c>
      <c r="I137" s="7" t="inlineStr">
        <is>
          <t>Plant-based non-core</t>
        </is>
      </c>
      <c r="J137" s="7" t="inlineStr">
        <is>
          <t>Fruit and vegetables</t>
        </is>
      </c>
      <c r="K137" s="7" t="inlineStr">
        <is>
          <t>B</t>
        </is>
      </c>
      <c r="L137" s="7" t="inlineStr">
        <is>
          <t>Follows the class</t>
        </is>
      </c>
      <c r="M137" s="51" t="n">
        <v>0.39</v>
      </c>
      <c r="N137" s="7" t="inlineStr">
        <is>
          <t>Altera reference base</t>
        </is>
      </c>
      <c r="O137" s="54" t="n">
        <v>0.39</v>
      </c>
      <c r="P137" s="54" t="n">
        <v>0</v>
      </c>
      <c r="Q137" s="7" t="inlineStr">
        <is>
          <t>yes</t>
        </is>
      </c>
      <c r="R137" s="7" t="inlineStr">
        <is>
          <t>whole</t>
        </is>
      </c>
      <c r="S137" s="7" t="inlineStr">
        <is>
          <t>FG4</t>
        </is>
      </c>
      <c r="T137" s="7" t="n"/>
      <c r="U137" s="7" t="inlineStr">
        <is>
          <t>plant</t>
        </is>
      </c>
      <c r="V137" s="7" t="n"/>
      <c r="W137" s="7" t="n"/>
      <c r="X137" s="55" t="n">
        <v>1</v>
      </c>
      <c r="Y137" s="50" t="n">
        <v>0.5</v>
      </c>
      <c r="Z137" s="7" t="inlineStr">
        <is>
          <t>declared</t>
        </is>
      </c>
      <c r="AA137" s="19">
        <f>IF(ISBLANK(Welcome!D163),"",Welcome!D163)</f>
        <v/>
      </c>
      <c r="AB137" s="29">
        <f>IF(ISBLANK(Welcome!E163),"",Welcome!E163)</f>
        <v/>
      </c>
      <c r="AC137" s="29">
        <f>IF(N(AB137)&gt;0,N(AB137),N(AA137)*Y137)</f>
        <v/>
      </c>
      <c r="AD137" s="29">
        <f>IF(H137="yes",AC137,0)</f>
        <v/>
      </c>
      <c r="AE137" s="29">
        <f>AD137*N(M137)/100</f>
        <v/>
      </c>
      <c r="AF137" s="29">
        <f>AD137*N(O137)/100</f>
        <v/>
      </c>
      <c r="AG137" s="29">
        <f>AD137*N(P137)/100</f>
        <v/>
      </c>
      <c r="AH137" s="50">
        <f>IF(Q137="yes",AD137/1000,0)</f>
        <v/>
      </c>
      <c r="AI137" s="50">
        <f>IF(S137="FG2",AH137*X137,AH137)</f>
        <v/>
      </c>
    </row>
    <row r="138">
      <c r="A138" s="7" t="inlineStr">
        <is>
          <t>HM00290</t>
        </is>
      </c>
      <c r="B138" s="16" t="inlineStr">
        <is>
          <t>3012345033206</t>
        </is>
      </c>
      <c r="C138" s="7" t="inlineStr">
        <is>
          <t>HM CARROTS 1KG</t>
        </is>
      </c>
      <c r="D138" s="7" t="inlineStr">
        <is>
          <t>Carrots, 1kg</t>
        </is>
      </c>
      <c r="E138" s="7" t="inlineStr">
        <is>
          <t>Harbour Market</t>
        </is>
      </c>
      <c r="F138" s="7" t="inlineStr">
        <is>
          <t>Fruit &amp; Vegetables</t>
        </is>
      </c>
      <c r="G138" s="7" t="inlineStr">
        <is>
          <t>Vegetables</t>
        </is>
      </c>
      <c r="H138" s="7" t="inlineStr">
        <is>
          <t>yes</t>
        </is>
      </c>
      <c r="I138" s="7" t="inlineStr">
        <is>
          <t>Plant-based non-core</t>
        </is>
      </c>
      <c r="J138" s="7" t="inlineStr">
        <is>
          <t>Fruit and vegetables</t>
        </is>
      </c>
      <c r="K138" s="7" t="inlineStr">
        <is>
          <t>B</t>
        </is>
      </c>
      <c r="L138" s="7" t="inlineStr">
        <is>
          <t>Follows the class</t>
        </is>
      </c>
      <c r="M138" s="51" t="n">
        <v>0.57</v>
      </c>
      <c r="N138" s="7" t="inlineStr">
        <is>
          <t>Declared by the retailer</t>
        </is>
      </c>
      <c r="O138" s="54" t="n">
        <v>0.57</v>
      </c>
      <c r="P138" s="54" t="n">
        <v>0</v>
      </c>
      <c r="Q138" s="7" t="inlineStr">
        <is>
          <t>yes</t>
        </is>
      </c>
      <c r="R138" s="7" t="inlineStr">
        <is>
          <t>whole</t>
        </is>
      </c>
      <c r="S138" s="7" t="inlineStr">
        <is>
          <t>FG4</t>
        </is>
      </c>
      <c r="T138" s="7" t="n"/>
      <c r="U138" s="7" t="inlineStr">
        <is>
          <t>plant</t>
        </is>
      </c>
      <c r="V138" s="7" t="n"/>
      <c r="W138" s="7" t="n"/>
      <c r="X138" s="55" t="n">
        <v>1</v>
      </c>
      <c r="Y138" s="50" t="n">
        <v>1</v>
      </c>
      <c r="Z138" s="7" t="inlineStr">
        <is>
          <t>declared</t>
        </is>
      </c>
      <c r="AA138" s="19">
        <f>IF(ISBLANK(Welcome!D164),"",Welcome!D164)</f>
        <v/>
      </c>
      <c r="AB138" s="29">
        <f>IF(ISBLANK(Welcome!E164),"",Welcome!E164)</f>
        <v/>
      </c>
      <c r="AC138" s="29">
        <f>IF(N(AB138)&gt;0,N(AB138),N(AA138)*Y138)</f>
        <v/>
      </c>
      <c r="AD138" s="29">
        <f>IF(H138="yes",AC138,0)</f>
        <v/>
      </c>
      <c r="AE138" s="29">
        <f>AD138*N(M138)/100</f>
        <v/>
      </c>
      <c r="AF138" s="29">
        <f>AD138*N(O138)/100</f>
        <v/>
      </c>
      <c r="AG138" s="29">
        <f>AD138*N(P138)/100</f>
        <v/>
      </c>
      <c r="AH138" s="50">
        <f>IF(Q138="yes",AD138/1000,0)</f>
        <v/>
      </c>
      <c r="AI138" s="50">
        <f>IF(S138="FG2",AH138*X138,AH138)</f>
        <v/>
      </c>
    </row>
    <row r="139">
      <c r="A139" s="7" t="inlineStr">
        <is>
          <t>HM00087</t>
        </is>
      </c>
      <c r="B139" s="16" t="inlineStr">
        <is>
          <t>8712345691684</t>
        </is>
      </c>
      <c r="C139" s="7" t="inlineStr">
        <is>
          <t>ORVALIS BASMATI RICE 1KG</t>
        </is>
      </c>
      <c r="D139" s="7" t="inlineStr">
        <is>
          <t>Basmati rice, 1kg</t>
        </is>
      </c>
      <c r="E139" s="7" t="inlineStr">
        <is>
          <t>Orvalis</t>
        </is>
      </c>
      <c r="F139" s="7" t="inlineStr">
        <is>
          <t>Grocery</t>
        </is>
      </c>
      <c r="G139" s="7" t="inlineStr">
        <is>
          <t>Rice &amp; Grains</t>
        </is>
      </c>
      <c r="H139" s="7" t="inlineStr">
        <is>
          <t>yes</t>
        </is>
      </c>
      <c r="I139" s="7" t="inlineStr">
        <is>
          <t>Plant-based non-core</t>
        </is>
      </c>
      <c r="J139" s="7" t="inlineStr">
        <is>
          <t>Refined grains</t>
        </is>
      </c>
      <c r="K139" s="7" t="inlineStr">
        <is>
          <t>A</t>
        </is>
      </c>
      <c r="L139" s="7" t="inlineStr">
        <is>
          <t>All ingredients on one side</t>
        </is>
      </c>
      <c r="M139" s="51" t="n">
        <v>7.4</v>
      </c>
      <c r="N139" s="7" t="inlineStr">
        <is>
          <t>Declared by the retailer</t>
        </is>
      </c>
      <c r="O139" s="54" t="n">
        <v>7.4</v>
      </c>
      <c r="P139" s="54" t="n">
        <v>0</v>
      </c>
      <c r="Q139" s="7" t="inlineStr">
        <is>
          <t>yes</t>
        </is>
      </c>
      <c r="R139" s="7" t="inlineStr">
        <is>
          <t>whole</t>
        </is>
      </c>
      <c r="S139" s="7" t="inlineStr">
        <is>
          <t>FG5</t>
        </is>
      </c>
      <c r="T139" s="7" t="inlineStr">
        <is>
          <t>Refined grain</t>
        </is>
      </c>
      <c r="U139" s="7" t="inlineStr">
        <is>
          <t>plant</t>
        </is>
      </c>
      <c r="V139" s="7" t="n"/>
      <c r="W139" s="7" t="n"/>
      <c r="X139" s="55" t="n">
        <v>1</v>
      </c>
      <c r="Y139" s="50" t="n">
        <v>1</v>
      </c>
      <c r="Z139" s="7" t="inlineStr">
        <is>
          <t>declared</t>
        </is>
      </c>
      <c r="AA139" s="19">
        <f>IF(ISBLANK(Welcome!D165),"",Welcome!D165)</f>
        <v/>
      </c>
      <c r="AB139" s="29">
        <f>IF(ISBLANK(Welcome!E165),"",Welcome!E165)</f>
        <v/>
      </c>
      <c r="AC139" s="29">
        <f>IF(N(AB139)&gt;0,N(AB139),N(AA139)*Y139)</f>
        <v/>
      </c>
      <c r="AD139" s="29">
        <f>IF(H139="yes",AC139,0)</f>
        <v/>
      </c>
      <c r="AE139" s="29">
        <f>AD139*N(M139)/100</f>
        <v/>
      </c>
      <c r="AF139" s="29">
        <f>AD139*N(O139)/100</f>
        <v/>
      </c>
      <c r="AG139" s="29">
        <f>AD139*N(P139)/100</f>
        <v/>
      </c>
      <c r="AH139" s="50">
        <f>IF(Q139="yes",AD139/1000,0)</f>
        <v/>
      </c>
      <c r="AI139" s="50">
        <f>IF(S139="FG2",AH139*X139,AH139)</f>
        <v/>
      </c>
    </row>
    <row r="140">
      <c r="A140" s="7" t="inlineStr">
        <is>
          <t>HM00600</t>
        </is>
      </c>
      <c r="B140" s="16" t="inlineStr">
        <is>
          <t>3012345378055</t>
        </is>
      </c>
      <c r="C140" s="7" t="inlineStr">
        <is>
          <t>HM OVEN CHIPS 900G</t>
        </is>
      </c>
      <c r="D140" s="7" t="inlineStr">
        <is>
          <t>Oven chips, 900g</t>
        </is>
      </c>
      <c r="E140" s="7" t="inlineStr">
        <is>
          <t>Harbour Market</t>
        </is>
      </c>
      <c r="F140" s="7" t="inlineStr">
        <is>
          <t>Frozen</t>
        </is>
      </c>
      <c r="G140" s="7" t="inlineStr">
        <is>
          <t>Frozen Potatoes</t>
        </is>
      </c>
      <c r="H140" s="7" t="inlineStr">
        <is>
          <t>yes</t>
        </is>
      </c>
      <c r="I140" s="7" t="inlineStr">
        <is>
          <t>Plant-based non-core</t>
        </is>
      </c>
      <c r="J140" s="7" t="inlineStr">
        <is>
          <t>Discretionary products</t>
        </is>
      </c>
      <c r="K140" s="7" t="inlineStr">
        <is>
          <t>A</t>
        </is>
      </c>
      <c r="L140" s="7" t="inlineStr">
        <is>
          <t>All ingredients on one side</t>
        </is>
      </c>
      <c r="M140" s="51" t="n">
        <v>2.6</v>
      </c>
      <c r="N140" s="7" t="inlineStr">
        <is>
          <t>Declared by the retailer</t>
        </is>
      </c>
      <c r="O140" s="54" t="n">
        <v>2.6</v>
      </c>
      <c r="P140" s="54" t="n">
        <v>0</v>
      </c>
      <c r="Q140" s="7" t="inlineStr">
        <is>
          <t>yes</t>
        </is>
      </c>
      <c r="R140" s="7" t="inlineStr">
        <is>
          <t>whole</t>
        </is>
      </c>
      <c r="S140" s="7" t="inlineStr">
        <is>
          <t>FG7</t>
        </is>
      </c>
      <c r="T140" s="7" t="n"/>
      <c r="U140" s="7" t="inlineStr">
        <is>
          <t>plant</t>
        </is>
      </c>
      <c r="V140" s="7" t="n"/>
      <c r="W140" s="7" t="n"/>
      <c r="X140" s="55" t="n">
        <v>1</v>
      </c>
      <c r="Y140" s="50" t="n">
        <v>0.9</v>
      </c>
      <c r="Z140" s="7" t="inlineStr">
        <is>
          <t>label</t>
        </is>
      </c>
      <c r="AA140" s="19">
        <f>IF(ISBLANK(Welcome!D166),"",Welcome!D166)</f>
        <v/>
      </c>
      <c r="AB140" s="29">
        <f>IF(ISBLANK(Welcome!E166),"",Welcome!E166)</f>
        <v/>
      </c>
      <c r="AC140" s="29">
        <f>IF(N(AB140)&gt;0,N(AB140),N(AA140)*Y140)</f>
        <v/>
      </c>
      <c r="AD140" s="29">
        <f>IF(H140="yes",AC140,0)</f>
        <v/>
      </c>
      <c r="AE140" s="29">
        <f>AD140*N(M140)/100</f>
        <v/>
      </c>
      <c r="AF140" s="29">
        <f>AD140*N(O140)/100</f>
        <v/>
      </c>
      <c r="AG140" s="29">
        <f>AD140*N(P140)/100</f>
        <v/>
      </c>
      <c r="AH140" s="50">
        <f>IF(Q140="yes",AD140/1000,0)</f>
        <v/>
      </c>
      <c r="AI140" s="50">
        <f>IF(S140="FG2",AH140*X140,AH140)</f>
        <v/>
      </c>
    </row>
    <row r="141">
      <c r="A141" s="7" t="inlineStr">
        <is>
          <t>HM00171</t>
        </is>
      </c>
      <c r="B141" s="16" t="inlineStr">
        <is>
          <t>4012345397901</t>
        </is>
      </c>
      <c r="C141" s="7" t="inlineStr">
        <is>
          <t>HM APPLE JUICE 1L</t>
        </is>
      </c>
      <c r="D141" s="7" t="inlineStr">
        <is>
          <t>Pressed apple juice, 1l</t>
        </is>
      </c>
      <c r="E141" s="7" t="inlineStr">
        <is>
          <t>Harbour Market</t>
        </is>
      </c>
      <c r="F141" s="7" t="inlineStr">
        <is>
          <t>Soft Drinks &amp; Water</t>
        </is>
      </c>
      <c r="G141" s="7" t="inlineStr">
        <is>
          <t>Juice</t>
        </is>
      </c>
      <c r="H141" s="7" t="inlineStr">
        <is>
          <t>yes</t>
        </is>
      </c>
      <c r="I141" s="7" t="inlineStr">
        <is>
          <t>Plant-based non-core</t>
        </is>
      </c>
      <c r="J141" s="7" t="inlineStr">
        <is>
          <t>Outside the WWF scope</t>
        </is>
      </c>
      <c r="K141" s="7" t="inlineStr">
        <is>
          <t>A</t>
        </is>
      </c>
      <c r="L141" s="7" t="inlineStr">
        <is>
          <t>All ingredients on one side</t>
        </is>
      </c>
      <c r="M141" s="51" t="n">
        <v>0.1</v>
      </c>
      <c r="N141" s="7" t="inlineStr">
        <is>
          <t>Median of the family</t>
        </is>
      </c>
      <c r="O141" s="54" t="n">
        <v>0.1</v>
      </c>
      <c r="P141" s="54" t="n">
        <v>0</v>
      </c>
      <c r="Q141" s="7" t="inlineStr">
        <is>
          <t>no</t>
        </is>
      </c>
      <c r="R141" s="7" t="n"/>
      <c r="S141" s="7" t="n"/>
      <c r="T141" s="7" t="n"/>
      <c r="U141" s="7" t="n"/>
      <c r="V141" s="7" t="n"/>
      <c r="W141" s="7" t="inlineStr">
        <is>
          <t>beverage</t>
        </is>
      </c>
      <c r="X141" s="55" t="n">
        <v>1</v>
      </c>
      <c r="Y141" s="50" t="n">
        <v>1.04</v>
      </c>
      <c r="Z141" s="7" t="inlineStr">
        <is>
          <t>declared</t>
        </is>
      </c>
      <c r="AA141" s="19">
        <f>IF(ISBLANK(Welcome!D167),"",Welcome!D167)</f>
        <v/>
      </c>
      <c r="AB141" s="29">
        <f>IF(ISBLANK(Welcome!E167),"",Welcome!E167)</f>
        <v/>
      </c>
      <c r="AC141" s="29">
        <f>IF(N(AB141)&gt;0,N(AB141),N(AA141)*Y141)</f>
        <v/>
      </c>
      <c r="AD141" s="29">
        <f>IF(H141="yes",AC141,0)</f>
        <v/>
      </c>
      <c r="AE141" s="29">
        <f>AD141*N(M141)/100</f>
        <v/>
      </c>
      <c r="AF141" s="29">
        <f>AD141*N(O141)/100</f>
        <v/>
      </c>
      <c r="AG141" s="29">
        <f>AD141*N(P141)/100</f>
        <v/>
      </c>
      <c r="AH141" s="50">
        <f>IF(Q141="yes",AD141/1000,0)</f>
        <v/>
      </c>
      <c r="AI141" s="50">
        <f>IF(S141="FG2",AH141*X141,AH141)</f>
        <v/>
      </c>
    </row>
    <row r="142">
      <c r="A142" s="7" t="inlineStr">
        <is>
          <t>HM00601</t>
        </is>
      </c>
      <c r="B142" s="16" t="inlineStr">
        <is>
          <t>8712345210083</t>
        </is>
      </c>
      <c r="C142" s="7" t="inlineStr">
        <is>
          <t>ORANGE JUICE SMOOTH 1.75L NUVELLE</t>
        </is>
      </c>
      <c r="D142" s="7" t="inlineStr">
        <is>
          <t>Smooth orange juice, 1.75l</t>
        </is>
      </c>
      <c r="E142" s="7" t="inlineStr">
        <is>
          <t>Nuvelle</t>
        </is>
      </c>
      <c r="F142" s="7" t="inlineStr">
        <is>
          <t>Soft Drinks &amp; Water</t>
        </is>
      </c>
      <c r="G142" s="7" t="inlineStr">
        <is>
          <t>Juice</t>
        </is>
      </c>
      <c r="H142" s="7" t="inlineStr">
        <is>
          <t>yes</t>
        </is>
      </c>
      <c r="I142" s="7" t="inlineStr">
        <is>
          <t>Plant-based non-core</t>
        </is>
      </c>
      <c r="J142" s="7" t="inlineStr">
        <is>
          <t>Outside the WWF scope</t>
        </is>
      </c>
      <c r="K142" s="7" t="inlineStr">
        <is>
          <t>B</t>
        </is>
      </c>
      <c r="L142" s="7" t="inlineStr">
        <is>
          <t>Follows the class</t>
        </is>
      </c>
      <c r="M142" s="51" t="n">
        <v>0.74</v>
      </c>
      <c r="N142" s="7" t="inlineStr">
        <is>
          <t>Declared by the retailer</t>
        </is>
      </c>
      <c r="O142" s="54" t="n">
        <v>0.74</v>
      </c>
      <c r="P142" s="54" t="n">
        <v>0</v>
      </c>
      <c r="Q142" s="7" t="inlineStr">
        <is>
          <t>no</t>
        </is>
      </c>
      <c r="R142" s="7" t="n"/>
      <c r="S142" s="7" t="n"/>
      <c r="T142" s="7" t="n"/>
      <c r="U142" s="7" t="n"/>
      <c r="V142" s="7" t="n"/>
      <c r="W142" s="7" t="inlineStr">
        <is>
          <t>beverage</t>
        </is>
      </c>
      <c r="X142" s="55" t="n">
        <v>1</v>
      </c>
      <c r="Y142" s="50" t="n">
        <v>1.82</v>
      </c>
      <c r="Z142" s="7" t="inlineStr">
        <is>
          <t>declared</t>
        </is>
      </c>
      <c r="AA142" s="19">
        <f>IF(ISBLANK(Welcome!D168),"",Welcome!D168)</f>
        <v/>
      </c>
      <c r="AB142" s="29">
        <f>IF(ISBLANK(Welcome!E168),"",Welcome!E168)</f>
        <v/>
      </c>
      <c r="AC142" s="29">
        <f>IF(N(AB142)&gt;0,N(AB142),N(AA142)*Y142)</f>
        <v/>
      </c>
      <c r="AD142" s="29">
        <f>IF(H142="yes",AC142,0)</f>
        <v/>
      </c>
      <c r="AE142" s="29">
        <f>AD142*N(M142)/100</f>
        <v/>
      </c>
      <c r="AF142" s="29">
        <f>AD142*N(O142)/100</f>
        <v/>
      </c>
      <c r="AG142" s="29">
        <f>AD142*N(P142)/100</f>
        <v/>
      </c>
      <c r="AH142" s="50">
        <f>IF(Q142="yes",AD142/1000,0)</f>
        <v/>
      </c>
      <c r="AI142" s="50">
        <f>IF(S142="FG2",AH142*X142,AH142)</f>
        <v/>
      </c>
    </row>
    <row r="143">
      <c r="A143" s="7" t="inlineStr">
        <is>
          <t>HM00433</t>
        </is>
      </c>
      <c r="B143" s="16" t="inlineStr">
        <is>
          <t>3012345548496</t>
        </is>
      </c>
      <c r="C143" s="7" t="inlineStr">
        <is>
          <t>HM CHKN BREAST FLT 1.4KG</t>
        </is>
      </c>
      <c r="D143" s="7" t="inlineStr">
        <is>
          <t>Chicken breast fillets, 1.4kg</t>
        </is>
      </c>
      <c r="E143" s="7" t="inlineStr">
        <is>
          <t>Harbour Market</t>
        </is>
      </c>
      <c r="F143" s="7" t="inlineStr">
        <is>
          <t>Fresh Meat &amp; Poultry</t>
        </is>
      </c>
      <c r="G143" s="7" t="inlineStr">
        <is>
          <t>Poultry</t>
        </is>
      </c>
      <c r="H143" s="7" t="inlineStr">
        <is>
          <t>yes</t>
        </is>
      </c>
      <c r="I143" s="7" t="inlineStr">
        <is>
          <t>Animal core</t>
        </is>
      </c>
      <c r="J143" s="7" t="inlineStr">
        <is>
          <t>Poultry</t>
        </is>
      </c>
      <c r="K143" s="7" t="inlineStr">
        <is>
          <t>A</t>
        </is>
      </c>
      <c r="L143" s="7" t="inlineStr">
        <is>
          <t>All ingredients on one side</t>
        </is>
      </c>
      <c r="M143" s="51" t="n">
        <v>22.6</v>
      </c>
      <c r="N143" s="7" t="inlineStr">
        <is>
          <t>Open Food Facts and NEVO, by EAN</t>
        </is>
      </c>
      <c r="O143" s="54" t="n">
        <v>0</v>
      </c>
      <c r="P143" s="54" t="n">
        <v>22.6</v>
      </c>
      <c r="Q143" s="7" t="inlineStr">
        <is>
          <t>yes</t>
        </is>
      </c>
      <c r="R143" s="7" t="inlineStr">
        <is>
          <t>whole</t>
        </is>
      </c>
      <c r="S143" s="7" t="inlineStr">
        <is>
          <t>FG1</t>
        </is>
      </c>
      <c r="T143" s="7" t="inlineStr">
        <is>
          <t>Poultry</t>
        </is>
      </c>
      <c r="U143" s="7" t="inlineStr">
        <is>
          <t>animal</t>
        </is>
      </c>
      <c r="V143" s="7" t="n"/>
      <c r="W143" s="7" t="n"/>
      <c r="X143" s="55" t="n">
        <v>1</v>
      </c>
      <c r="Y143" s="50" t="n">
        <v>1.4</v>
      </c>
      <c r="Z143" s="7" t="inlineStr">
        <is>
          <t>declared</t>
        </is>
      </c>
      <c r="AA143" s="19">
        <f>IF(ISBLANK(Welcome!D169),"",Welcome!D169)</f>
        <v/>
      </c>
      <c r="AB143" s="29">
        <f>IF(ISBLANK(Welcome!E169),"",Welcome!E169)</f>
        <v/>
      </c>
      <c r="AC143" s="29">
        <f>IF(N(AB143)&gt;0,N(AB143),N(AA143)*Y143)</f>
        <v/>
      </c>
      <c r="AD143" s="29">
        <f>IF(H143="yes",AC143,0)</f>
        <v/>
      </c>
      <c r="AE143" s="29">
        <f>AD143*N(M143)/100</f>
        <v/>
      </c>
      <c r="AF143" s="29">
        <f>AD143*N(O143)/100</f>
        <v/>
      </c>
      <c r="AG143" s="29">
        <f>AD143*N(P143)/100</f>
        <v/>
      </c>
      <c r="AH143" s="50">
        <f>IF(Q143="yes",AD143/1000,0)</f>
        <v/>
      </c>
      <c r="AI143" s="50">
        <f>IF(S143="FG2",AH143*X143,AH143)</f>
        <v/>
      </c>
    </row>
    <row r="144">
      <c r="A144" s="7" t="inlineStr">
        <is>
          <t>HM00711</t>
        </is>
      </c>
      <c r="B144" s="16" t="inlineStr">
        <is>
          <t>4012345814590</t>
        </is>
      </c>
      <c r="C144" s="7" t="inlineStr">
        <is>
          <t>HM EXTRA VIRGIN OLIVE OIL 3L</t>
        </is>
      </c>
      <c r="D144" s="7" t="inlineStr">
        <is>
          <t>Extra virgin olive oil, 3l</t>
        </is>
      </c>
      <c r="E144" s="7" t="inlineStr">
        <is>
          <t>Harbour Market</t>
        </is>
      </c>
      <c r="F144" s="7" t="inlineStr">
        <is>
          <t>Grocery</t>
        </is>
      </c>
      <c r="G144" s="7" t="inlineStr">
        <is>
          <t>Oils</t>
        </is>
      </c>
      <c r="H144" s="7" t="inlineStr">
        <is>
          <t>yes</t>
        </is>
      </c>
      <c r="I144" s="7" t="inlineStr">
        <is>
          <t>Plant-based non-core</t>
        </is>
      </c>
      <c r="J144" s="7" t="inlineStr">
        <is>
          <t>Other</t>
        </is>
      </c>
      <c r="K144" s="7" t="inlineStr">
        <is>
          <t>A</t>
        </is>
      </c>
      <c r="L144" s="7" t="inlineStr">
        <is>
          <t>All ingredients on one side</t>
        </is>
      </c>
      <c r="M144" s="51" t="n">
        <v>0</v>
      </c>
      <c r="N144" s="7" t="inlineStr">
        <is>
          <t>Altera reference base</t>
        </is>
      </c>
      <c r="O144" s="54" t="n">
        <v>0</v>
      </c>
      <c r="P144" s="54" t="n">
        <v>0</v>
      </c>
      <c r="Q144" s="7" t="inlineStr">
        <is>
          <t>yes</t>
        </is>
      </c>
      <c r="R144" s="7" t="inlineStr">
        <is>
          <t>whole</t>
        </is>
      </c>
      <c r="S144" s="7" t="inlineStr">
        <is>
          <t>FG3</t>
        </is>
      </c>
      <c r="T144" s="7" t="inlineStr">
        <is>
          <t>Plant-based fat</t>
        </is>
      </c>
      <c r="U144" s="7" t="inlineStr">
        <is>
          <t>plant</t>
        </is>
      </c>
      <c r="V144" s="7" t="n"/>
      <c r="W144" s="7" t="n"/>
      <c r="X144" s="55" t="n">
        <v>1</v>
      </c>
      <c r="Y144" s="50" t="n">
        <v>2.76</v>
      </c>
      <c r="Z144" s="7" t="inlineStr">
        <is>
          <t>declared</t>
        </is>
      </c>
      <c r="AA144" s="19">
        <f>IF(ISBLANK(Welcome!D170),"",Welcome!D170)</f>
        <v/>
      </c>
      <c r="AB144" s="29">
        <f>IF(ISBLANK(Welcome!E170),"",Welcome!E170)</f>
        <v/>
      </c>
      <c r="AC144" s="29">
        <f>IF(N(AB144)&gt;0,N(AB144),N(AA144)*Y144)</f>
        <v/>
      </c>
      <c r="AD144" s="29">
        <f>IF(H144="yes",AC144,0)</f>
        <v/>
      </c>
      <c r="AE144" s="29">
        <f>AD144*N(M144)/100</f>
        <v/>
      </c>
      <c r="AF144" s="29">
        <f>AD144*N(O144)/100</f>
        <v/>
      </c>
      <c r="AG144" s="29">
        <f>AD144*N(P144)/100</f>
        <v/>
      </c>
      <c r="AH144" s="50">
        <f>IF(Q144="yes",AD144/1000,0)</f>
        <v/>
      </c>
      <c r="AI144" s="50">
        <f>IF(S144="FG2",AH144*X144,AH144)</f>
        <v/>
      </c>
    </row>
    <row r="145">
      <c r="A145" s="7" t="inlineStr">
        <is>
          <t>HM00213</t>
        </is>
      </c>
      <c r="B145" s="16" t="inlineStr">
        <is>
          <t>5012345419374</t>
        </is>
      </c>
      <c r="C145" s="7" t="inlineStr">
        <is>
          <t>PORK LOIN CHOPS 1KG TARROW</t>
        </is>
      </c>
      <c r="D145" s="7" t="inlineStr">
        <is>
          <t>Pork loin chops, 1kg</t>
        </is>
      </c>
      <c r="E145" s="7" t="inlineStr">
        <is>
          <t>Tarrow Farm</t>
        </is>
      </c>
      <c r="F145" s="7" t="inlineStr">
        <is>
          <t>Fresh Meat &amp; Poultry</t>
        </is>
      </c>
      <c r="G145" s="7" t="inlineStr">
        <is>
          <t>Pork</t>
        </is>
      </c>
      <c r="H145" s="7" t="inlineStr">
        <is>
          <t>yes</t>
        </is>
      </c>
      <c r="I145" s="7" t="inlineStr">
        <is>
          <t>Animal core</t>
        </is>
      </c>
      <c r="J145" s="7" t="inlineStr">
        <is>
          <t>Red meat</t>
        </is>
      </c>
      <c r="K145" s="7" t="inlineStr">
        <is>
          <t>B</t>
        </is>
      </c>
      <c r="L145" s="7" t="inlineStr">
        <is>
          <t>Follows the class</t>
        </is>
      </c>
      <c r="M145" s="51" t="n">
        <v>19.3</v>
      </c>
      <c r="N145" s="7" t="inlineStr">
        <is>
          <t>National food table (CIQUAL in France)</t>
        </is>
      </c>
      <c r="O145" s="54" t="n">
        <v>0</v>
      </c>
      <c r="P145" s="54" t="n">
        <v>19.3</v>
      </c>
      <c r="Q145" s="7" t="inlineStr">
        <is>
          <t>yes</t>
        </is>
      </c>
      <c r="R145" s="7" t="inlineStr">
        <is>
          <t>whole</t>
        </is>
      </c>
      <c r="S145" s="7" t="inlineStr">
        <is>
          <t>FG1</t>
        </is>
      </c>
      <c r="T145" s="7" t="inlineStr">
        <is>
          <t>Red meat</t>
        </is>
      </c>
      <c r="U145" s="7" t="inlineStr">
        <is>
          <t>animal</t>
        </is>
      </c>
      <c r="V145" s="7" t="n"/>
      <c r="W145" s="7" t="n"/>
      <c r="X145" s="55" t="n">
        <v>1</v>
      </c>
      <c r="Y145" s="50" t="n">
        <v>1</v>
      </c>
      <c r="Z145" s="7" t="inlineStr">
        <is>
          <t>declared</t>
        </is>
      </c>
      <c r="AA145" s="19">
        <f>IF(ISBLANK(Welcome!D171),"",Welcome!D171)</f>
        <v/>
      </c>
      <c r="AB145" s="29">
        <f>IF(ISBLANK(Welcome!E171),"",Welcome!E171)</f>
        <v/>
      </c>
      <c r="AC145" s="29">
        <f>IF(N(AB145)&gt;0,N(AB145),N(AA145)*Y145)</f>
        <v/>
      </c>
      <c r="AD145" s="29">
        <f>IF(H145="yes",AC145,0)</f>
        <v/>
      </c>
      <c r="AE145" s="29">
        <f>AD145*N(M145)/100</f>
        <v/>
      </c>
      <c r="AF145" s="29">
        <f>AD145*N(O145)/100</f>
        <v/>
      </c>
      <c r="AG145" s="29">
        <f>AD145*N(P145)/100</f>
        <v/>
      </c>
      <c r="AH145" s="50">
        <f>IF(Q145="yes",AD145/1000,0)</f>
        <v/>
      </c>
      <c r="AI145" s="50">
        <f>IF(S145="FG2",AH145*X145,AH145)</f>
        <v/>
      </c>
    </row>
    <row r="146">
      <c r="A146" s="7" t="inlineStr">
        <is>
          <t>HM00670</t>
        </is>
      </c>
      <c r="B146" s="16" t="inlineStr">
        <is>
          <t>5012345181929</t>
        </is>
      </c>
      <c r="C146" s="7" t="inlineStr">
        <is>
          <t>HM LEMONS 500G</t>
        </is>
      </c>
      <c r="D146" s="7" t="inlineStr">
        <is>
          <t>Lemons, 500g</t>
        </is>
      </c>
      <c r="E146" s="7" t="inlineStr">
        <is>
          <t>Harbour Market</t>
        </is>
      </c>
      <c r="F146" s="7" t="inlineStr">
        <is>
          <t>Fruit &amp; Vegetables</t>
        </is>
      </c>
      <c r="G146" s="7" t="inlineStr">
        <is>
          <t>Fruit</t>
        </is>
      </c>
      <c r="H146" s="7" t="inlineStr">
        <is>
          <t>yes</t>
        </is>
      </c>
      <c r="I146" s="7" t="inlineStr">
        <is>
          <t>Plant-based non-core</t>
        </is>
      </c>
      <c r="J146" s="7" t="inlineStr">
        <is>
          <t>Fruit and vegetables</t>
        </is>
      </c>
      <c r="K146" s="7" t="inlineStr">
        <is>
          <t>B</t>
        </is>
      </c>
      <c r="L146" s="7" t="inlineStr">
        <is>
          <t>Follows the class</t>
        </is>
      </c>
      <c r="M146" s="51" t="n">
        <v>0.63</v>
      </c>
      <c r="N146" s="7" t="inlineStr">
        <is>
          <t>Declared by the retailer</t>
        </is>
      </c>
      <c r="O146" s="54" t="n">
        <v>0.63</v>
      </c>
      <c r="P146" s="54" t="n">
        <v>0</v>
      </c>
      <c r="Q146" s="7" t="inlineStr">
        <is>
          <t>yes</t>
        </is>
      </c>
      <c r="R146" s="7" t="inlineStr">
        <is>
          <t>whole</t>
        </is>
      </c>
      <c r="S146" s="7" t="inlineStr">
        <is>
          <t>FG4</t>
        </is>
      </c>
      <c r="T146" s="7" t="n"/>
      <c r="U146" s="7" t="inlineStr">
        <is>
          <t>plant</t>
        </is>
      </c>
      <c r="V146" s="7" t="n"/>
      <c r="W146" s="7" t="n"/>
      <c r="X146" s="55" t="n">
        <v>1</v>
      </c>
      <c r="Y146" s="50" t="n">
        <v>0.5</v>
      </c>
      <c r="Z146" s="7" t="inlineStr">
        <is>
          <t>declared</t>
        </is>
      </c>
      <c r="AA146" s="19">
        <f>IF(ISBLANK(Welcome!D172),"",Welcome!D172)</f>
        <v/>
      </c>
      <c r="AB146" s="29">
        <f>IF(ISBLANK(Welcome!E172),"",Welcome!E172)</f>
        <v/>
      </c>
      <c r="AC146" s="29">
        <f>IF(N(AB146)&gt;0,N(AB146),N(AA146)*Y146)</f>
        <v/>
      </c>
      <c r="AD146" s="29">
        <f>IF(H146="yes",AC146,0)</f>
        <v/>
      </c>
      <c r="AE146" s="29">
        <f>AD146*N(M146)/100</f>
        <v/>
      </c>
      <c r="AF146" s="29">
        <f>AD146*N(O146)/100</f>
        <v/>
      </c>
      <c r="AG146" s="29">
        <f>AD146*N(P146)/100</f>
        <v/>
      </c>
      <c r="AH146" s="50">
        <f>IF(Q146="yes",AD146/1000,0)</f>
        <v/>
      </c>
      <c r="AI146" s="50">
        <f>IF(S146="FG2",AH146*X146,AH146)</f>
        <v/>
      </c>
    </row>
    <row r="147">
      <c r="A147" s="7" t="inlineStr">
        <is>
          <t>HM00500</t>
        </is>
      </c>
      <c r="B147" s="16" t="inlineStr">
        <is>
          <t>5012345150703</t>
        </is>
      </c>
      <c r="C147" s="7" t="inlineStr">
        <is>
          <t>HM CLEMENTINES 1KG</t>
        </is>
      </c>
      <c r="D147" s="7" t="inlineStr">
        <is>
          <t>Clementines, 1kg</t>
        </is>
      </c>
      <c r="E147" s="7" t="inlineStr">
        <is>
          <t>Harbour Market</t>
        </is>
      </c>
      <c r="F147" s="7" t="inlineStr">
        <is>
          <t>Fruit &amp; Vegetables</t>
        </is>
      </c>
      <c r="G147" s="7" t="inlineStr">
        <is>
          <t>Fruit</t>
        </is>
      </c>
      <c r="H147" s="7" t="inlineStr">
        <is>
          <t>yes</t>
        </is>
      </c>
      <c r="I147" s="7" t="inlineStr">
        <is>
          <t>Plant-based non-core</t>
        </is>
      </c>
      <c r="J147" s="7" t="inlineStr">
        <is>
          <t>Fruit and vegetables</t>
        </is>
      </c>
      <c r="K147" s="7" t="inlineStr">
        <is>
          <t>B</t>
        </is>
      </c>
      <c r="L147" s="7" t="inlineStr">
        <is>
          <t>Follows the class</t>
        </is>
      </c>
      <c r="M147" s="51" t="n">
        <v>0.76</v>
      </c>
      <c r="N147" s="7" t="inlineStr">
        <is>
          <t>National food table (CIQUAL in France)</t>
        </is>
      </c>
      <c r="O147" s="54" t="n">
        <v>0.76</v>
      </c>
      <c r="P147" s="54" t="n">
        <v>0</v>
      </c>
      <c r="Q147" s="7" t="inlineStr">
        <is>
          <t>yes</t>
        </is>
      </c>
      <c r="R147" s="7" t="inlineStr">
        <is>
          <t>whole</t>
        </is>
      </c>
      <c r="S147" s="7" t="inlineStr">
        <is>
          <t>FG4</t>
        </is>
      </c>
      <c r="T147" s="7" t="n"/>
      <c r="U147" s="7" t="inlineStr">
        <is>
          <t>plant</t>
        </is>
      </c>
      <c r="V147" s="7" t="n"/>
      <c r="W147" s="7" t="n"/>
      <c r="X147" s="55" t="n">
        <v>1</v>
      </c>
      <c r="Y147" s="50" t="n">
        <v>1</v>
      </c>
      <c r="Z147" s="7" t="inlineStr">
        <is>
          <t>declared</t>
        </is>
      </c>
      <c r="AA147" s="19">
        <f>IF(ISBLANK(Welcome!D173),"",Welcome!D173)</f>
        <v/>
      </c>
      <c r="AB147" s="29">
        <f>IF(ISBLANK(Welcome!E173),"",Welcome!E173)</f>
        <v/>
      </c>
      <c r="AC147" s="29">
        <f>IF(N(AB147)&gt;0,N(AB147),N(AA147)*Y147)</f>
        <v/>
      </c>
      <c r="AD147" s="29">
        <f>IF(H147="yes",AC147,0)</f>
        <v/>
      </c>
      <c r="AE147" s="29">
        <f>AD147*N(M147)/100</f>
        <v/>
      </c>
      <c r="AF147" s="29">
        <f>AD147*N(O147)/100</f>
        <v/>
      </c>
      <c r="AG147" s="29">
        <f>AD147*N(P147)/100</f>
        <v/>
      </c>
      <c r="AH147" s="50">
        <f>IF(Q147="yes",AD147/1000,0)</f>
        <v/>
      </c>
      <c r="AI147" s="50">
        <f>IF(S147="FG2",AH147*X147,AH147)</f>
        <v/>
      </c>
    </row>
    <row r="148">
      <c r="A148" s="7" t="inlineStr">
        <is>
          <t>HM00051</t>
        </is>
      </c>
      <c r="B148" s="16" t="inlineStr">
        <is>
          <t>8712345407438</t>
        </is>
      </c>
      <c r="C148" s="7" t="inlineStr">
        <is>
          <t>HM MELON GALIA EACH</t>
        </is>
      </c>
      <c r="D148" s="7" t="inlineStr">
        <is>
          <t>Galia melon</t>
        </is>
      </c>
      <c r="E148" s="7" t="inlineStr">
        <is>
          <t>Harbour Market</t>
        </is>
      </c>
      <c r="F148" s="7" t="inlineStr">
        <is>
          <t>Fruit &amp; Vegetables</t>
        </is>
      </c>
      <c r="G148" s="7" t="inlineStr">
        <is>
          <t>Exotic Fruit</t>
        </is>
      </c>
      <c r="H148" s="7" t="inlineStr">
        <is>
          <t>yes</t>
        </is>
      </c>
      <c r="I148" s="7" t="inlineStr">
        <is>
          <t>Plant-based non-core</t>
        </is>
      </c>
      <c r="J148" s="7" t="inlineStr">
        <is>
          <t>Fruit and vegetables</t>
        </is>
      </c>
      <c r="K148" s="7" t="inlineStr">
        <is>
          <t>B</t>
        </is>
      </c>
      <c r="L148" s="7" t="inlineStr">
        <is>
          <t>Follows the class</t>
        </is>
      </c>
      <c r="M148" s="51" t="n">
        <v>0.77</v>
      </c>
      <c r="N148" s="7" t="inlineStr">
        <is>
          <t>Altera reference base</t>
        </is>
      </c>
      <c r="O148" s="54" t="n">
        <v>0.77</v>
      </c>
      <c r="P148" s="54" t="n">
        <v>0</v>
      </c>
      <c r="Q148" s="7" t="inlineStr">
        <is>
          <t>yes</t>
        </is>
      </c>
      <c r="R148" s="7" t="inlineStr">
        <is>
          <t>whole</t>
        </is>
      </c>
      <c r="S148" s="7" t="inlineStr">
        <is>
          <t>FG4</t>
        </is>
      </c>
      <c r="T148" s="7" t="n"/>
      <c r="U148" s="7" t="inlineStr">
        <is>
          <t>plant</t>
        </is>
      </c>
      <c r="V148" s="7" t="n"/>
      <c r="W148" s="7" t="n"/>
      <c r="X148" s="55" t="n">
        <v>1</v>
      </c>
      <c r="Y148" s="50" t="n">
        <v>1.2</v>
      </c>
      <c r="Z148" s="7" t="inlineStr">
        <is>
          <t>typical_piece</t>
        </is>
      </c>
      <c r="AA148" s="19">
        <f>IF(ISBLANK(Welcome!D174),"",Welcome!D174)</f>
        <v/>
      </c>
      <c r="AB148" s="29">
        <f>IF(ISBLANK(Welcome!E174),"",Welcome!E174)</f>
        <v/>
      </c>
      <c r="AC148" s="29">
        <f>IF(N(AB148)&gt;0,N(AB148),N(AA148)*Y148)</f>
        <v/>
      </c>
      <c r="AD148" s="29">
        <f>IF(H148="yes",AC148,0)</f>
        <v/>
      </c>
      <c r="AE148" s="29">
        <f>AD148*N(M148)/100</f>
        <v/>
      </c>
      <c r="AF148" s="29">
        <f>AD148*N(O148)/100</f>
        <v/>
      </c>
      <c r="AG148" s="29">
        <f>AD148*N(P148)/100</f>
        <v/>
      </c>
      <c r="AH148" s="50">
        <f>IF(Q148="yes",AD148/1000,0)</f>
        <v/>
      </c>
      <c r="AI148" s="50">
        <f>IF(S148="FG2",AH148*X148,AH148)</f>
        <v/>
      </c>
    </row>
    <row r="149">
      <c r="A149" s="7" t="inlineStr">
        <is>
          <t>HM00796</t>
        </is>
      </c>
      <c r="B149" s="16" t="inlineStr">
        <is>
          <t>4012345118865</t>
        </is>
      </c>
      <c r="C149" s="7" t="inlineStr">
        <is>
          <t>HM RED WINE MERLOT 3X75CL</t>
        </is>
      </c>
      <c r="D149" s="7" t="inlineStr">
        <is>
          <t>Merlot red wine, 3x75cl</t>
        </is>
      </c>
      <c r="E149" s="7" t="inlineStr">
        <is>
          <t>Harbour Market</t>
        </is>
      </c>
      <c r="F149" s="7" t="inlineStr">
        <is>
          <t>Beer, Wine &amp; Spirits</t>
        </is>
      </c>
      <c r="G149" s="7" t="inlineStr">
        <is>
          <t>Wine</t>
        </is>
      </c>
      <c r="H149" s="7" t="inlineStr">
        <is>
          <t>yes</t>
        </is>
      </c>
      <c r="I149" s="7" t="inlineStr">
        <is>
          <t>Plant-based non-core</t>
        </is>
      </c>
      <c r="J149" s="7" t="inlineStr">
        <is>
          <t>Outside the WWF scope</t>
        </is>
      </c>
      <c r="K149" s="7" t="inlineStr">
        <is>
          <t>A</t>
        </is>
      </c>
      <c r="L149" s="7" t="inlineStr">
        <is>
          <t>All ingredients on one side</t>
        </is>
      </c>
      <c r="M149" s="51" t="n">
        <v>0.1</v>
      </c>
      <c r="N149" s="7" t="inlineStr">
        <is>
          <t>Declared by the retailer</t>
        </is>
      </c>
      <c r="O149" s="54" t="n">
        <v>0.1</v>
      </c>
      <c r="P149" s="54" t="n">
        <v>0</v>
      </c>
      <c r="Q149" s="7" t="inlineStr">
        <is>
          <t>no</t>
        </is>
      </c>
      <c r="R149" s="7" t="n"/>
      <c r="S149" s="7" t="n"/>
      <c r="T149" s="7" t="n"/>
      <c r="U149" s="7" t="n"/>
      <c r="V149" s="7" t="n"/>
      <c r="W149" s="7" t="inlineStr">
        <is>
          <t>alcohol</t>
        </is>
      </c>
      <c r="X149" s="55" t="n">
        <v>1</v>
      </c>
      <c r="Y149" s="50" t="n">
        <v>2.25</v>
      </c>
      <c r="Z149" s="7" t="inlineStr">
        <is>
          <t>declared</t>
        </is>
      </c>
      <c r="AA149" s="19">
        <f>IF(ISBLANK(Welcome!D175),"",Welcome!D175)</f>
        <v/>
      </c>
      <c r="AB149" s="29">
        <f>IF(ISBLANK(Welcome!E175),"",Welcome!E175)</f>
        <v/>
      </c>
      <c r="AC149" s="29">
        <f>IF(N(AB149)&gt;0,N(AB149),N(AA149)*Y149)</f>
        <v/>
      </c>
      <c r="AD149" s="29">
        <f>IF(H149="yes",AC149,0)</f>
        <v/>
      </c>
      <c r="AE149" s="29">
        <f>AD149*N(M149)/100</f>
        <v/>
      </c>
      <c r="AF149" s="29">
        <f>AD149*N(O149)/100</f>
        <v/>
      </c>
      <c r="AG149" s="29">
        <f>AD149*N(P149)/100</f>
        <v/>
      </c>
      <c r="AH149" s="50">
        <f>IF(Q149="yes",AD149/1000,0)</f>
        <v/>
      </c>
      <c r="AI149" s="50">
        <f>IF(S149="FG2",AH149*X149,AH149)</f>
        <v/>
      </c>
    </row>
    <row r="150">
      <c r="A150" s="7" t="inlineStr">
        <is>
          <t>HM00106</t>
        </is>
      </c>
      <c r="B150" s="16" t="inlineStr">
        <is>
          <t>0712345523471</t>
        </is>
      </c>
      <c r="C150" s="7" t="inlineStr">
        <is>
          <t>KESTREL SALMON FLT SKINLESS 2X140G</t>
        </is>
      </c>
      <c r="D150" s="7" t="inlineStr">
        <is>
          <t>Skinless salmon fillets, 2x140g</t>
        </is>
      </c>
      <c r="E150" s="7" t="inlineStr">
        <is>
          <t>Kestrel Bay</t>
        </is>
      </c>
      <c r="F150" s="7" t="inlineStr">
        <is>
          <t>Fish &amp; Seafood</t>
        </is>
      </c>
      <c r="G150" s="7" t="inlineStr">
        <is>
          <t>Fresh Fish</t>
        </is>
      </c>
      <c r="H150" s="7" t="inlineStr">
        <is>
          <t>yes</t>
        </is>
      </c>
      <c r="I150" s="7" t="inlineStr">
        <is>
          <t>Animal core</t>
        </is>
      </c>
      <c r="J150" s="7" t="inlineStr">
        <is>
          <t>Fish and seafood</t>
        </is>
      </c>
      <c r="K150" s="7" t="inlineStr">
        <is>
          <t>A</t>
        </is>
      </c>
      <c r="L150" s="7" t="inlineStr">
        <is>
          <t>All ingredients on one side</t>
        </is>
      </c>
      <c r="M150" s="51" t="n">
        <v>20.8</v>
      </c>
      <c r="N150" s="7" t="inlineStr">
        <is>
          <t>Declared by the retailer</t>
        </is>
      </c>
      <c r="O150" s="54" t="n">
        <v>0</v>
      </c>
      <c r="P150" s="54" t="n">
        <v>20.8</v>
      </c>
      <c r="Q150" s="7" t="inlineStr">
        <is>
          <t>yes</t>
        </is>
      </c>
      <c r="R150" s="7" t="inlineStr">
        <is>
          <t>whole</t>
        </is>
      </c>
      <c r="S150" s="7" t="inlineStr">
        <is>
          <t>FG1</t>
        </is>
      </c>
      <c r="T150" s="7" t="inlineStr">
        <is>
          <t>Fish &amp; shellfish</t>
        </is>
      </c>
      <c r="U150" s="7" t="inlineStr">
        <is>
          <t>animal</t>
        </is>
      </c>
      <c r="V150" s="7" t="n"/>
      <c r="W150" s="7" t="n"/>
      <c r="X150" s="55" t="n">
        <v>1</v>
      </c>
      <c r="Y150" s="50" t="n">
        <v>0.28</v>
      </c>
      <c r="Z150" s="7" t="inlineStr">
        <is>
          <t>declared</t>
        </is>
      </c>
      <c r="AA150" s="19">
        <f>IF(ISBLANK(Welcome!D176),"",Welcome!D176)</f>
        <v/>
      </c>
      <c r="AB150" s="29">
        <f>IF(ISBLANK(Welcome!E176),"",Welcome!E176)</f>
        <v/>
      </c>
      <c r="AC150" s="29">
        <f>IF(N(AB150)&gt;0,N(AB150),N(AA150)*Y150)</f>
        <v/>
      </c>
      <c r="AD150" s="29">
        <f>IF(H150="yes",AC150,0)</f>
        <v/>
      </c>
      <c r="AE150" s="29">
        <f>AD150*N(M150)/100</f>
        <v/>
      </c>
      <c r="AF150" s="29">
        <f>AD150*N(O150)/100</f>
        <v/>
      </c>
      <c r="AG150" s="29">
        <f>AD150*N(P150)/100</f>
        <v/>
      </c>
      <c r="AH150" s="50">
        <f>IF(Q150="yes",AD150/1000,0)</f>
        <v/>
      </c>
      <c r="AI150" s="50">
        <f>IF(S150="FG2",AH150*X150,AH150)</f>
        <v/>
      </c>
    </row>
    <row r="151">
      <c r="A151" s="7" t="inlineStr">
        <is>
          <t>HM00587</t>
        </is>
      </c>
      <c r="B151" s="16" t="inlineStr">
        <is>
          <t>4012345774986</t>
        </is>
      </c>
      <c r="C151" s="7" t="inlineStr">
        <is>
          <t>HM PROSECCO 1.5L</t>
        </is>
      </c>
      <c r="D151" s="7" t="inlineStr">
        <is>
          <t>Prosecco, 1.5l</t>
        </is>
      </c>
      <c r="E151" s="7" t="inlineStr">
        <is>
          <t>Harbour Market</t>
        </is>
      </c>
      <c r="F151" s="7" t="inlineStr">
        <is>
          <t>Beer, Wine &amp; Spirits</t>
        </is>
      </c>
      <c r="G151" s="7" t="inlineStr">
        <is>
          <t>Wine</t>
        </is>
      </c>
      <c r="H151" s="7" t="inlineStr">
        <is>
          <t>yes</t>
        </is>
      </c>
      <c r="I151" s="7" t="inlineStr">
        <is>
          <t>Plant-based non-core</t>
        </is>
      </c>
      <c r="J151" s="7" t="inlineStr">
        <is>
          <t>Outside the WWF scope</t>
        </is>
      </c>
      <c r="K151" s="7" t="inlineStr">
        <is>
          <t>A</t>
        </is>
      </c>
      <c r="L151" s="7" t="inlineStr">
        <is>
          <t>All ingredients on one side</t>
        </is>
      </c>
      <c r="M151" s="51" t="n">
        <v>0.1</v>
      </c>
      <c r="N151" s="7" t="inlineStr">
        <is>
          <t>National food table (CIQUAL in France)</t>
        </is>
      </c>
      <c r="O151" s="54" t="n">
        <v>0.1</v>
      </c>
      <c r="P151" s="54" t="n">
        <v>0</v>
      </c>
      <c r="Q151" s="7" t="inlineStr">
        <is>
          <t>no</t>
        </is>
      </c>
      <c r="R151" s="7" t="n"/>
      <c r="S151" s="7" t="n"/>
      <c r="T151" s="7" t="n"/>
      <c r="U151" s="7" t="n"/>
      <c r="V151" s="7" t="n"/>
      <c r="W151" s="7" t="inlineStr">
        <is>
          <t>alcohol</t>
        </is>
      </c>
      <c r="X151" s="55" t="n">
        <v>1</v>
      </c>
      <c r="Y151" s="50" t="n">
        <v>1.5</v>
      </c>
      <c r="Z151" s="7" t="inlineStr">
        <is>
          <t>declared</t>
        </is>
      </c>
      <c r="AA151" s="19">
        <f>IF(ISBLANK(Welcome!D177),"",Welcome!D177)</f>
        <v/>
      </c>
      <c r="AB151" s="29">
        <f>IF(ISBLANK(Welcome!E177),"",Welcome!E177)</f>
        <v/>
      </c>
      <c r="AC151" s="29">
        <f>IF(N(AB151)&gt;0,N(AB151),N(AA151)*Y151)</f>
        <v/>
      </c>
      <c r="AD151" s="29">
        <f>IF(H151="yes",AC151,0)</f>
        <v/>
      </c>
      <c r="AE151" s="29">
        <f>AD151*N(M151)/100</f>
        <v/>
      </c>
      <c r="AF151" s="29">
        <f>AD151*N(O151)/100</f>
        <v/>
      </c>
      <c r="AG151" s="29">
        <f>AD151*N(P151)/100</f>
        <v/>
      </c>
      <c r="AH151" s="50">
        <f>IF(Q151="yes",AD151/1000,0)</f>
        <v/>
      </c>
      <c r="AI151" s="50">
        <f>IF(S151="FG2",AH151*X151,AH151)</f>
        <v/>
      </c>
    </row>
    <row r="152">
      <c r="A152" s="7" t="inlineStr">
        <is>
          <t>HM00108</t>
        </is>
      </c>
      <c r="B152" s="16" t="inlineStr">
        <is>
          <t>3012345459082</t>
        </is>
      </c>
      <c r="C152" s="7" t="inlineStr">
        <is>
          <t>BUTTER BEANS 410G ORVALIS</t>
        </is>
      </c>
      <c r="D152" s="7" t="inlineStr">
        <is>
          <t>Butter beans in water, 410g</t>
        </is>
      </c>
      <c r="E152" s="7" t="inlineStr">
        <is>
          <t>Orvalis</t>
        </is>
      </c>
      <c r="F152" s="7" t="inlineStr">
        <is>
          <t>Grocery</t>
        </is>
      </c>
      <c r="G152" s="7" t="inlineStr">
        <is>
          <t>Pulses</t>
        </is>
      </c>
      <c r="H152" s="7" t="inlineStr">
        <is>
          <t>yes</t>
        </is>
      </c>
      <c r="I152" s="7" t="inlineStr">
        <is>
          <t>Plant-based core</t>
        </is>
      </c>
      <c r="J152" s="7" t="inlineStr">
        <is>
          <t>Pulses</t>
        </is>
      </c>
      <c r="K152" s="7" t="inlineStr">
        <is>
          <t>B</t>
        </is>
      </c>
      <c r="L152" s="7" t="inlineStr">
        <is>
          <t>Follows the class</t>
        </is>
      </c>
      <c r="M152" s="51" t="n">
        <v>7</v>
      </c>
      <c r="N152" s="7" t="inlineStr">
        <is>
          <t>Open Food Facts and NEVO, by EAN</t>
        </is>
      </c>
      <c r="O152" s="54" t="n">
        <v>7</v>
      </c>
      <c r="P152" s="54" t="n">
        <v>0</v>
      </c>
      <c r="Q152" s="7" t="inlineStr">
        <is>
          <t>yes</t>
        </is>
      </c>
      <c r="R152" s="7" t="inlineStr">
        <is>
          <t>whole</t>
        </is>
      </c>
      <c r="S152" s="7" t="inlineStr">
        <is>
          <t>FG1</t>
        </is>
      </c>
      <c r="T152" s="7" t="inlineStr">
        <is>
          <t>Pulses</t>
        </is>
      </c>
      <c r="U152" s="7" t="inlineStr">
        <is>
          <t>plant</t>
        </is>
      </c>
      <c r="V152" s="7" t="n"/>
      <c r="W152" s="7" t="n"/>
      <c r="X152" s="55" t="n">
        <v>1</v>
      </c>
      <c r="Y152" s="50" t="n">
        <v>0.41</v>
      </c>
      <c r="Z152" s="7" t="inlineStr">
        <is>
          <t>declared</t>
        </is>
      </c>
      <c r="AA152" s="19">
        <f>IF(ISBLANK(Welcome!D178),"",Welcome!D178)</f>
        <v/>
      </c>
      <c r="AB152" s="29">
        <f>IF(ISBLANK(Welcome!E178),"",Welcome!E178)</f>
        <v/>
      </c>
      <c r="AC152" s="29">
        <f>IF(N(AB152)&gt;0,N(AB152),N(AA152)*Y152)</f>
        <v/>
      </c>
      <c r="AD152" s="29">
        <f>IF(H152="yes",AC152,0)</f>
        <v/>
      </c>
      <c r="AE152" s="29">
        <f>AD152*N(M152)/100</f>
        <v/>
      </c>
      <c r="AF152" s="29">
        <f>AD152*N(O152)/100</f>
        <v/>
      </c>
      <c r="AG152" s="29">
        <f>AD152*N(P152)/100</f>
        <v/>
      </c>
      <c r="AH152" s="50">
        <f>IF(Q152="yes",AD152/1000,0)</f>
        <v/>
      </c>
      <c r="AI152" s="50">
        <f>IF(S152="FG2",AH152*X152,AH152)</f>
        <v/>
      </c>
    </row>
    <row r="153">
      <c r="A153" s="7" t="inlineStr">
        <is>
          <t>HM00243</t>
        </is>
      </c>
      <c r="B153" s="16" t="inlineStr">
        <is>
          <t>5012345963150</t>
        </is>
      </c>
      <c r="C153" s="7" t="inlineStr">
        <is>
          <t>BF BURGERS 4PK 454G TARROW</t>
        </is>
      </c>
      <c r="D153" s="7" t="inlineStr">
        <is>
          <t>Beef burgers, 4 pack, 454g</t>
        </is>
      </c>
      <c r="E153" s="7" t="inlineStr">
        <is>
          <t>Tarrow Farm</t>
        </is>
      </c>
      <c r="F153" s="7" t="inlineStr">
        <is>
          <t>Fresh Meat &amp; Poultry</t>
        </is>
      </c>
      <c r="G153" s="7" t="inlineStr">
        <is>
          <t>Sausages &amp; Burgers</t>
        </is>
      </c>
      <c r="H153" s="7" t="inlineStr">
        <is>
          <t>yes</t>
        </is>
      </c>
      <c r="I153" s="7" t="inlineStr">
        <is>
          <t>Animal core</t>
        </is>
      </c>
      <c r="J153" s="7" t="inlineStr">
        <is>
          <t>Dishes and processed products</t>
        </is>
      </c>
      <c r="K153" s="7" t="inlineStr">
        <is>
          <t>B</t>
        </is>
      </c>
      <c r="L153" s="7" t="inlineStr">
        <is>
          <t>First ingredient</t>
        </is>
      </c>
      <c r="M153" s="51" t="n">
        <v>14.7</v>
      </c>
      <c r="N153" s="7" t="inlineStr">
        <is>
          <t>Open Food Facts and NEVO, by EAN</t>
        </is>
      </c>
      <c r="O153" s="54" t="n">
        <v>0</v>
      </c>
      <c r="P153" s="54" t="n">
        <v>14.7</v>
      </c>
      <c r="Q153" s="7" t="inlineStr">
        <is>
          <t>yes</t>
        </is>
      </c>
      <c r="R153" s="7" t="inlineStr">
        <is>
          <t>whole</t>
        </is>
      </c>
      <c r="S153" s="7" t="inlineStr">
        <is>
          <t>FG1</t>
        </is>
      </c>
      <c r="T153" s="7" t="inlineStr">
        <is>
          <t>Red meat</t>
        </is>
      </c>
      <c r="U153" s="7" t="inlineStr">
        <is>
          <t>animal</t>
        </is>
      </c>
      <c r="V153" s="7" t="n"/>
      <c r="W153" s="7" t="n"/>
      <c r="X153" s="55" t="n">
        <v>1</v>
      </c>
      <c r="Y153" s="50" t="n">
        <v>0.454</v>
      </c>
      <c r="Z153" s="7" t="inlineStr">
        <is>
          <t>declared</t>
        </is>
      </c>
      <c r="AA153" s="19">
        <f>IF(ISBLANK(Welcome!D179),"",Welcome!D179)</f>
        <v/>
      </c>
      <c r="AB153" s="29">
        <f>IF(ISBLANK(Welcome!E179),"",Welcome!E179)</f>
        <v/>
      </c>
      <c r="AC153" s="29">
        <f>IF(N(AB153)&gt;0,N(AB153),N(AA153)*Y153)</f>
        <v/>
      </c>
      <c r="AD153" s="29">
        <f>IF(H153="yes",AC153,0)</f>
        <v/>
      </c>
      <c r="AE153" s="29">
        <f>AD153*N(M153)/100</f>
        <v/>
      </c>
      <c r="AF153" s="29">
        <f>AD153*N(O153)/100</f>
        <v/>
      </c>
      <c r="AG153" s="29">
        <f>AD153*N(P153)/100</f>
        <v/>
      </c>
      <c r="AH153" s="50">
        <f>IF(Q153="yes",AD153/1000,0)</f>
        <v/>
      </c>
      <c r="AI153" s="50">
        <f>IF(S153="FG2",AH153*X153,AH153)</f>
        <v/>
      </c>
    </row>
    <row r="154">
      <c r="A154" s="7" t="inlineStr">
        <is>
          <t>HM00082</t>
        </is>
      </c>
      <c r="B154" s="16" t="inlineStr">
        <is>
          <t>8712345920562</t>
        </is>
      </c>
      <c r="C154" s="7" t="inlineStr">
        <is>
          <t>FJELDA WHOLE MILK 500ML</t>
        </is>
      </c>
      <c r="D154" s="7" t="inlineStr">
        <is>
          <t>Whole milk, 500ml</t>
        </is>
      </c>
      <c r="E154" s="7" t="inlineStr">
        <is>
          <t>Fjelda</t>
        </is>
      </c>
      <c r="F154" s="7" t="inlineStr">
        <is>
          <t>Dairy &amp; Eggs</t>
        </is>
      </c>
      <c r="G154" s="7" t="inlineStr">
        <is>
          <t>Milk</t>
        </is>
      </c>
      <c r="H154" s="7" t="inlineStr">
        <is>
          <t>yes</t>
        </is>
      </c>
      <c r="I154" s="7" t="inlineStr">
        <is>
          <t>Animal core</t>
        </is>
      </c>
      <c r="J154" s="7" t="inlineStr">
        <is>
          <t>Milk, yoghurt and cream</t>
        </is>
      </c>
      <c r="K154" s="7" t="inlineStr">
        <is>
          <t>A</t>
        </is>
      </c>
      <c r="L154" s="7" t="inlineStr">
        <is>
          <t>All ingredients on one side</t>
        </is>
      </c>
      <c r="M154" s="51" t="n">
        <v>3.4</v>
      </c>
      <c r="N154" s="7" t="inlineStr">
        <is>
          <t>Declared by the retailer</t>
        </is>
      </c>
      <c r="O154" s="54" t="n">
        <v>0</v>
      </c>
      <c r="P154" s="54" t="n">
        <v>3.4</v>
      </c>
      <c r="Q154" s="7" t="inlineStr">
        <is>
          <t>yes</t>
        </is>
      </c>
      <c r="R154" s="7" t="inlineStr">
        <is>
          <t>whole</t>
        </is>
      </c>
      <c r="S154" s="7" t="inlineStr">
        <is>
          <t>FG2</t>
        </is>
      </c>
      <c r="T154" s="7" t="inlineStr">
        <is>
          <t>Dairy</t>
        </is>
      </c>
      <c r="U154" s="7" t="inlineStr">
        <is>
          <t>animal</t>
        </is>
      </c>
      <c r="V154" s="7" t="n"/>
      <c r="W154" s="7" t="n"/>
      <c r="X154" s="55" t="n">
        <v>1</v>
      </c>
      <c r="Y154" s="50" t="n">
        <v>0.515</v>
      </c>
      <c r="Z154" s="7" t="inlineStr">
        <is>
          <t>declared</t>
        </is>
      </c>
      <c r="AA154" s="19">
        <f>IF(ISBLANK(Welcome!D180),"",Welcome!D180)</f>
        <v/>
      </c>
      <c r="AB154" s="29">
        <f>IF(ISBLANK(Welcome!E180),"",Welcome!E180)</f>
        <v/>
      </c>
      <c r="AC154" s="29">
        <f>IF(N(AB154)&gt;0,N(AB154),N(AA154)*Y154)</f>
        <v/>
      </c>
      <c r="AD154" s="29">
        <f>IF(H154="yes",AC154,0)</f>
        <v/>
      </c>
      <c r="AE154" s="29">
        <f>AD154*N(M154)/100</f>
        <v/>
      </c>
      <c r="AF154" s="29">
        <f>AD154*N(O154)/100</f>
        <v/>
      </c>
      <c r="AG154" s="29">
        <f>AD154*N(P154)/100</f>
        <v/>
      </c>
      <c r="AH154" s="50">
        <f>IF(Q154="yes",AD154/1000,0)</f>
        <v/>
      </c>
      <c r="AI154" s="50">
        <f>IF(S154="FG2",AH154*X154,AH154)</f>
        <v/>
      </c>
    </row>
    <row r="155">
      <c r="A155" s="7" t="inlineStr">
        <is>
          <t>HM00294</t>
        </is>
      </c>
      <c r="B155" s="16" t="inlineStr">
        <is>
          <t>5012345573823</t>
        </is>
      </c>
      <c r="C155" s="7" t="inlineStr">
        <is>
          <t>SPAG BOLOGNESE 2X400G QUILLAN</t>
        </is>
      </c>
      <c r="D155" s="7" t="inlineStr">
        <is>
          <t>Spaghetti bolognese, 2x400g</t>
        </is>
      </c>
      <c r="E155" s="7" t="inlineStr">
        <is>
          <t>Quillan</t>
        </is>
      </c>
      <c r="F155" s="7" t="inlineStr">
        <is>
          <t>Ready Meals</t>
        </is>
      </c>
      <c r="G155" s="7" t="inlineStr">
        <is>
          <t>Ready Meals</t>
        </is>
      </c>
      <c r="H155" s="7" t="inlineStr">
        <is>
          <t>yes</t>
        </is>
      </c>
      <c r="I155" s="7" t="inlineStr">
        <is>
          <t>Animal &amp; plant composite</t>
        </is>
      </c>
      <c r="J155" s="7" t="inlineStr">
        <is>
          <t>Meat-based dishes</t>
        </is>
      </c>
      <c r="K155" s="7" t="inlineStr">
        <is>
          <t>A</t>
        </is>
      </c>
      <c r="L155" s="7" t="inlineStr">
        <is>
          <t>NEVO food table (ratio only)</t>
        </is>
      </c>
      <c r="M155" s="51" t="n">
        <v>6.9</v>
      </c>
      <c r="N155" s="7" t="inlineStr">
        <is>
          <t>Declared by the retailer</t>
        </is>
      </c>
      <c r="O155" s="54" t="n">
        <v>2.42</v>
      </c>
      <c r="P155" s="54" t="n">
        <v>4.48</v>
      </c>
      <c r="Q155" s="7" t="inlineStr">
        <is>
          <t>yes</t>
        </is>
      </c>
      <c r="R155" s="7" t="inlineStr">
        <is>
          <t>composite</t>
        </is>
      </c>
      <c r="S155" s="7" t="n"/>
      <c r="T155" s="7" t="n"/>
      <c r="U155" s="7" t="n"/>
      <c r="V155" s="7" t="inlineStr">
        <is>
          <t>meat-based</t>
        </is>
      </c>
      <c r="W155" s="7" t="n"/>
      <c r="X155" s="55" t="n">
        <v>1</v>
      </c>
      <c r="Y155" s="50" t="n">
        <v>0.8</v>
      </c>
      <c r="Z155" s="7" t="inlineStr">
        <is>
          <t>declared</t>
        </is>
      </c>
      <c r="AA155" s="19">
        <f>IF(ISBLANK(Welcome!D181),"",Welcome!D181)</f>
        <v/>
      </c>
      <c r="AB155" s="29">
        <f>IF(ISBLANK(Welcome!E181),"",Welcome!E181)</f>
        <v/>
      </c>
      <c r="AC155" s="29">
        <f>IF(N(AB155)&gt;0,N(AB155),N(AA155)*Y155)</f>
        <v/>
      </c>
      <c r="AD155" s="29">
        <f>IF(H155="yes",AC155,0)</f>
        <v/>
      </c>
      <c r="AE155" s="29">
        <f>AD155*N(M155)/100</f>
        <v/>
      </c>
      <c r="AF155" s="29">
        <f>AD155*N(O155)/100</f>
        <v/>
      </c>
      <c r="AG155" s="29">
        <f>AD155*N(P155)/100</f>
        <v/>
      </c>
      <c r="AH155" s="50">
        <f>IF(Q155="yes",AD155/1000,0)</f>
        <v/>
      </c>
      <c r="AI155" s="50">
        <f>IF(S155="FG2",AH155*X155,AH155)</f>
        <v/>
      </c>
    </row>
    <row r="156">
      <c r="A156" s="7" t="inlineStr">
        <is>
          <t>HM00227</t>
        </is>
      </c>
      <c r="B156" s="16" t="inlineStr">
        <is>
          <t>3012345121088</t>
        </is>
      </c>
      <c r="C156" s="7" t="inlineStr">
        <is>
          <t>HM WHITE PITTA 800G</t>
        </is>
      </c>
      <c r="D156" s="7" t="inlineStr">
        <is>
          <t>White pitta bread, 800g</t>
        </is>
      </c>
      <c r="E156" s="7" t="inlineStr">
        <is>
          <t>Harbour Market</t>
        </is>
      </c>
      <c r="F156" s="7" t="inlineStr">
        <is>
          <t>Bakery</t>
        </is>
      </c>
      <c r="G156" s="7" t="inlineStr">
        <is>
          <t>Bread</t>
        </is>
      </c>
      <c r="H156" s="7" t="inlineStr">
        <is>
          <t>yes</t>
        </is>
      </c>
      <c r="I156" s="7" t="inlineStr">
        <is>
          <t>Plant-based non-core</t>
        </is>
      </c>
      <c r="J156" s="7" t="inlineStr">
        <is>
          <t>Refined grains</t>
        </is>
      </c>
      <c r="K156" s="7" t="inlineStr">
        <is>
          <t>A</t>
        </is>
      </c>
      <c r="L156" s="7" t="inlineStr">
        <is>
          <t>All ingredients on one side</t>
        </is>
      </c>
      <c r="M156" s="51" t="n">
        <v>8.800000000000001</v>
      </c>
      <c r="N156" s="7" t="inlineStr">
        <is>
          <t>Declared by the retailer</t>
        </is>
      </c>
      <c r="O156" s="54" t="n">
        <v>8.800000000000001</v>
      </c>
      <c r="P156" s="54" t="n">
        <v>0</v>
      </c>
      <c r="Q156" s="7" t="inlineStr">
        <is>
          <t>yes</t>
        </is>
      </c>
      <c r="R156" s="7" t="inlineStr">
        <is>
          <t>whole</t>
        </is>
      </c>
      <c r="S156" s="7" t="inlineStr">
        <is>
          <t>FG5</t>
        </is>
      </c>
      <c r="T156" s="7" t="inlineStr">
        <is>
          <t>Refined grain</t>
        </is>
      </c>
      <c r="U156" s="7" t="inlineStr">
        <is>
          <t>plant</t>
        </is>
      </c>
      <c r="V156" s="7" t="n"/>
      <c r="W156" s="7" t="n"/>
      <c r="X156" s="55" t="n">
        <v>1</v>
      </c>
      <c r="Y156" s="50" t="n">
        <v>0.8</v>
      </c>
      <c r="Z156" s="7" t="inlineStr">
        <is>
          <t>declared</t>
        </is>
      </c>
      <c r="AA156" s="19">
        <f>IF(ISBLANK(Welcome!D182),"",Welcome!D182)</f>
        <v/>
      </c>
      <c r="AB156" s="29">
        <f>IF(ISBLANK(Welcome!E182),"",Welcome!E182)</f>
        <v/>
      </c>
      <c r="AC156" s="29">
        <f>IF(N(AB156)&gt;0,N(AB156),N(AA156)*Y156)</f>
        <v/>
      </c>
      <c r="AD156" s="29">
        <f>IF(H156="yes",AC156,0)</f>
        <v/>
      </c>
      <c r="AE156" s="29">
        <f>AD156*N(M156)/100</f>
        <v/>
      </c>
      <c r="AF156" s="29">
        <f>AD156*N(O156)/100</f>
        <v/>
      </c>
      <c r="AG156" s="29">
        <f>AD156*N(P156)/100</f>
        <v/>
      </c>
      <c r="AH156" s="50">
        <f>IF(Q156="yes",AD156/1000,0)</f>
        <v/>
      </c>
      <c r="AI156" s="50">
        <f>IF(S156="FG2",AH156*X156,AH156)</f>
        <v/>
      </c>
    </row>
    <row r="157">
      <c r="A157" s="7" t="inlineStr">
        <is>
          <t>HM00632</t>
        </is>
      </c>
      <c r="B157" s="16" t="inlineStr">
        <is>
          <t>4012345619362</t>
        </is>
      </c>
      <c r="C157" s="7" t="inlineStr">
        <is>
          <t>HM TOMATOES VINE 500G</t>
        </is>
      </c>
      <c r="D157" s="7" t="inlineStr">
        <is>
          <t>Vine tomatoes, 500g</t>
        </is>
      </c>
      <c r="E157" s="7" t="inlineStr">
        <is>
          <t>Harbour Market</t>
        </is>
      </c>
      <c r="F157" s="7" t="inlineStr">
        <is>
          <t>Fruit &amp; Vegetables</t>
        </is>
      </c>
      <c r="G157" s="7" t="inlineStr">
        <is>
          <t>Vegetables</t>
        </is>
      </c>
      <c r="H157" s="7" t="inlineStr">
        <is>
          <t>yes</t>
        </is>
      </c>
      <c r="I157" s="7" t="inlineStr">
        <is>
          <t>Plant-based non-core</t>
        </is>
      </c>
      <c r="J157" s="7" t="inlineStr">
        <is>
          <t>Fruit and vegetables</t>
        </is>
      </c>
      <c r="K157" s="7" t="inlineStr">
        <is>
          <t>B</t>
        </is>
      </c>
      <c r="L157" s="7" t="inlineStr">
        <is>
          <t>Follows the class</t>
        </is>
      </c>
      <c r="M157" s="51" t="n">
        <v>0.92</v>
      </c>
      <c r="N157" s="7" t="inlineStr">
        <is>
          <t>Open Food Facts and NEVO, by EAN</t>
        </is>
      </c>
      <c r="O157" s="54" t="n">
        <v>0.92</v>
      </c>
      <c r="P157" s="54" t="n">
        <v>0</v>
      </c>
      <c r="Q157" s="7" t="inlineStr">
        <is>
          <t>yes</t>
        </is>
      </c>
      <c r="R157" s="7" t="inlineStr">
        <is>
          <t>whole</t>
        </is>
      </c>
      <c r="S157" s="7" t="inlineStr">
        <is>
          <t>FG4</t>
        </is>
      </c>
      <c r="T157" s="7" t="n"/>
      <c r="U157" s="7" t="inlineStr">
        <is>
          <t>plant</t>
        </is>
      </c>
      <c r="V157" s="7" t="n"/>
      <c r="W157" s="7" t="n"/>
      <c r="X157" s="55" t="n">
        <v>1</v>
      </c>
      <c r="Y157" s="50" t="n">
        <v>0.5</v>
      </c>
      <c r="Z157" s="7" t="inlineStr">
        <is>
          <t>declared</t>
        </is>
      </c>
      <c r="AA157" s="19">
        <f>IF(ISBLANK(Welcome!D183),"",Welcome!D183)</f>
        <v/>
      </c>
      <c r="AB157" s="29">
        <f>IF(ISBLANK(Welcome!E183),"",Welcome!E183)</f>
        <v/>
      </c>
      <c r="AC157" s="29">
        <f>IF(N(AB157)&gt;0,N(AB157),N(AA157)*Y157)</f>
        <v/>
      </c>
      <c r="AD157" s="29">
        <f>IF(H157="yes",AC157,0)</f>
        <v/>
      </c>
      <c r="AE157" s="29">
        <f>AD157*N(M157)/100</f>
        <v/>
      </c>
      <c r="AF157" s="29">
        <f>AD157*N(O157)/100</f>
        <v/>
      </c>
      <c r="AG157" s="29">
        <f>AD157*N(P157)/100</f>
        <v/>
      </c>
      <c r="AH157" s="50">
        <f>IF(Q157="yes",AD157/1000,0)</f>
        <v/>
      </c>
      <c r="AI157" s="50">
        <f>IF(S157="FG2",AH157*X157,AH157)</f>
        <v/>
      </c>
    </row>
    <row r="158">
      <c r="A158" s="7" t="inlineStr">
        <is>
          <t>HM00247</t>
        </is>
      </c>
      <c r="B158" s="16" t="inlineStr">
        <is>
          <t>4012345555738</t>
        </is>
      </c>
      <c r="C158" s="7" t="inlineStr">
        <is>
          <t>KESTREL SEA BASS FLT 240G</t>
        </is>
      </c>
      <c r="D158" s="7" t="inlineStr">
        <is>
          <t>Sea bass fillets, 240g</t>
        </is>
      </c>
      <c r="E158" s="7" t="inlineStr">
        <is>
          <t>Kestrel Bay</t>
        </is>
      </c>
      <c r="F158" s="7" t="inlineStr">
        <is>
          <t>Fish &amp; Seafood</t>
        </is>
      </c>
      <c r="G158" s="7" t="inlineStr">
        <is>
          <t>Fresh Fish</t>
        </is>
      </c>
      <c r="H158" s="7" t="inlineStr">
        <is>
          <t>yes</t>
        </is>
      </c>
      <c r="I158" s="7" t="inlineStr">
        <is>
          <t>Animal core</t>
        </is>
      </c>
      <c r="J158" s="7" t="inlineStr">
        <is>
          <t>Fish and seafood</t>
        </is>
      </c>
      <c r="K158" s="7" t="inlineStr">
        <is>
          <t>B</t>
        </is>
      </c>
      <c r="L158" s="7" t="inlineStr">
        <is>
          <t>Follows the class</t>
        </is>
      </c>
      <c r="M158" s="51" t="n">
        <v>19.7</v>
      </c>
      <c r="N158" s="7" t="inlineStr">
        <is>
          <t>Declared by the retailer</t>
        </is>
      </c>
      <c r="O158" s="54" t="n">
        <v>0</v>
      </c>
      <c r="P158" s="54" t="n">
        <v>19.7</v>
      </c>
      <c r="Q158" s="7" t="inlineStr">
        <is>
          <t>yes</t>
        </is>
      </c>
      <c r="R158" s="7" t="inlineStr">
        <is>
          <t>whole</t>
        </is>
      </c>
      <c r="S158" s="7" t="inlineStr">
        <is>
          <t>FG1</t>
        </is>
      </c>
      <c r="T158" s="7" t="inlineStr">
        <is>
          <t>Fish &amp; shellfish</t>
        </is>
      </c>
      <c r="U158" s="7" t="inlineStr">
        <is>
          <t>animal</t>
        </is>
      </c>
      <c r="V158" s="7" t="n"/>
      <c r="W158" s="7" t="n"/>
      <c r="X158" s="55" t="n">
        <v>1</v>
      </c>
      <c r="Y158" s="50" t="n">
        <v>0.24</v>
      </c>
      <c r="Z158" s="7" t="inlineStr">
        <is>
          <t>declared</t>
        </is>
      </c>
      <c r="AA158" s="19">
        <f>IF(ISBLANK(Welcome!D184),"",Welcome!D184)</f>
        <v/>
      </c>
      <c r="AB158" s="29">
        <f>IF(ISBLANK(Welcome!E184),"",Welcome!E184)</f>
        <v/>
      </c>
      <c r="AC158" s="29">
        <f>IF(N(AB158)&gt;0,N(AB158),N(AA158)*Y158)</f>
        <v/>
      </c>
      <c r="AD158" s="29">
        <f>IF(H158="yes",AC158,0)</f>
        <v/>
      </c>
      <c r="AE158" s="29">
        <f>AD158*N(M158)/100</f>
        <v/>
      </c>
      <c r="AF158" s="29">
        <f>AD158*N(O158)/100</f>
        <v/>
      </c>
      <c r="AG158" s="29">
        <f>AD158*N(P158)/100</f>
        <v/>
      </c>
      <c r="AH158" s="50">
        <f>IF(Q158="yes",AD158/1000,0)</f>
        <v/>
      </c>
      <c r="AI158" s="50">
        <f>IF(S158="FG2",AH158*X158,AH158)</f>
        <v/>
      </c>
    </row>
    <row r="159">
      <c r="A159" s="7" t="inlineStr">
        <is>
          <t>HM00573</t>
        </is>
      </c>
      <c r="B159" s="16" t="inlineStr">
        <is>
          <t>5012345364742</t>
        </is>
      </c>
      <c r="C159" s="7" t="inlineStr">
        <is>
          <t>PALE ALE 12X440ML PENWARD</t>
        </is>
      </c>
      <c r="D159" s="7" t="inlineStr">
        <is>
          <t>Pale ale, 12x440ml</t>
        </is>
      </c>
      <c r="E159" s="7" t="inlineStr">
        <is>
          <t>Penward</t>
        </is>
      </c>
      <c r="F159" s="7" t="inlineStr">
        <is>
          <t>Beer, Wine &amp; Spirits</t>
        </is>
      </c>
      <c r="G159" s="7" t="inlineStr">
        <is>
          <t>Beer &amp; Cider</t>
        </is>
      </c>
      <c r="H159" s="7" t="inlineStr">
        <is>
          <t>yes</t>
        </is>
      </c>
      <c r="I159" s="7" t="inlineStr">
        <is>
          <t>Plant-based non-core</t>
        </is>
      </c>
      <c r="J159" s="7" t="inlineStr">
        <is>
          <t>Outside the WWF scope</t>
        </is>
      </c>
      <c r="K159" s="7" t="inlineStr">
        <is>
          <t>B</t>
        </is>
      </c>
      <c r="L159" s="7" t="inlineStr">
        <is>
          <t>Follows the class</t>
        </is>
      </c>
      <c r="M159" s="51" t="n">
        <v>0.4</v>
      </c>
      <c r="N159" s="7" t="inlineStr">
        <is>
          <t>Declared by the retailer</t>
        </is>
      </c>
      <c r="O159" s="54" t="n">
        <v>0.4</v>
      </c>
      <c r="P159" s="54" t="n">
        <v>0</v>
      </c>
      <c r="Q159" s="7" t="inlineStr">
        <is>
          <t>no</t>
        </is>
      </c>
      <c r="R159" s="7" t="n"/>
      <c r="S159" s="7" t="n"/>
      <c r="T159" s="7" t="n"/>
      <c r="U159" s="7" t="n"/>
      <c r="V159" s="7" t="n"/>
      <c r="W159" s="7" t="inlineStr">
        <is>
          <t>alcohol</t>
        </is>
      </c>
      <c r="X159" s="55" t="n">
        <v>1</v>
      </c>
      <c r="Y159" s="50" t="n">
        <v>5.28</v>
      </c>
      <c r="Z159" s="7" t="inlineStr">
        <is>
          <t>declared</t>
        </is>
      </c>
      <c r="AA159" s="19">
        <f>IF(ISBLANK(Welcome!D185),"",Welcome!D185)</f>
        <v/>
      </c>
      <c r="AB159" s="29">
        <f>IF(ISBLANK(Welcome!E185),"",Welcome!E185)</f>
        <v/>
      </c>
      <c r="AC159" s="29">
        <f>IF(N(AB159)&gt;0,N(AB159),N(AA159)*Y159)</f>
        <v/>
      </c>
      <c r="AD159" s="29">
        <f>IF(H159="yes",AC159,0)</f>
        <v/>
      </c>
      <c r="AE159" s="29">
        <f>AD159*N(M159)/100</f>
        <v/>
      </c>
      <c r="AF159" s="29">
        <f>AD159*N(O159)/100</f>
        <v/>
      </c>
      <c r="AG159" s="29">
        <f>AD159*N(P159)/100</f>
        <v/>
      </c>
      <c r="AH159" s="50">
        <f>IF(Q159="yes",AD159/1000,0)</f>
        <v/>
      </c>
      <c r="AI159" s="50">
        <f>IF(S159="FG2",AH159*X159,AH159)</f>
        <v/>
      </c>
    </row>
    <row r="160">
      <c r="A160" s="7" t="inlineStr">
        <is>
          <t>HM00717</t>
        </is>
      </c>
      <c r="B160" s="16" t="inlineStr">
        <is>
          <t>5012345359694</t>
        </is>
      </c>
      <c r="C160" s="7" t="inlineStr">
        <is>
          <t>HM SCAMPI 20PK 560G</t>
        </is>
      </c>
      <c r="D160" s="7" t="inlineStr">
        <is>
          <t>Breaded scampi, 20pk 560g</t>
        </is>
      </c>
      <c r="E160" s="7" t="inlineStr">
        <is>
          <t>Harbour Market</t>
        </is>
      </c>
      <c r="F160" s="7" t="inlineStr">
        <is>
          <t>Frozen</t>
        </is>
      </c>
      <c r="G160" s="7" t="inlineStr">
        <is>
          <t>Frozen Fish</t>
        </is>
      </c>
      <c r="H160" s="7" t="inlineStr">
        <is>
          <t>yes</t>
        </is>
      </c>
      <c r="I160" s="7" t="inlineStr">
        <is>
          <t>Animal core</t>
        </is>
      </c>
      <c r="J160" s="7" t="inlineStr">
        <is>
          <t>Fish and seafood</t>
        </is>
      </c>
      <c r="K160" s="7" t="inlineStr">
        <is>
          <t>B</t>
        </is>
      </c>
      <c r="L160" s="7" t="inlineStr">
        <is>
          <t>First ingredient</t>
        </is>
      </c>
      <c r="M160" s="51" t="n">
        <v>9.5</v>
      </c>
      <c r="N160" s="7" t="inlineStr">
        <is>
          <t>Altera reference base</t>
        </is>
      </c>
      <c r="O160" s="54" t="n">
        <v>0</v>
      </c>
      <c r="P160" s="54" t="n">
        <v>9.5</v>
      </c>
      <c r="Q160" s="7" t="inlineStr">
        <is>
          <t>yes</t>
        </is>
      </c>
      <c r="R160" s="7" t="inlineStr">
        <is>
          <t>whole</t>
        </is>
      </c>
      <c r="S160" s="7" t="inlineStr">
        <is>
          <t>FG1</t>
        </is>
      </c>
      <c r="T160" s="7" t="inlineStr">
        <is>
          <t>Fish &amp; shellfish</t>
        </is>
      </c>
      <c r="U160" s="7" t="inlineStr">
        <is>
          <t>animal</t>
        </is>
      </c>
      <c r="V160" s="7" t="n"/>
      <c r="W160" s="7" t="n"/>
      <c r="X160" s="55" t="n">
        <v>1</v>
      </c>
      <c r="Y160" s="50" t="n">
        <v>0.5600000000000001</v>
      </c>
      <c r="Z160" s="7" t="inlineStr">
        <is>
          <t>declared</t>
        </is>
      </c>
      <c r="AA160" s="19">
        <f>IF(ISBLANK(Welcome!D186),"",Welcome!D186)</f>
        <v/>
      </c>
      <c r="AB160" s="29">
        <f>IF(ISBLANK(Welcome!E186),"",Welcome!E186)</f>
        <v/>
      </c>
      <c r="AC160" s="29">
        <f>IF(N(AB160)&gt;0,N(AB160),N(AA160)*Y160)</f>
        <v/>
      </c>
      <c r="AD160" s="29">
        <f>IF(H160="yes",AC160,0)</f>
        <v/>
      </c>
      <c r="AE160" s="29">
        <f>AD160*N(M160)/100</f>
        <v/>
      </c>
      <c r="AF160" s="29">
        <f>AD160*N(O160)/100</f>
        <v/>
      </c>
      <c r="AG160" s="29">
        <f>AD160*N(P160)/100</f>
        <v/>
      </c>
      <c r="AH160" s="50">
        <f>IF(Q160="yes",AD160/1000,0)</f>
        <v/>
      </c>
      <c r="AI160" s="50">
        <f>IF(S160="FG2",AH160*X160,AH160)</f>
        <v/>
      </c>
    </row>
    <row r="161">
      <c r="A161" s="7" t="inlineStr">
        <is>
          <t>HM00574</t>
        </is>
      </c>
      <c r="B161" s="16" t="inlineStr">
        <is>
          <t>3012345523387</t>
        </is>
      </c>
      <c r="C161" s="7" t="inlineStr">
        <is>
          <t>HM BANANAS 500G</t>
        </is>
      </c>
      <c r="D161" s="7" t="inlineStr">
        <is>
          <t>Bananas, 500g</t>
        </is>
      </c>
      <c r="E161" s="7" t="inlineStr">
        <is>
          <t>Harbour Market</t>
        </is>
      </c>
      <c r="F161" s="7" t="inlineStr">
        <is>
          <t>Fruit &amp; Vegetables</t>
        </is>
      </c>
      <c r="G161" s="7" t="inlineStr">
        <is>
          <t>Fruit</t>
        </is>
      </c>
      <c r="H161" s="7" t="inlineStr">
        <is>
          <t>yes</t>
        </is>
      </c>
      <c r="I161" s="7" t="inlineStr">
        <is>
          <t>Plant-based non-core</t>
        </is>
      </c>
      <c r="J161" s="7" t="inlineStr">
        <is>
          <t>Fruit and vegetables</t>
        </is>
      </c>
      <c r="K161" s="7" t="inlineStr">
        <is>
          <t>B</t>
        </is>
      </c>
      <c r="L161" s="7" t="inlineStr">
        <is>
          <t>Follows the class</t>
        </is>
      </c>
      <c r="M161" s="51" t="n">
        <v>1.2</v>
      </c>
      <c r="N161" s="7" t="inlineStr">
        <is>
          <t>Declared by the retailer</t>
        </is>
      </c>
      <c r="O161" s="54" t="n">
        <v>1.2</v>
      </c>
      <c r="P161" s="54" t="n">
        <v>0</v>
      </c>
      <c r="Q161" s="7" t="inlineStr">
        <is>
          <t>yes</t>
        </is>
      </c>
      <c r="R161" s="7" t="inlineStr">
        <is>
          <t>whole</t>
        </is>
      </c>
      <c r="S161" s="7" t="inlineStr">
        <is>
          <t>FG4</t>
        </is>
      </c>
      <c r="T161" s="7" t="n"/>
      <c r="U161" s="7" t="inlineStr">
        <is>
          <t>plant</t>
        </is>
      </c>
      <c r="V161" s="7" t="n"/>
      <c r="W161" s="7" t="n"/>
      <c r="X161" s="55" t="n">
        <v>1</v>
      </c>
      <c r="Y161" s="50" t="n">
        <v>0.5</v>
      </c>
      <c r="Z161" s="7" t="inlineStr">
        <is>
          <t>declared</t>
        </is>
      </c>
      <c r="AA161" s="19">
        <f>IF(ISBLANK(Welcome!D187),"",Welcome!D187)</f>
        <v/>
      </c>
      <c r="AB161" s="29">
        <f>IF(ISBLANK(Welcome!E187),"",Welcome!E187)</f>
        <v/>
      </c>
      <c r="AC161" s="29">
        <f>IF(N(AB161)&gt;0,N(AB161),N(AA161)*Y161)</f>
        <v/>
      </c>
      <c r="AD161" s="29">
        <f>IF(H161="yes",AC161,0)</f>
        <v/>
      </c>
      <c r="AE161" s="29">
        <f>AD161*N(M161)/100</f>
        <v/>
      </c>
      <c r="AF161" s="29">
        <f>AD161*N(O161)/100</f>
        <v/>
      </c>
      <c r="AG161" s="29">
        <f>AD161*N(P161)/100</f>
        <v/>
      </c>
      <c r="AH161" s="50">
        <f>IF(Q161="yes",AD161/1000,0)</f>
        <v/>
      </c>
      <c r="AI161" s="50">
        <f>IF(S161="FG2",AH161*X161,AH161)</f>
        <v/>
      </c>
    </row>
    <row r="162">
      <c r="A162" s="7" t="inlineStr">
        <is>
          <t>HM00133</t>
        </is>
      </c>
      <c r="B162" s="16" t="inlineStr">
        <is>
          <t>3012345098021</t>
        </is>
      </c>
      <c r="C162" s="7" t="inlineStr">
        <is>
          <t>HM CUCUMBER 1KG</t>
        </is>
      </c>
      <c r="D162" s="7" t="inlineStr">
        <is>
          <t>Cucumber, 1kg</t>
        </is>
      </c>
      <c r="E162" s="7" t="inlineStr">
        <is>
          <t>Harbour Market</t>
        </is>
      </c>
      <c r="F162" s="7" t="inlineStr">
        <is>
          <t>Fruit &amp; Vegetables</t>
        </is>
      </c>
      <c r="G162" s="7" t="inlineStr">
        <is>
          <t>Vegetables</t>
        </is>
      </c>
      <c r="H162" s="7" t="inlineStr">
        <is>
          <t>yes</t>
        </is>
      </c>
      <c r="I162" s="7" t="inlineStr">
        <is>
          <t>Plant-based non-core</t>
        </is>
      </c>
      <c r="J162" s="7" t="inlineStr">
        <is>
          <t>Fruit and vegetables</t>
        </is>
      </c>
      <c r="K162" s="7" t="inlineStr">
        <is>
          <t>B</t>
        </is>
      </c>
      <c r="L162" s="7" t="inlineStr">
        <is>
          <t>Follows the class</t>
        </is>
      </c>
      <c r="M162" s="51" t="n">
        <v>0.58</v>
      </c>
      <c r="N162" s="7" t="inlineStr">
        <is>
          <t>Declared by the retailer</t>
        </is>
      </c>
      <c r="O162" s="54" t="n">
        <v>0.58</v>
      </c>
      <c r="P162" s="54" t="n">
        <v>0</v>
      </c>
      <c r="Q162" s="7" t="inlineStr">
        <is>
          <t>yes</t>
        </is>
      </c>
      <c r="R162" s="7" t="inlineStr">
        <is>
          <t>whole</t>
        </is>
      </c>
      <c r="S162" s="7" t="inlineStr">
        <is>
          <t>FG4</t>
        </is>
      </c>
      <c r="T162" s="7" t="n"/>
      <c r="U162" s="7" t="inlineStr">
        <is>
          <t>plant</t>
        </is>
      </c>
      <c r="V162" s="7" t="n"/>
      <c r="W162" s="7" t="n"/>
      <c r="X162" s="55" t="n">
        <v>1</v>
      </c>
      <c r="Y162" s="50" t="n">
        <v>1</v>
      </c>
      <c r="Z162" s="7" t="inlineStr">
        <is>
          <t>declared</t>
        </is>
      </c>
      <c r="AA162" s="19">
        <f>IF(ISBLANK(Welcome!D188),"",Welcome!D188)</f>
        <v/>
      </c>
      <c r="AB162" s="29">
        <f>IF(ISBLANK(Welcome!E188),"",Welcome!E188)</f>
        <v/>
      </c>
      <c r="AC162" s="29">
        <f>IF(N(AB162)&gt;0,N(AB162),N(AA162)*Y162)</f>
        <v/>
      </c>
      <c r="AD162" s="29">
        <f>IF(H162="yes",AC162,0)</f>
        <v/>
      </c>
      <c r="AE162" s="29">
        <f>AD162*N(M162)/100</f>
        <v/>
      </c>
      <c r="AF162" s="29">
        <f>AD162*N(O162)/100</f>
        <v/>
      </c>
      <c r="AG162" s="29">
        <f>AD162*N(P162)/100</f>
        <v/>
      </c>
      <c r="AH162" s="50">
        <f>IF(Q162="yes",AD162/1000,0)</f>
        <v/>
      </c>
      <c r="AI162" s="50">
        <f>IF(S162="FG2",AH162*X162,AH162)</f>
        <v/>
      </c>
    </row>
    <row r="163">
      <c r="A163" s="7" t="inlineStr">
        <is>
          <t>HM00134</t>
        </is>
      </c>
      <c r="B163" s="16" t="inlineStr">
        <is>
          <t>8712345835583</t>
        </is>
      </c>
      <c r="C163" s="7" t="inlineStr">
        <is>
          <t>PIZZA HAM MUSHROOM 335G QUILLAN</t>
        </is>
      </c>
      <c r="D163" s="7" t="inlineStr">
        <is>
          <t>Ham &amp; mushroom pizza, 335g</t>
        </is>
      </c>
      <c r="E163" s="7" t="inlineStr">
        <is>
          <t>Quillan</t>
        </is>
      </c>
      <c r="F163" s="7" t="inlineStr">
        <is>
          <t>Frozen</t>
        </is>
      </c>
      <c r="G163" s="7" t="inlineStr">
        <is>
          <t>Pizza</t>
        </is>
      </c>
      <c r="H163" s="7" t="inlineStr">
        <is>
          <t>yes</t>
        </is>
      </c>
      <c r="I163" s="7" t="inlineStr">
        <is>
          <t>Animal &amp; plant composite</t>
        </is>
      </c>
      <c r="J163" s="7" t="inlineStr">
        <is>
          <t>Meat-based dishes</t>
        </is>
      </c>
      <c r="K163" s="7" t="inlineStr">
        <is>
          <t>B</t>
        </is>
      </c>
      <c r="L163" s="7" t="inlineStr">
        <is>
          <t>50/50 convention</t>
        </is>
      </c>
      <c r="M163" s="51" t="n">
        <v>10.4</v>
      </c>
      <c r="N163" s="7" t="inlineStr">
        <is>
          <t>Declared by the retailer</t>
        </is>
      </c>
      <c r="O163" s="54" t="n">
        <v>5.2</v>
      </c>
      <c r="P163" s="54" t="n">
        <v>5.2</v>
      </c>
      <c r="Q163" s="7" t="inlineStr">
        <is>
          <t>yes</t>
        </is>
      </c>
      <c r="R163" s="7" t="inlineStr">
        <is>
          <t>composite</t>
        </is>
      </c>
      <c r="S163" s="7" t="n"/>
      <c r="T163" s="7" t="n"/>
      <c r="U163" s="7" t="n"/>
      <c r="V163" s="7" t="inlineStr">
        <is>
          <t>meat-based</t>
        </is>
      </c>
      <c r="W163" s="7" t="n"/>
      <c r="X163" s="55" t="n">
        <v>1</v>
      </c>
      <c r="Y163" s="50" t="n">
        <v>0.335</v>
      </c>
      <c r="Z163" s="7" t="inlineStr">
        <is>
          <t>declared</t>
        </is>
      </c>
      <c r="AA163" s="19">
        <f>IF(ISBLANK(Welcome!D189),"",Welcome!D189)</f>
        <v/>
      </c>
      <c r="AB163" s="29">
        <f>IF(ISBLANK(Welcome!E189),"",Welcome!E189)</f>
        <v/>
      </c>
      <c r="AC163" s="29">
        <f>IF(N(AB163)&gt;0,N(AB163),N(AA163)*Y163)</f>
        <v/>
      </c>
      <c r="AD163" s="29">
        <f>IF(H163="yes",AC163,0)</f>
        <v/>
      </c>
      <c r="AE163" s="29">
        <f>AD163*N(M163)/100</f>
        <v/>
      </c>
      <c r="AF163" s="29">
        <f>AD163*N(O163)/100</f>
        <v/>
      </c>
      <c r="AG163" s="29">
        <f>AD163*N(P163)/100</f>
        <v/>
      </c>
      <c r="AH163" s="50">
        <f>IF(Q163="yes",AD163/1000,0)</f>
        <v/>
      </c>
      <c r="AI163" s="50">
        <f>IF(S163="FG2",AH163*X163,AH163)</f>
        <v/>
      </c>
    </row>
    <row r="164">
      <c r="A164" s="7" t="inlineStr">
        <is>
          <t>HM00700</t>
        </is>
      </c>
      <c r="B164" s="16" t="inlineStr">
        <is>
          <t>8712345556891</t>
        </is>
      </c>
      <c r="C164" s="7" t="inlineStr">
        <is>
          <t>HM ICEBERG LETTUCE 500G</t>
        </is>
      </c>
      <c r="D164" s="7" t="inlineStr">
        <is>
          <t>Iceberg lettuce, 500g</t>
        </is>
      </c>
      <c r="E164" s="7" t="inlineStr">
        <is>
          <t>Harbour Market</t>
        </is>
      </c>
      <c r="F164" s="7" t="inlineStr">
        <is>
          <t>Fruit &amp; Vegetables</t>
        </is>
      </c>
      <c r="G164" s="7" t="inlineStr">
        <is>
          <t>Vegetables</t>
        </is>
      </c>
      <c r="H164" s="7" t="inlineStr">
        <is>
          <t>yes</t>
        </is>
      </c>
      <c r="I164" s="7" t="inlineStr">
        <is>
          <t>Plant-based non-core</t>
        </is>
      </c>
      <c r="J164" s="7" t="inlineStr">
        <is>
          <t>Fruit and vegetables</t>
        </is>
      </c>
      <c r="K164" s="7" t="inlineStr">
        <is>
          <t>B</t>
        </is>
      </c>
      <c r="L164" s="7" t="inlineStr">
        <is>
          <t>Follows the class</t>
        </is>
      </c>
      <c r="M164" s="51" t="n">
        <v>1</v>
      </c>
      <c r="N164" s="7" t="inlineStr">
        <is>
          <t>Open Food Facts and NEVO, by EAN</t>
        </is>
      </c>
      <c r="O164" s="54" t="n">
        <v>1</v>
      </c>
      <c r="P164" s="54" t="n">
        <v>0</v>
      </c>
      <c r="Q164" s="7" t="inlineStr">
        <is>
          <t>yes</t>
        </is>
      </c>
      <c r="R164" s="7" t="inlineStr">
        <is>
          <t>whole</t>
        </is>
      </c>
      <c r="S164" s="7" t="inlineStr">
        <is>
          <t>FG4</t>
        </is>
      </c>
      <c r="T164" s="7" t="n"/>
      <c r="U164" s="7" t="inlineStr">
        <is>
          <t>plant</t>
        </is>
      </c>
      <c r="V164" s="7" t="n"/>
      <c r="W164" s="7" t="n"/>
      <c r="X164" s="55" t="n">
        <v>1</v>
      </c>
      <c r="Y164" s="50" t="n">
        <v>0.5</v>
      </c>
      <c r="Z164" s="7" t="inlineStr">
        <is>
          <t>declared</t>
        </is>
      </c>
      <c r="AA164" s="19">
        <f>IF(ISBLANK(Welcome!D190),"",Welcome!D190)</f>
        <v/>
      </c>
      <c r="AB164" s="29">
        <f>IF(ISBLANK(Welcome!E190),"",Welcome!E190)</f>
        <v/>
      </c>
      <c r="AC164" s="29">
        <f>IF(N(AB164)&gt;0,N(AB164),N(AA164)*Y164)</f>
        <v/>
      </c>
      <c r="AD164" s="29">
        <f>IF(H164="yes",AC164,0)</f>
        <v/>
      </c>
      <c r="AE164" s="29">
        <f>AD164*N(M164)/100</f>
        <v/>
      </c>
      <c r="AF164" s="29">
        <f>AD164*N(O164)/100</f>
        <v/>
      </c>
      <c r="AG164" s="29">
        <f>AD164*N(P164)/100</f>
        <v/>
      </c>
      <c r="AH164" s="50">
        <f>IF(Q164="yes",AD164/1000,0)</f>
        <v/>
      </c>
      <c r="AI164" s="50">
        <f>IF(S164="FG2",AH164*X164,AH164)</f>
        <v/>
      </c>
    </row>
    <row r="165">
      <c r="A165" s="7" t="inlineStr">
        <is>
          <t>HM00281</t>
        </is>
      </c>
      <c r="B165" s="16" t="inlineStr">
        <is>
          <t>3012345223812</t>
        </is>
      </c>
      <c r="C165" s="7" t="inlineStr">
        <is>
          <t>HM PORK SHLDR JOINT 1KG</t>
        </is>
      </c>
      <c r="D165" s="7" t="inlineStr">
        <is>
          <t>Pork shoulder joint, 1kg</t>
        </is>
      </c>
      <c r="E165" s="7" t="inlineStr">
        <is>
          <t>Harbour Market</t>
        </is>
      </c>
      <c r="F165" s="7" t="inlineStr">
        <is>
          <t>Fresh Meat &amp; Poultry</t>
        </is>
      </c>
      <c r="G165" s="7" t="inlineStr">
        <is>
          <t>Pork</t>
        </is>
      </c>
      <c r="H165" s="7" t="inlineStr">
        <is>
          <t>yes</t>
        </is>
      </c>
      <c r="I165" s="7" t="inlineStr">
        <is>
          <t>Animal core</t>
        </is>
      </c>
      <c r="J165" s="7" t="inlineStr">
        <is>
          <t>Red meat</t>
        </is>
      </c>
      <c r="K165" s="7" t="inlineStr">
        <is>
          <t>B</t>
        </is>
      </c>
      <c r="L165" s="7" t="inlineStr">
        <is>
          <t>Follows the class</t>
        </is>
      </c>
      <c r="M165" s="51" t="n">
        <v>20.8</v>
      </c>
      <c r="N165" s="7" t="inlineStr">
        <is>
          <t>Median of the family</t>
        </is>
      </c>
      <c r="O165" s="54" t="n">
        <v>0</v>
      </c>
      <c r="P165" s="54" t="n">
        <v>20.8</v>
      </c>
      <c r="Q165" s="7" t="inlineStr">
        <is>
          <t>yes</t>
        </is>
      </c>
      <c r="R165" s="7" t="inlineStr">
        <is>
          <t>whole</t>
        </is>
      </c>
      <c r="S165" s="7" t="inlineStr">
        <is>
          <t>FG1</t>
        </is>
      </c>
      <c r="T165" s="7" t="inlineStr">
        <is>
          <t>Red meat</t>
        </is>
      </c>
      <c r="U165" s="7" t="inlineStr">
        <is>
          <t>animal</t>
        </is>
      </c>
      <c r="V165" s="7" t="n"/>
      <c r="W165" s="7" t="n"/>
      <c r="X165" s="55" t="n">
        <v>1</v>
      </c>
      <c r="Y165" s="50" t="n">
        <v>1</v>
      </c>
      <c r="Z165" s="7" t="inlineStr">
        <is>
          <t>declared</t>
        </is>
      </c>
      <c r="AA165" s="19">
        <f>IF(ISBLANK(Welcome!D191),"",Welcome!D191)</f>
        <v/>
      </c>
      <c r="AB165" s="29">
        <f>IF(ISBLANK(Welcome!E191),"",Welcome!E191)</f>
        <v/>
      </c>
      <c r="AC165" s="29">
        <f>IF(N(AB165)&gt;0,N(AB165),N(AA165)*Y165)</f>
        <v/>
      </c>
      <c r="AD165" s="29">
        <f>IF(H165="yes",AC165,0)</f>
        <v/>
      </c>
      <c r="AE165" s="29">
        <f>AD165*N(M165)/100</f>
        <v/>
      </c>
      <c r="AF165" s="29">
        <f>AD165*N(O165)/100</f>
        <v/>
      </c>
      <c r="AG165" s="29">
        <f>AD165*N(P165)/100</f>
        <v/>
      </c>
      <c r="AH165" s="50">
        <f>IF(Q165="yes",AD165/1000,0)</f>
        <v/>
      </c>
      <c r="AI165" s="50">
        <f>IF(S165="FG2",AH165*X165,AH165)</f>
        <v/>
      </c>
    </row>
    <row r="166">
      <c r="A166" s="7" t="inlineStr">
        <is>
          <t>HM00710</t>
        </is>
      </c>
      <c r="B166" s="16" t="inlineStr">
        <is>
          <t>8712345951146</t>
        </is>
      </c>
      <c r="C166" s="7" t="inlineStr">
        <is>
          <t>RED WINE MERLOT 1.5L CASTELNA</t>
        </is>
      </c>
      <c r="D166" s="7" t="inlineStr">
        <is>
          <t>Merlot red wine, 1.5l</t>
        </is>
      </c>
      <c r="E166" s="7" t="inlineStr">
        <is>
          <t>Castelna</t>
        </is>
      </c>
      <c r="F166" s="7" t="inlineStr">
        <is>
          <t>Beer, Wine &amp; Spirits</t>
        </is>
      </c>
      <c r="G166" s="7" t="inlineStr">
        <is>
          <t>Wine</t>
        </is>
      </c>
      <c r="H166" s="7" t="inlineStr">
        <is>
          <t>yes</t>
        </is>
      </c>
      <c r="I166" s="7" t="inlineStr">
        <is>
          <t>Plant-based non-core</t>
        </is>
      </c>
      <c r="J166" s="7" t="inlineStr">
        <is>
          <t>Outside the WWF scope</t>
        </is>
      </c>
      <c r="K166" s="7" t="inlineStr">
        <is>
          <t>B</t>
        </is>
      </c>
      <c r="L166" s="7" t="inlineStr">
        <is>
          <t>Follows the class</t>
        </is>
      </c>
      <c r="M166" s="51" t="n">
        <v>0.11</v>
      </c>
      <c r="N166" s="7" t="inlineStr">
        <is>
          <t>Declared by the retailer</t>
        </is>
      </c>
      <c r="O166" s="54" t="n">
        <v>0.11</v>
      </c>
      <c r="P166" s="54" t="n">
        <v>0</v>
      </c>
      <c r="Q166" s="7" t="inlineStr">
        <is>
          <t>no</t>
        </is>
      </c>
      <c r="R166" s="7" t="n"/>
      <c r="S166" s="7" t="n"/>
      <c r="T166" s="7" t="n"/>
      <c r="U166" s="7" t="n"/>
      <c r="V166" s="7" t="n"/>
      <c r="W166" s="7" t="inlineStr">
        <is>
          <t>alcohol</t>
        </is>
      </c>
      <c r="X166" s="55" t="n">
        <v>1</v>
      </c>
      <c r="Y166" s="50" t="n">
        <v>1.5</v>
      </c>
      <c r="Z166" s="7" t="inlineStr">
        <is>
          <t>declared</t>
        </is>
      </c>
      <c r="AA166" s="19">
        <f>IF(ISBLANK(Welcome!D192),"",Welcome!D192)</f>
        <v/>
      </c>
      <c r="AB166" s="29">
        <f>IF(ISBLANK(Welcome!E192),"",Welcome!E192)</f>
        <v/>
      </c>
      <c r="AC166" s="29">
        <f>IF(N(AB166)&gt;0,N(AB166),N(AA166)*Y166)</f>
        <v/>
      </c>
      <c r="AD166" s="29">
        <f>IF(H166="yes",AC166,0)</f>
        <v/>
      </c>
      <c r="AE166" s="29">
        <f>AD166*N(M166)/100</f>
        <v/>
      </c>
      <c r="AF166" s="29">
        <f>AD166*N(O166)/100</f>
        <v/>
      </c>
      <c r="AG166" s="29">
        <f>AD166*N(P166)/100</f>
        <v/>
      </c>
      <c r="AH166" s="50">
        <f>IF(Q166="yes",AD166/1000,0)</f>
        <v/>
      </c>
      <c r="AI166" s="50">
        <f>IF(S166="FG2",AH166*X166,AH166)</f>
        <v/>
      </c>
    </row>
    <row r="167">
      <c r="A167" s="7" t="inlineStr">
        <is>
          <t>HM00548</t>
        </is>
      </c>
      <c r="B167" s="16" t="inlineStr">
        <is>
          <t>2495822423450</t>
        </is>
      </c>
      <c r="C167" s="7" t="inlineStr">
        <is>
          <t>HM RED GRAPES SEEDLESS LOOSE</t>
        </is>
      </c>
      <c r="D167" s="7" t="inlineStr">
        <is>
          <t>Seedless red grapes</t>
        </is>
      </c>
      <c r="E167" s="7" t="inlineStr">
        <is>
          <t>Harbour Market</t>
        </is>
      </c>
      <c r="F167" s="7" t="inlineStr">
        <is>
          <t>Fruit &amp; Vegetables</t>
        </is>
      </c>
      <c r="G167" s="7" t="inlineStr">
        <is>
          <t>Fruit</t>
        </is>
      </c>
      <c r="H167" s="7" t="inlineStr">
        <is>
          <t>yes</t>
        </is>
      </c>
      <c r="I167" s="7" t="inlineStr">
        <is>
          <t>Plant-based non-core</t>
        </is>
      </c>
      <c r="J167" s="7" t="inlineStr">
        <is>
          <t>Fruit and vegetables</t>
        </is>
      </c>
      <c r="K167" s="7" t="inlineStr">
        <is>
          <t>B</t>
        </is>
      </c>
      <c r="L167" s="7" t="inlineStr">
        <is>
          <t>Follows the class</t>
        </is>
      </c>
      <c r="M167" s="51" t="n">
        <v>0.6</v>
      </c>
      <c r="N167" s="7" t="inlineStr">
        <is>
          <t>Declared by the retailer</t>
        </is>
      </c>
      <c r="O167" s="54" t="n">
        <v>0.6</v>
      </c>
      <c r="P167" s="54" t="n">
        <v>0</v>
      </c>
      <c r="Q167" s="7" t="inlineStr">
        <is>
          <t>yes</t>
        </is>
      </c>
      <c r="R167" s="7" t="inlineStr">
        <is>
          <t>whole</t>
        </is>
      </c>
      <c r="S167" s="7" t="inlineStr">
        <is>
          <t>FG4</t>
        </is>
      </c>
      <c r="T167" s="7" t="n"/>
      <c r="U167" s="7" t="inlineStr">
        <is>
          <t>plant</t>
        </is>
      </c>
      <c r="V167" s="7" t="n"/>
      <c r="W167" s="7" t="n"/>
      <c r="X167" s="55" t="n">
        <v>1</v>
      </c>
      <c r="Y167" s="50" t="n">
        <v>1</v>
      </c>
      <c r="Z167" s="7" t="inlineStr">
        <is>
          <t>variable</t>
        </is>
      </c>
      <c r="AA167" s="19">
        <f>IF(ISBLANK(Welcome!D193),"",Welcome!D193)</f>
        <v/>
      </c>
      <c r="AB167" s="29">
        <f>IF(ISBLANK(Welcome!E193),"",Welcome!E193)</f>
        <v/>
      </c>
      <c r="AC167" s="29">
        <f>IF(N(AB167)&gt;0,N(AB167),N(AA167)*Y167)</f>
        <v/>
      </c>
      <c r="AD167" s="29">
        <f>IF(H167="yes",AC167,0)</f>
        <v/>
      </c>
      <c r="AE167" s="29">
        <f>AD167*N(M167)/100</f>
        <v/>
      </c>
      <c r="AF167" s="29">
        <f>AD167*N(O167)/100</f>
        <v/>
      </c>
      <c r="AG167" s="29">
        <f>AD167*N(P167)/100</f>
        <v/>
      </c>
      <c r="AH167" s="50">
        <f>IF(Q167="yes",AD167/1000,0)</f>
        <v/>
      </c>
      <c r="AI167" s="50">
        <f>IF(S167="FG2",AH167*X167,AH167)</f>
        <v/>
      </c>
    </row>
    <row r="168">
      <c r="A168" s="7" t="inlineStr">
        <is>
          <t>HM00141</t>
        </is>
      </c>
      <c r="B168" s="16" t="inlineStr">
        <is>
          <t>3012345277471</t>
        </is>
      </c>
      <c r="C168" s="7" t="inlineStr">
        <is>
          <t>BLENDED WHISKY 1L PENWARD</t>
        </is>
      </c>
      <c r="D168" s="7" t="inlineStr">
        <is>
          <t>Blended whisky, 1l</t>
        </is>
      </c>
      <c r="E168" s="7" t="inlineStr">
        <is>
          <t>Penward</t>
        </is>
      </c>
      <c r="F168" s="7" t="inlineStr">
        <is>
          <t>Beer, Wine &amp; Spirits</t>
        </is>
      </c>
      <c r="G168" s="7" t="inlineStr">
        <is>
          <t>Spirits</t>
        </is>
      </c>
      <c r="H168" s="7" t="inlineStr">
        <is>
          <t>yes</t>
        </is>
      </c>
      <c r="I168" s="7" t="inlineStr">
        <is>
          <t>Plant-based non-core</t>
        </is>
      </c>
      <c r="J168" s="7" t="inlineStr">
        <is>
          <t>Outside the WWF scope</t>
        </is>
      </c>
      <c r="K168" s="7" t="inlineStr">
        <is>
          <t>B</t>
        </is>
      </c>
      <c r="L168" s="7" t="inlineStr">
        <is>
          <t>Follows the class</t>
        </is>
      </c>
      <c r="M168" s="51" t="n">
        <v>0</v>
      </c>
      <c r="N168" s="7" t="inlineStr">
        <is>
          <t>Altera reference base</t>
        </is>
      </c>
      <c r="O168" s="54" t="n">
        <v>0</v>
      </c>
      <c r="P168" s="54" t="n">
        <v>0</v>
      </c>
      <c r="Q168" s="7" t="inlineStr">
        <is>
          <t>no</t>
        </is>
      </c>
      <c r="R168" s="7" t="n"/>
      <c r="S168" s="7" t="n"/>
      <c r="T168" s="7" t="n"/>
      <c r="U168" s="7" t="n"/>
      <c r="V168" s="7" t="n"/>
      <c r="W168" s="7" t="inlineStr">
        <is>
          <t>alcohol</t>
        </is>
      </c>
      <c r="X168" s="55" t="n">
        <v>1</v>
      </c>
      <c r="Y168" s="50" t="n">
        <v>1</v>
      </c>
      <c r="Z168" s="7" t="inlineStr">
        <is>
          <t>declared</t>
        </is>
      </c>
      <c r="AA168" s="19">
        <f>IF(ISBLANK(Welcome!D194),"",Welcome!D194)</f>
        <v/>
      </c>
      <c r="AB168" s="29">
        <f>IF(ISBLANK(Welcome!E194),"",Welcome!E194)</f>
        <v/>
      </c>
      <c r="AC168" s="29">
        <f>IF(N(AB168)&gt;0,N(AB168),N(AA168)*Y168)</f>
        <v/>
      </c>
      <c r="AD168" s="29">
        <f>IF(H168="yes",AC168,0)</f>
        <v/>
      </c>
      <c r="AE168" s="29">
        <f>AD168*N(M168)/100</f>
        <v/>
      </c>
      <c r="AF168" s="29">
        <f>AD168*N(O168)/100</f>
        <v/>
      </c>
      <c r="AG168" s="29">
        <f>AD168*N(P168)/100</f>
        <v/>
      </c>
      <c r="AH168" s="50">
        <f>IF(Q168="yes",AD168/1000,0)</f>
        <v/>
      </c>
      <c r="AI168" s="50">
        <f>IF(S168="FG2",AH168*X168,AH168)</f>
        <v/>
      </c>
    </row>
    <row r="169">
      <c r="A169" s="7" t="inlineStr">
        <is>
          <t>HM00204</t>
        </is>
      </c>
      <c r="B169" s="16" t="inlineStr">
        <is>
          <t>2781328249020</t>
        </is>
      </c>
      <c r="C169" s="7" t="inlineStr">
        <is>
          <t>HM BANANAS KG</t>
        </is>
      </c>
      <c r="D169" s="7" t="inlineStr">
        <is>
          <t>Bananas</t>
        </is>
      </c>
      <c r="E169" s="7" t="inlineStr">
        <is>
          <t>Harbour Market</t>
        </is>
      </c>
      <c r="F169" s="7" t="inlineStr">
        <is>
          <t>Fruit &amp; Vegetables</t>
        </is>
      </c>
      <c r="G169" s="7" t="inlineStr">
        <is>
          <t>Fruit</t>
        </is>
      </c>
      <c r="H169" s="7" t="inlineStr">
        <is>
          <t>yes</t>
        </is>
      </c>
      <c r="I169" s="7" t="inlineStr">
        <is>
          <t>Plant-based non-core</t>
        </is>
      </c>
      <c r="J169" s="7" t="inlineStr">
        <is>
          <t>Fruit and vegetables</t>
        </is>
      </c>
      <c r="K169" s="7" t="inlineStr">
        <is>
          <t>B</t>
        </is>
      </c>
      <c r="L169" s="7" t="inlineStr">
        <is>
          <t>Follows the class</t>
        </is>
      </c>
      <c r="M169" s="51" t="n">
        <v>1.1</v>
      </c>
      <c r="N169" s="7" t="inlineStr">
        <is>
          <t>Declared by the retailer</t>
        </is>
      </c>
      <c r="O169" s="54" t="n">
        <v>1.1</v>
      </c>
      <c r="P169" s="54" t="n">
        <v>0</v>
      </c>
      <c r="Q169" s="7" t="inlineStr">
        <is>
          <t>yes</t>
        </is>
      </c>
      <c r="R169" s="7" t="inlineStr">
        <is>
          <t>whole</t>
        </is>
      </c>
      <c r="S169" s="7" t="inlineStr">
        <is>
          <t>FG4</t>
        </is>
      </c>
      <c r="T169" s="7" t="n"/>
      <c r="U169" s="7" t="inlineStr">
        <is>
          <t>plant</t>
        </is>
      </c>
      <c r="V169" s="7" t="n"/>
      <c r="W169" s="7" t="n"/>
      <c r="X169" s="55" t="n">
        <v>1</v>
      </c>
      <c r="Y169" s="50" t="n">
        <v>1</v>
      </c>
      <c r="Z169" s="7" t="inlineStr">
        <is>
          <t>variable</t>
        </is>
      </c>
      <c r="AA169" s="19">
        <f>IF(ISBLANK(Welcome!D195),"",Welcome!D195)</f>
        <v/>
      </c>
      <c r="AB169" s="29">
        <f>IF(ISBLANK(Welcome!E195),"",Welcome!E195)</f>
        <v/>
      </c>
      <c r="AC169" s="29">
        <f>IF(N(AB169)&gt;0,N(AB169),N(AA169)*Y169)</f>
        <v/>
      </c>
      <c r="AD169" s="29">
        <f>IF(H169="yes",AC169,0)</f>
        <v/>
      </c>
      <c r="AE169" s="29">
        <f>AD169*N(M169)/100</f>
        <v/>
      </c>
      <c r="AF169" s="29">
        <f>AD169*N(O169)/100</f>
        <v/>
      </c>
      <c r="AG169" s="29">
        <f>AD169*N(P169)/100</f>
        <v/>
      </c>
      <c r="AH169" s="50">
        <f>IF(Q169="yes",AD169/1000,0)</f>
        <v/>
      </c>
      <c r="AI169" s="50">
        <f>IF(S169="FG2",AH169*X169,AH169)</f>
        <v/>
      </c>
    </row>
    <row r="170">
      <c r="A170" s="7" t="inlineStr">
        <is>
          <t>HM00638</t>
        </is>
      </c>
      <c r="B170" s="16" t="inlineStr">
        <is>
          <t>4012345212266</t>
        </is>
      </c>
      <c r="C170" s="7" t="inlineStr">
        <is>
          <t>HM CRINKLE CUT CHIPS 1.5KG</t>
        </is>
      </c>
      <c r="D170" s="7" t="inlineStr">
        <is>
          <t>Crinkle-cut chips, 1.5kg</t>
        </is>
      </c>
      <c r="E170" s="7" t="inlineStr">
        <is>
          <t>Harbour Market</t>
        </is>
      </c>
      <c r="F170" s="7" t="inlineStr">
        <is>
          <t>Frozen</t>
        </is>
      </c>
      <c r="G170" s="7" t="inlineStr">
        <is>
          <t>Frozen Potatoes</t>
        </is>
      </c>
      <c r="H170" s="7" t="inlineStr">
        <is>
          <t>yes</t>
        </is>
      </c>
      <c r="I170" s="7" t="inlineStr">
        <is>
          <t>Plant-based non-core</t>
        </is>
      </c>
      <c r="J170" s="7" t="inlineStr">
        <is>
          <t>Discretionary products</t>
        </is>
      </c>
      <c r="K170" s="7" t="inlineStr">
        <is>
          <t>A</t>
        </is>
      </c>
      <c r="L170" s="7" t="inlineStr">
        <is>
          <t>All ingredients on one side</t>
        </is>
      </c>
      <c r="M170" s="51" t="n">
        <v>2.4</v>
      </c>
      <c r="N170" s="7" t="inlineStr">
        <is>
          <t>Median of the family</t>
        </is>
      </c>
      <c r="O170" s="54" t="n">
        <v>2.4</v>
      </c>
      <c r="P170" s="54" t="n">
        <v>0</v>
      </c>
      <c r="Q170" s="7" t="inlineStr">
        <is>
          <t>yes</t>
        </is>
      </c>
      <c r="R170" s="7" t="inlineStr">
        <is>
          <t>whole</t>
        </is>
      </c>
      <c r="S170" s="7" t="inlineStr">
        <is>
          <t>FG7</t>
        </is>
      </c>
      <c r="T170" s="7" t="n"/>
      <c r="U170" s="7" t="inlineStr">
        <is>
          <t>plant</t>
        </is>
      </c>
      <c r="V170" s="7" t="n"/>
      <c r="W170" s="7" t="n"/>
      <c r="X170" s="55" t="n">
        <v>1</v>
      </c>
      <c r="Y170" s="50" t="n">
        <v>1.5</v>
      </c>
      <c r="Z170" s="7" t="inlineStr">
        <is>
          <t>declared</t>
        </is>
      </c>
      <c r="AA170" s="19">
        <f>IF(ISBLANK(Welcome!D196),"",Welcome!D196)</f>
        <v/>
      </c>
      <c r="AB170" s="29">
        <f>IF(ISBLANK(Welcome!E196),"",Welcome!E196)</f>
        <v/>
      </c>
      <c r="AC170" s="29">
        <f>IF(N(AB170)&gt;0,N(AB170),N(AA170)*Y170)</f>
        <v/>
      </c>
      <c r="AD170" s="29">
        <f>IF(H170="yes",AC170,0)</f>
        <v/>
      </c>
      <c r="AE170" s="29">
        <f>AD170*N(M170)/100</f>
        <v/>
      </c>
      <c r="AF170" s="29">
        <f>AD170*N(O170)/100</f>
        <v/>
      </c>
      <c r="AG170" s="29">
        <f>AD170*N(P170)/100</f>
        <v/>
      </c>
      <c r="AH170" s="50">
        <f>IF(Q170="yes",AD170/1000,0)</f>
        <v/>
      </c>
      <c r="AI170" s="50">
        <f>IF(S170="FG2",AH170*X170,AH170)</f>
        <v/>
      </c>
    </row>
    <row r="171">
      <c r="A171" s="7" t="inlineStr">
        <is>
          <t>HM00769</t>
        </is>
      </c>
      <c r="B171" s="16" t="inlineStr">
        <is>
          <t>3012345098380</t>
        </is>
      </c>
      <c r="C171" s="7" t="inlineStr">
        <is>
          <t>HM PASSATA 690G</t>
        </is>
      </c>
      <c r="D171" s="7" t="inlineStr">
        <is>
          <t>Sieved tomatoes (passata), 690g</t>
        </is>
      </c>
      <c r="E171" s="7" t="inlineStr">
        <is>
          <t>Harbour Market</t>
        </is>
      </c>
      <c r="F171" s="7" t="inlineStr">
        <is>
          <t>Grocery</t>
        </is>
      </c>
      <c r="G171" s="7" t="inlineStr">
        <is>
          <t>Canned Vegetables</t>
        </is>
      </c>
      <c r="H171" s="7" t="inlineStr">
        <is>
          <t>yes</t>
        </is>
      </c>
      <c r="I171" s="7" t="inlineStr">
        <is>
          <t>Plant-based non-core</t>
        </is>
      </c>
      <c r="J171" s="7" t="inlineStr">
        <is>
          <t>Fruit and vegetables</t>
        </is>
      </c>
      <c r="K171" s="7" t="inlineStr">
        <is>
          <t>A</t>
        </is>
      </c>
      <c r="L171" s="7" t="inlineStr">
        <is>
          <t>All ingredients on one side</t>
        </is>
      </c>
      <c r="M171" s="51" t="n">
        <v>1.1</v>
      </c>
      <c r="N171" s="7" t="inlineStr">
        <is>
          <t>Declared by the retailer</t>
        </is>
      </c>
      <c r="O171" s="54" t="n">
        <v>1.1</v>
      </c>
      <c r="P171" s="54" t="n">
        <v>0</v>
      </c>
      <c r="Q171" s="7" t="inlineStr">
        <is>
          <t>yes</t>
        </is>
      </c>
      <c r="R171" s="7" t="inlineStr">
        <is>
          <t>whole</t>
        </is>
      </c>
      <c r="S171" s="7" t="inlineStr">
        <is>
          <t>FG4</t>
        </is>
      </c>
      <c r="T171" s="7" t="n"/>
      <c r="U171" s="7" t="inlineStr">
        <is>
          <t>plant</t>
        </is>
      </c>
      <c r="V171" s="7" t="n"/>
      <c r="W171" s="7" t="n"/>
      <c r="X171" s="55" t="n">
        <v>1</v>
      </c>
      <c r="Y171" s="50" t="n">
        <v>0.6899999999999999</v>
      </c>
      <c r="Z171" s="7" t="inlineStr">
        <is>
          <t>label</t>
        </is>
      </c>
      <c r="AA171" s="19">
        <f>IF(ISBLANK(Welcome!D197),"",Welcome!D197)</f>
        <v/>
      </c>
      <c r="AB171" s="29">
        <f>IF(ISBLANK(Welcome!E197),"",Welcome!E197)</f>
        <v/>
      </c>
      <c r="AC171" s="29">
        <f>IF(N(AB171)&gt;0,N(AB171),N(AA171)*Y171)</f>
        <v/>
      </c>
      <c r="AD171" s="29">
        <f>IF(H171="yes",AC171,0)</f>
        <v/>
      </c>
      <c r="AE171" s="29">
        <f>AD171*N(M171)/100</f>
        <v/>
      </c>
      <c r="AF171" s="29">
        <f>AD171*N(O171)/100</f>
        <v/>
      </c>
      <c r="AG171" s="29">
        <f>AD171*N(P171)/100</f>
        <v/>
      </c>
      <c r="AH171" s="50">
        <f>IF(Q171="yes",AD171/1000,0)</f>
        <v/>
      </c>
      <c r="AI171" s="50">
        <f>IF(S171="FG2",AH171*X171,AH171)</f>
        <v/>
      </c>
    </row>
    <row r="172">
      <c r="A172" s="7" t="inlineStr">
        <is>
          <t>HM00259</t>
        </is>
      </c>
      <c r="B172" s="16" t="inlineStr">
        <is>
          <t>4012345574500</t>
        </is>
      </c>
      <c r="C172" s="7" t="inlineStr">
        <is>
          <t>HM STILL WATER 1.5L</t>
        </is>
      </c>
      <c r="D172" s="7" t="inlineStr">
        <is>
          <t>Still mineral water, 1.5l</t>
        </is>
      </c>
      <c r="E172" s="7" t="inlineStr">
        <is>
          <t>Harbour Market</t>
        </is>
      </c>
      <c r="F172" s="7" t="inlineStr">
        <is>
          <t>Soft Drinks &amp; Water</t>
        </is>
      </c>
      <c r="G172" s="7" t="inlineStr">
        <is>
          <t>Water</t>
        </is>
      </c>
      <c r="H172" s="7" t="inlineStr">
        <is>
          <t>yes</t>
        </is>
      </c>
      <c r="I172" s="7" t="inlineStr">
        <is>
          <t>Plant-based non-core</t>
        </is>
      </c>
      <c r="J172" s="7" t="inlineStr">
        <is>
          <t>Outside the WWF scope</t>
        </is>
      </c>
      <c r="K172" s="7" t="inlineStr">
        <is>
          <t>B</t>
        </is>
      </c>
      <c r="L172" s="7" t="inlineStr">
        <is>
          <t>Follows the class</t>
        </is>
      </c>
      <c r="M172" s="51" t="n">
        <v>0</v>
      </c>
      <c r="N172" s="7" t="inlineStr">
        <is>
          <t>Median of the family</t>
        </is>
      </c>
      <c r="O172" s="54" t="n">
        <v>0</v>
      </c>
      <c r="P172" s="54" t="n">
        <v>0</v>
      </c>
      <c r="Q172" s="7" t="inlineStr">
        <is>
          <t>no</t>
        </is>
      </c>
      <c r="R172" s="7" t="n"/>
      <c r="S172" s="7" t="n"/>
      <c r="T172" s="7" t="n"/>
      <c r="U172" s="7" t="n"/>
      <c r="V172" s="7" t="n"/>
      <c r="W172" s="7" t="inlineStr">
        <is>
          <t>beverage</t>
        </is>
      </c>
      <c r="X172" s="55" t="n">
        <v>1</v>
      </c>
      <c r="Y172" s="50" t="n">
        <v>1.5</v>
      </c>
      <c r="Z172" s="7" t="inlineStr">
        <is>
          <t>declared</t>
        </is>
      </c>
      <c r="AA172" s="19">
        <f>IF(ISBLANK(Welcome!D198),"",Welcome!D198)</f>
        <v/>
      </c>
      <c r="AB172" s="29">
        <f>IF(ISBLANK(Welcome!E198),"",Welcome!E198)</f>
        <v/>
      </c>
      <c r="AC172" s="29">
        <f>IF(N(AB172)&gt;0,N(AB172),N(AA172)*Y172)</f>
        <v/>
      </c>
      <c r="AD172" s="29">
        <f>IF(H172="yes",AC172,0)</f>
        <v/>
      </c>
      <c r="AE172" s="29">
        <f>AD172*N(M172)/100</f>
        <v/>
      </c>
      <c r="AF172" s="29">
        <f>AD172*N(O172)/100</f>
        <v/>
      </c>
      <c r="AG172" s="29">
        <f>AD172*N(P172)/100</f>
        <v/>
      </c>
      <c r="AH172" s="50">
        <f>IF(Q172="yes",AD172/1000,0)</f>
        <v/>
      </c>
      <c r="AI172" s="50">
        <f>IF(S172="FG2",AH172*X172,AH172)</f>
        <v/>
      </c>
    </row>
    <row r="173">
      <c r="A173" s="7" t="inlineStr">
        <is>
          <t>HM00347</t>
        </is>
      </c>
      <c r="B173" s="16" t="inlineStr">
        <is>
          <t>4012345464030</t>
        </is>
      </c>
      <c r="C173" s="7" t="inlineStr">
        <is>
          <t>HM PORK MINCE 4PK 600G</t>
        </is>
      </c>
      <c r="D173" s="7" t="inlineStr">
        <is>
          <t>Pork mince, 4pk 600g</t>
        </is>
      </c>
      <c r="E173" s="7" t="inlineStr">
        <is>
          <t>Harbour Market</t>
        </is>
      </c>
      <c r="F173" s="7" t="inlineStr">
        <is>
          <t>Fresh Meat &amp; Poultry</t>
        </is>
      </c>
      <c r="G173" s="7" t="inlineStr">
        <is>
          <t>Pork</t>
        </is>
      </c>
      <c r="H173" s="7" t="inlineStr">
        <is>
          <t>yes</t>
        </is>
      </c>
      <c r="I173" s="7" t="inlineStr">
        <is>
          <t>Animal core</t>
        </is>
      </c>
      <c r="J173" s="7" t="inlineStr">
        <is>
          <t>Red meat</t>
        </is>
      </c>
      <c r="K173" s="7" t="inlineStr">
        <is>
          <t>B</t>
        </is>
      </c>
      <c r="L173" s="7" t="inlineStr">
        <is>
          <t>Follows the class</t>
        </is>
      </c>
      <c r="M173" s="51" t="n">
        <v>20.1</v>
      </c>
      <c r="N173" s="7" t="inlineStr">
        <is>
          <t>Declared by the retailer</t>
        </is>
      </c>
      <c r="O173" s="54" t="n">
        <v>0</v>
      </c>
      <c r="P173" s="54" t="n">
        <v>20.1</v>
      </c>
      <c r="Q173" s="7" t="inlineStr">
        <is>
          <t>yes</t>
        </is>
      </c>
      <c r="R173" s="7" t="inlineStr">
        <is>
          <t>whole</t>
        </is>
      </c>
      <c r="S173" s="7" t="inlineStr">
        <is>
          <t>FG1</t>
        </is>
      </c>
      <c r="T173" s="7" t="inlineStr">
        <is>
          <t>Red meat</t>
        </is>
      </c>
      <c r="U173" s="7" t="inlineStr">
        <is>
          <t>animal</t>
        </is>
      </c>
      <c r="V173" s="7" t="n"/>
      <c r="W173" s="7" t="n"/>
      <c r="X173" s="55" t="n">
        <v>1</v>
      </c>
      <c r="Y173" s="50" t="n">
        <v>0.6</v>
      </c>
      <c r="Z173" s="7" t="inlineStr">
        <is>
          <t>declared</t>
        </is>
      </c>
      <c r="AA173" s="19">
        <f>IF(ISBLANK(Welcome!D199),"",Welcome!D199)</f>
        <v/>
      </c>
      <c r="AB173" s="29">
        <f>IF(ISBLANK(Welcome!E199),"",Welcome!E199)</f>
        <v/>
      </c>
      <c r="AC173" s="29">
        <f>IF(N(AB173)&gt;0,N(AB173),N(AA173)*Y173)</f>
        <v/>
      </c>
      <c r="AD173" s="29">
        <f>IF(H173="yes",AC173,0)</f>
        <v/>
      </c>
      <c r="AE173" s="29">
        <f>AD173*N(M173)/100</f>
        <v/>
      </c>
      <c r="AF173" s="29">
        <f>AD173*N(O173)/100</f>
        <v/>
      </c>
      <c r="AG173" s="29">
        <f>AD173*N(P173)/100</f>
        <v/>
      </c>
      <c r="AH173" s="50">
        <f>IF(Q173="yes",AD173/1000,0)</f>
        <v/>
      </c>
      <c r="AI173" s="50">
        <f>IF(S173="FG2",AH173*X173,AH173)</f>
        <v/>
      </c>
    </row>
    <row r="174">
      <c r="A174" s="7" t="inlineStr">
        <is>
          <t>HM00320</t>
        </is>
      </c>
      <c r="B174" s="16" t="inlineStr">
        <is>
          <t>4012345481389</t>
        </is>
      </c>
      <c r="C174" s="7" t="inlineStr">
        <is>
          <t>COLA 6X330ML NUVELLE</t>
        </is>
      </c>
      <c r="D174" s="7" t="inlineStr">
        <is>
          <t>Cola, 6x330ml</t>
        </is>
      </c>
      <c r="E174" s="7" t="inlineStr">
        <is>
          <t>Nuvelle</t>
        </is>
      </c>
      <c r="F174" s="7" t="inlineStr">
        <is>
          <t>Soft Drinks &amp; Water</t>
        </is>
      </c>
      <c r="G174" s="7" t="inlineStr">
        <is>
          <t>Soft Drinks</t>
        </is>
      </c>
      <c r="H174" s="7" t="inlineStr">
        <is>
          <t>yes</t>
        </is>
      </c>
      <c r="I174" s="7" t="inlineStr">
        <is>
          <t>Plant-based non-core</t>
        </is>
      </c>
      <c r="J174" s="7" t="inlineStr">
        <is>
          <t>Outside the WWF scope</t>
        </is>
      </c>
      <c r="K174" s="7" t="inlineStr">
        <is>
          <t>A</t>
        </is>
      </c>
      <c r="L174" s="7" t="inlineStr">
        <is>
          <t>All ingredients on one side</t>
        </is>
      </c>
      <c r="M174" s="51" t="n">
        <v>0</v>
      </c>
      <c r="N174" s="7" t="inlineStr">
        <is>
          <t>Median of the family</t>
        </is>
      </c>
      <c r="O174" s="54" t="n">
        <v>0</v>
      </c>
      <c r="P174" s="54" t="n">
        <v>0</v>
      </c>
      <c r="Q174" s="7" t="inlineStr">
        <is>
          <t>no</t>
        </is>
      </c>
      <c r="R174" s="7" t="n"/>
      <c r="S174" s="7" t="n"/>
      <c r="T174" s="7" t="n"/>
      <c r="U174" s="7" t="n"/>
      <c r="V174" s="7" t="n"/>
      <c r="W174" s="7" t="inlineStr">
        <is>
          <t>beverage</t>
        </is>
      </c>
      <c r="X174" s="55" t="n">
        <v>1</v>
      </c>
      <c r="Y174" s="50" t="n">
        <v>1.98</v>
      </c>
      <c r="Z174" s="7" t="inlineStr">
        <is>
          <t>declared</t>
        </is>
      </c>
      <c r="AA174" s="19">
        <f>IF(ISBLANK(Welcome!D200),"",Welcome!D200)</f>
        <v/>
      </c>
      <c r="AB174" s="29">
        <f>IF(ISBLANK(Welcome!E200),"",Welcome!E200)</f>
        <v/>
      </c>
      <c r="AC174" s="29">
        <f>IF(N(AB174)&gt;0,N(AB174),N(AA174)*Y174)</f>
        <v/>
      </c>
      <c r="AD174" s="29">
        <f>IF(H174="yes",AC174,0)</f>
        <v/>
      </c>
      <c r="AE174" s="29">
        <f>AD174*N(M174)/100</f>
        <v/>
      </c>
      <c r="AF174" s="29">
        <f>AD174*N(O174)/100</f>
        <v/>
      </c>
      <c r="AG174" s="29">
        <f>AD174*N(P174)/100</f>
        <v/>
      </c>
      <c r="AH174" s="50">
        <f>IF(Q174="yes",AD174/1000,0)</f>
        <v/>
      </c>
      <c r="AI174" s="50">
        <f>IF(S174="FG2",AH174*X174,AH174)</f>
        <v/>
      </c>
    </row>
    <row r="175">
      <c r="A175" s="7" t="inlineStr">
        <is>
          <t>HM00479</t>
        </is>
      </c>
      <c r="B175" s="16" t="inlineStr">
        <is>
          <t>3012345481427</t>
        </is>
      </c>
      <c r="C175" s="7" t="inlineStr">
        <is>
          <t>HM COTTAGE PIE 2X400G</t>
        </is>
      </c>
      <c r="D175" s="7" t="inlineStr">
        <is>
          <t>Cottage pie, 2x400g</t>
        </is>
      </c>
      <c r="E175" s="7" t="inlineStr">
        <is>
          <t>Harbour Market</t>
        </is>
      </c>
      <c r="F175" s="7" t="inlineStr">
        <is>
          <t>Ready Meals</t>
        </is>
      </c>
      <c r="G175" s="7" t="inlineStr">
        <is>
          <t>Ready Meals</t>
        </is>
      </c>
      <c r="H175" s="7" t="inlineStr">
        <is>
          <t>yes</t>
        </is>
      </c>
      <c r="I175" s="7" t="inlineStr">
        <is>
          <t>Animal &amp; plant composite</t>
        </is>
      </c>
      <c r="J175" s="7" t="inlineStr">
        <is>
          <t>Meat-based dishes</t>
        </is>
      </c>
      <c r="K175" s="7" t="inlineStr">
        <is>
          <t>B</t>
        </is>
      </c>
      <c r="L175" s="7" t="inlineStr">
        <is>
          <t>50/50 convention</t>
        </is>
      </c>
      <c r="M175" s="51" t="n">
        <v>6.8</v>
      </c>
      <c r="N175" s="7" t="inlineStr">
        <is>
          <t>Median of the family</t>
        </is>
      </c>
      <c r="O175" s="54" t="n">
        <v>3.4</v>
      </c>
      <c r="P175" s="54" t="n">
        <v>3.4</v>
      </c>
      <c r="Q175" s="7" t="inlineStr">
        <is>
          <t>yes</t>
        </is>
      </c>
      <c r="R175" s="7" t="inlineStr">
        <is>
          <t>composite</t>
        </is>
      </c>
      <c r="S175" s="7" t="n"/>
      <c r="T175" s="7" t="n"/>
      <c r="U175" s="7" t="n"/>
      <c r="V175" s="7" t="inlineStr">
        <is>
          <t>meat-based</t>
        </is>
      </c>
      <c r="W175" s="7" t="n"/>
      <c r="X175" s="55" t="n">
        <v>1</v>
      </c>
      <c r="Y175" s="50" t="n">
        <v>0.8</v>
      </c>
      <c r="Z175" s="7" t="inlineStr">
        <is>
          <t>declared</t>
        </is>
      </c>
      <c r="AA175" s="19">
        <f>IF(ISBLANK(Welcome!D201),"",Welcome!D201)</f>
        <v/>
      </c>
      <c r="AB175" s="29">
        <f>IF(ISBLANK(Welcome!E201),"",Welcome!E201)</f>
        <v/>
      </c>
      <c r="AC175" s="29">
        <f>IF(N(AB175)&gt;0,N(AB175),N(AA175)*Y175)</f>
        <v/>
      </c>
      <c r="AD175" s="29">
        <f>IF(H175="yes",AC175,0)</f>
        <v/>
      </c>
      <c r="AE175" s="29">
        <f>AD175*N(M175)/100</f>
        <v/>
      </c>
      <c r="AF175" s="29">
        <f>AD175*N(O175)/100</f>
        <v/>
      </c>
      <c r="AG175" s="29">
        <f>AD175*N(P175)/100</f>
        <v/>
      </c>
      <c r="AH175" s="50">
        <f>IF(Q175="yes",AD175/1000,0)</f>
        <v/>
      </c>
      <c r="AI175" s="50">
        <f>IF(S175="FG2",AH175*X175,AH175)</f>
        <v/>
      </c>
    </row>
    <row r="176">
      <c r="A176" s="7" t="inlineStr">
        <is>
          <t>HM00318</t>
        </is>
      </c>
      <c r="B176" s="16" t="inlineStr">
        <is>
          <t>4012345351552</t>
        </is>
      </c>
      <c r="C176" s="7" t="inlineStr">
        <is>
          <t>HM FUSILLI 3KG</t>
        </is>
      </c>
      <c r="D176" s="7" t="inlineStr">
        <is>
          <t>Fusilli, 3kg</t>
        </is>
      </c>
      <c r="E176" s="7" t="inlineStr">
        <is>
          <t>Harbour Market</t>
        </is>
      </c>
      <c r="F176" s="7" t="inlineStr">
        <is>
          <t>Grocery</t>
        </is>
      </c>
      <c r="G176" s="7" t="inlineStr">
        <is>
          <t>Pasta</t>
        </is>
      </c>
      <c r="H176" s="7" t="inlineStr">
        <is>
          <t>yes</t>
        </is>
      </c>
      <c r="I176" s="7" t="inlineStr">
        <is>
          <t>Plant-based non-core</t>
        </is>
      </c>
      <c r="J176" s="7" t="inlineStr">
        <is>
          <t>Refined grains</t>
        </is>
      </c>
      <c r="K176" s="7" t="inlineStr">
        <is>
          <t>A</t>
        </is>
      </c>
      <c r="L176" s="7" t="inlineStr">
        <is>
          <t>All ingredients on one side</t>
        </is>
      </c>
      <c r="M176" s="51" t="n">
        <v>12.3</v>
      </c>
      <c r="N176" s="7" t="inlineStr">
        <is>
          <t>Declared by the retailer</t>
        </is>
      </c>
      <c r="O176" s="54" t="n">
        <v>12.3</v>
      </c>
      <c r="P176" s="54" t="n">
        <v>0</v>
      </c>
      <c r="Q176" s="7" t="inlineStr">
        <is>
          <t>yes</t>
        </is>
      </c>
      <c r="R176" s="7" t="inlineStr">
        <is>
          <t>whole</t>
        </is>
      </c>
      <c r="S176" s="7" t="inlineStr">
        <is>
          <t>FG5</t>
        </is>
      </c>
      <c r="T176" s="7" t="inlineStr">
        <is>
          <t>Refined grain</t>
        </is>
      </c>
      <c r="U176" s="7" t="inlineStr">
        <is>
          <t>plant</t>
        </is>
      </c>
      <c r="V176" s="7" t="n"/>
      <c r="W176" s="7" t="n"/>
      <c r="X176" s="55" t="n">
        <v>1</v>
      </c>
      <c r="Y176" s="50" t="n">
        <v>3</v>
      </c>
      <c r="Z176" s="7" t="inlineStr">
        <is>
          <t>declared</t>
        </is>
      </c>
      <c r="AA176" s="19">
        <f>IF(ISBLANK(Welcome!D202),"",Welcome!D202)</f>
        <v/>
      </c>
      <c r="AB176" s="29">
        <f>IF(ISBLANK(Welcome!E202),"",Welcome!E202)</f>
        <v/>
      </c>
      <c r="AC176" s="29">
        <f>IF(N(AB176)&gt;0,N(AB176),N(AA176)*Y176)</f>
        <v/>
      </c>
      <c r="AD176" s="29">
        <f>IF(H176="yes",AC176,0)</f>
        <v/>
      </c>
      <c r="AE176" s="29">
        <f>AD176*N(M176)/100</f>
        <v/>
      </c>
      <c r="AF176" s="29">
        <f>AD176*N(O176)/100</f>
        <v/>
      </c>
      <c r="AG176" s="29">
        <f>AD176*N(P176)/100</f>
        <v/>
      </c>
      <c r="AH176" s="50">
        <f>IF(Q176="yes",AD176/1000,0)</f>
        <v/>
      </c>
      <c r="AI176" s="50">
        <f>IF(S176="FG2",AH176*X176,AH176)</f>
        <v/>
      </c>
    </row>
    <row r="177">
      <c r="A177" s="7" t="inlineStr">
        <is>
          <t>HM00682</t>
        </is>
      </c>
      <c r="B177" s="16" t="inlineStr">
        <is>
          <t>8712345699499</t>
        </is>
      </c>
      <c r="C177" s="7" t="inlineStr">
        <is>
          <t>HM SEEDED BATCH 800G</t>
        </is>
      </c>
      <c r="D177" s="7" t="inlineStr">
        <is>
          <t>Seeded batch loaf, 800g</t>
        </is>
      </c>
      <c r="E177" s="7" t="inlineStr">
        <is>
          <t>Harbour Market</t>
        </is>
      </c>
      <c r="F177" s="7" t="inlineStr">
        <is>
          <t>Bakery</t>
        </is>
      </c>
      <c r="G177" s="7" t="inlineStr">
        <is>
          <t>Bread</t>
        </is>
      </c>
      <c r="H177" s="7" t="inlineStr">
        <is>
          <t>yes</t>
        </is>
      </c>
      <c r="I177" s="7" t="inlineStr">
        <is>
          <t>Plant-based non-core</t>
        </is>
      </c>
      <c r="J177" s="7" t="inlineStr">
        <is>
          <t>Refined grains</t>
        </is>
      </c>
      <c r="K177" s="7" t="inlineStr">
        <is>
          <t>A</t>
        </is>
      </c>
      <c r="L177" s="7" t="inlineStr">
        <is>
          <t>All ingredients on one side</t>
        </is>
      </c>
      <c r="M177" s="51" t="n">
        <v>10.4</v>
      </c>
      <c r="N177" s="7" t="inlineStr">
        <is>
          <t>Declared by the retailer</t>
        </is>
      </c>
      <c r="O177" s="54" t="n">
        <v>10.4</v>
      </c>
      <c r="P177" s="54" t="n">
        <v>0</v>
      </c>
      <c r="Q177" s="7" t="inlineStr">
        <is>
          <t>yes</t>
        </is>
      </c>
      <c r="R177" s="7" t="inlineStr">
        <is>
          <t>whole</t>
        </is>
      </c>
      <c r="S177" s="7" t="inlineStr">
        <is>
          <t>FG5</t>
        </is>
      </c>
      <c r="T177" s="7" t="inlineStr">
        <is>
          <t>Refined grain</t>
        </is>
      </c>
      <c r="U177" s="7" t="inlineStr">
        <is>
          <t>plant</t>
        </is>
      </c>
      <c r="V177" s="7" t="n"/>
      <c r="W177" s="7" t="n"/>
      <c r="X177" s="55" t="n">
        <v>1</v>
      </c>
      <c r="Y177" s="50" t="n">
        <v>0.8</v>
      </c>
      <c r="Z177" s="7" t="inlineStr">
        <is>
          <t>declared</t>
        </is>
      </c>
      <c r="AA177" s="19">
        <f>IF(ISBLANK(Welcome!D203),"",Welcome!D203)</f>
        <v/>
      </c>
      <c r="AB177" s="29">
        <f>IF(ISBLANK(Welcome!E203),"",Welcome!E203)</f>
        <v/>
      </c>
      <c r="AC177" s="29">
        <f>IF(N(AB177)&gt;0,N(AB177),N(AA177)*Y177)</f>
        <v/>
      </c>
      <c r="AD177" s="29">
        <f>IF(H177="yes",AC177,0)</f>
        <v/>
      </c>
      <c r="AE177" s="29">
        <f>AD177*N(M177)/100</f>
        <v/>
      </c>
      <c r="AF177" s="29">
        <f>AD177*N(O177)/100</f>
        <v/>
      </c>
      <c r="AG177" s="29">
        <f>AD177*N(P177)/100</f>
        <v/>
      </c>
      <c r="AH177" s="50">
        <f>IF(Q177="yes",AD177/1000,0)</f>
        <v/>
      </c>
      <c r="AI177" s="50">
        <f>IF(S177="FG2",AH177*X177,AH177)</f>
        <v/>
      </c>
    </row>
    <row r="178">
      <c r="A178" s="7" t="inlineStr">
        <is>
          <t>HM00767</t>
        </is>
      </c>
      <c r="B178" s="16" t="inlineStr">
        <is>
          <t>3012345692403</t>
        </is>
      </c>
      <c r="C178" s="7" t="inlineStr">
        <is>
          <t>HM SARDINES OLV OIL 3X145G</t>
        </is>
      </c>
      <c r="D178" s="7" t="inlineStr">
        <is>
          <t>Sardines in olive oil, 3x145g</t>
        </is>
      </c>
      <c r="E178" s="7" t="inlineStr">
        <is>
          <t>Harbour Market</t>
        </is>
      </c>
      <c r="F178" s="7" t="inlineStr">
        <is>
          <t>Fish &amp; Seafood</t>
        </is>
      </c>
      <c r="G178" s="7" t="inlineStr">
        <is>
          <t>Canned Fish</t>
        </is>
      </c>
      <c r="H178" s="7" t="inlineStr">
        <is>
          <t>yes</t>
        </is>
      </c>
      <c r="I178" s="7" t="inlineStr">
        <is>
          <t>Animal core</t>
        </is>
      </c>
      <c r="J178" s="7" t="inlineStr">
        <is>
          <t>Fish and seafood</t>
        </is>
      </c>
      <c r="K178" s="7" t="inlineStr">
        <is>
          <t>A</t>
        </is>
      </c>
      <c r="L178" s="7" t="inlineStr">
        <is>
          <t>All ingredients on one side</t>
        </is>
      </c>
      <c r="M178" s="51" t="n">
        <v>22.7</v>
      </c>
      <c r="N178" s="7" t="inlineStr">
        <is>
          <t>Open Food Facts and NEVO, by EAN</t>
        </is>
      </c>
      <c r="O178" s="54" t="n">
        <v>0</v>
      </c>
      <c r="P178" s="54" t="n">
        <v>22.7</v>
      </c>
      <c r="Q178" s="7" t="inlineStr">
        <is>
          <t>yes</t>
        </is>
      </c>
      <c r="R178" s="7" t="inlineStr">
        <is>
          <t>whole</t>
        </is>
      </c>
      <c r="S178" s="7" t="inlineStr">
        <is>
          <t>FG1</t>
        </is>
      </c>
      <c r="T178" s="7" t="inlineStr">
        <is>
          <t>Fish &amp; shellfish</t>
        </is>
      </c>
      <c r="U178" s="7" t="inlineStr">
        <is>
          <t>animal</t>
        </is>
      </c>
      <c r="V178" s="7" t="n"/>
      <c r="W178" s="7" t="n"/>
      <c r="X178" s="55" t="n">
        <v>1</v>
      </c>
      <c r="Y178" s="50" t="n">
        <v>0.435</v>
      </c>
      <c r="Z178" s="7" t="inlineStr">
        <is>
          <t>declared</t>
        </is>
      </c>
      <c r="AA178" s="19">
        <f>IF(ISBLANK(Welcome!D204),"",Welcome!D204)</f>
        <v/>
      </c>
      <c r="AB178" s="29">
        <f>IF(ISBLANK(Welcome!E204),"",Welcome!E204)</f>
        <v/>
      </c>
      <c r="AC178" s="29">
        <f>IF(N(AB178)&gt;0,N(AB178),N(AA178)*Y178)</f>
        <v/>
      </c>
      <c r="AD178" s="29">
        <f>IF(H178="yes",AC178,0)</f>
        <v/>
      </c>
      <c r="AE178" s="29">
        <f>AD178*N(M178)/100</f>
        <v/>
      </c>
      <c r="AF178" s="29">
        <f>AD178*N(O178)/100</f>
        <v/>
      </c>
      <c r="AG178" s="29">
        <f>AD178*N(P178)/100</f>
        <v/>
      </c>
      <c r="AH178" s="50">
        <f>IF(Q178="yes",AD178/1000,0)</f>
        <v/>
      </c>
      <c r="AI178" s="50">
        <f>IF(S178="FG2",AH178*X178,AH178)</f>
        <v/>
      </c>
    </row>
    <row r="179">
      <c r="A179" s="7" t="inlineStr">
        <is>
          <t>HM00251</t>
        </is>
      </c>
      <c r="B179" s="16" t="inlineStr">
        <is>
          <t>4012345280975</t>
        </is>
      </c>
      <c r="C179" s="7" t="inlineStr">
        <is>
          <t>HM HONEY ROAST HAM 400G</t>
        </is>
      </c>
      <c r="D179" s="7" t="inlineStr">
        <is>
          <t>Honey-roast ham, 400g</t>
        </is>
      </c>
      <c r="E179" s="7" t="inlineStr">
        <is>
          <t>Harbour Market</t>
        </is>
      </c>
      <c r="F179" s="7" t="inlineStr">
        <is>
          <t>Deli</t>
        </is>
      </c>
      <c r="G179" s="7" t="inlineStr">
        <is>
          <t>Cooked Meats</t>
        </is>
      </c>
      <c r="H179" s="7" t="inlineStr">
        <is>
          <t>yes</t>
        </is>
      </c>
      <c r="I179" s="7" t="inlineStr">
        <is>
          <t>Animal core</t>
        </is>
      </c>
      <c r="J179" s="7" t="inlineStr">
        <is>
          <t>Dishes and processed products</t>
        </is>
      </c>
      <c r="K179" s="7" t="inlineStr">
        <is>
          <t>A</t>
        </is>
      </c>
      <c r="L179" s="7" t="inlineStr">
        <is>
          <t>All ingredients on one side</t>
        </is>
      </c>
      <c r="M179" s="51" t="n">
        <v>18.2</v>
      </c>
      <c r="N179" s="7" t="inlineStr">
        <is>
          <t>Declared by the retailer</t>
        </is>
      </c>
      <c r="O179" s="54" t="n">
        <v>0</v>
      </c>
      <c r="P179" s="54" t="n">
        <v>18.2</v>
      </c>
      <c r="Q179" s="7" t="inlineStr">
        <is>
          <t>yes</t>
        </is>
      </c>
      <c r="R179" s="7" t="inlineStr">
        <is>
          <t>whole</t>
        </is>
      </c>
      <c r="S179" s="7" t="inlineStr">
        <is>
          <t>FG1</t>
        </is>
      </c>
      <c r="T179" s="7" t="inlineStr">
        <is>
          <t>Red meat</t>
        </is>
      </c>
      <c r="U179" s="7" t="inlineStr">
        <is>
          <t>animal</t>
        </is>
      </c>
      <c r="V179" s="7" t="n"/>
      <c r="W179" s="7" t="n"/>
      <c r="X179" s="55" t="n">
        <v>1</v>
      </c>
      <c r="Y179" s="50" t="n">
        <v>0.4</v>
      </c>
      <c r="Z179" s="7" t="inlineStr">
        <is>
          <t>declared</t>
        </is>
      </c>
      <c r="AA179" s="19">
        <f>IF(ISBLANK(Welcome!D205),"",Welcome!D205)</f>
        <v/>
      </c>
      <c r="AB179" s="29">
        <f>IF(ISBLANK(Welcome!E205),"",Welcome!E205)</f>
        <v/>
      </c>
      <c r="AC179" s="29">
        <f>IF(N(AB179)&gt;0,N(AB179),N(AA179)*Y179)</f>
        <v/>
      </c>
      <c r="AD179" s="29">
        <f>IF(H179="yes",AC179,0)</f>
        <v/>
      </c>
      <c r="AE179" s="29">
        <f>AD179*N(M179)/100</f>
        <v/>
      </c>
      <c r="AF179" s="29">
        <f>AD179*N(O179)/100</f>
        <v/>
      </c>
      <c r="AG179" s="29">
        <f>AD179*N(P179)/100</f>
        <v/>
      </c>
      <c r="AH179" s="50">
        <f>IF(Q179="yes",AD179/1000,0)</f>
        <v/>
      </c>
      <c r="AI179" s="50">
        <f>IF(S179="FG2",AH179*X179,AH179)</f>
        <v/>
      </c>
    </row>
    <row r="180">
      <c r="A180" s="7" t="inlineStr">
        <is>
          <t>HM00753</t>
        </is>
      </c>
      <c r="B180" s="16" t="inlineStr">
        <is>
          <t>5012345112954</t>
        </is>
      </c>
      <c r="C180" s="7" t="inlineStr">
        <is>
          <t>HM SWEETCORN COBS 500G</t>
        </is>
      </c>
      <c r="D180" s="7" t="inlineStr">
        <is>
          <t>Sweetcorn cobs, 500g</t>
        </is>
      </c>
      <c r="E180" s="7" t="inlineStr">
        <is>
          <t>Harbour Market</t>
        </is>
      </c>
      <c r="F180" s="7" t="inlineStr">
        <is>
          <t>Fruit &amp; Vegetables</t>
        </is>
      </c>
      <c r="G180" s="7" t="inlineStr">
        <is>
          <t>Vegetables</t>
        </is>
      </c>
      <c r="H180" s="7" t="inlineStr">
        <is>
          <t>yes</t>
        </is>
      </c>
      <c r="I180" s="7" t="inlineStr">
        <is>
          <t>Plant-based non-core</t>
        </is>
      </c>
      <c r="J180" s="7" t="inlineStr">
        <is>
          <t>Fruit and vegetables</t>
        </is>
      </c>
      <c r="K180" s="7" t="inlineStr">
        <is>
          <t>B</t>
        </is>
      </c>
      <c r="L180" s="7" t="inlineStr">
        <is>
          <t>Follows the class</t>
        </is>
      </c>
      <c r="M180" s="51" t="n">
        <v>3.3</v>
      </c>
      <c r="N180" s="7" t="inlineStr">
        <is>
          <t>Declared by the retailer</t>
        </is>
      </c>
      <c r="O180" s="54" t="n">
        <v>3.3</v>
      </c>
      <c r="P180" s="54" t="n">
        <v>0</v>
      </c>
      <c r="Q180" s="7" t="inlineStr">
        <is>
          <t>yes</t>
        </is>
      </c>
      <c r="R180" s="7" t="inlineStr">
        <is>
          <t>whole</t>
        </is>
      </c>
      <c r="S180" s="7" t="inlineStr">
        <is>
          <t>FG4</t>
        </is>
      </c>
      <c r="T180" s="7" t="n"/>
      <c r="U180" s="7" t="inlineStr">
        <is>
          <t>plant</t>
        </is>
      </c>
      <c r="V180" s="7" t="n"/>
      <c r="W180" s="7" t="n"/>
      <c r="X180" s="55" t="n">
        <v>1</v>
      </c>
      <c r="Y180" s="50" t="n">
        <v>0.5</v>
      </c>
      <c r="Z180" s="7" t="inlineStr">
        <is>
          <t>declared</t>
        </is>
      </c>
      <c r="AA180" s="19">
        <f>IF(ISBLANK(Welcome!D206),"",Welcome!D206)</f>
        <v/>
      </c>
      <c r="AB180" s="29">
        <f>IF(ISBLANK(Welcome!E206),"",Welcome!E206)</f>
        <v/>
      </c>
      <c r="AC180" s="29">
        <f>IF(N(AB180)&gt;0,N(AB180),N(AA180)*Y180)</f>
        <v/>
      </c>
      <c r="AD180" s="29">
        <f>IF(H180="yes",AC180,0)</f>
        <v/>
      </c>
      <c r="AE180" s="29">
        <f>AD180*N(M180)/100</f>
        <v/>
      </c>
      <c r="AF180" s="29">
        <f>AD180*N(O180)/100</f>
        <v/>
      </c>
      <c r="AG180" s="29">
        <f>AD180*N(P180)/100</f>
        <v/>
      </c>
      <c r="AH180" s="50">
        <f>IF(Q180="yes",AD180/1000,0)</f>
        <v/>
      </c>
      <c r="AI180" s="50">
        <f>IF(S180="FG2",AH180*X180,AH180)</f>
        <v/>
      </c>
    </row>
    <row r="181">
      <c r="A181" s="7" t="inlineStr">
        <is>
          <t>HM00625</t>
        </is>
      </c>
      <c r="B181" s="16" t="inlineStr">
        <is>
          <t>5012345236483</t>
        </is>
      </c>
      <c r="C181" s="7" t="inlineStr">
        <is>
          <t>BF BURGERS 4PK 400G TARROW</t>
        </is>
      </c>
      <c r="D181" s="7" t="inlineStr">
        <is>
          <t>Beef burgers, 4 pack, 400g</t>
        </is>
      </c>
      <c r="E181" s="7" t="inlineStr">
        <is>
          <t>Tarrow Farm</t>
        </is>
      </c>
      <c r="F181" s="7" t="inlineStr">
        <is>
          <t>Fresh Meat &amp; Poultry</t>
        </is>
      </c>
      <c r="G181" s="7" t="inlineStr">
        <is>
          <t>Sausages &amp; Burgers</t>
        </is>
      </c>
      <c r="H181" s="7" t="inlineStr">
        <is>
          <t>yes</t>
        </is>
      </c>
      <c r="I181" s="7" t="inlineStr">
        <is>
          <t>Animal core</t>
        </is>
      </c>
      <c r="J181" s="7" t="inlineStr">
        <is>
          <t>Dishes and processed products</t>
        </is>
      </c>
      <c r="K181" s="7" t="inlineStr">
        <is>
          <t>B</t>
        </is>
      </c>
      <c r="L181" s="7" t="inlineStr">
        <is>
          <t>First ingredient</t>
        </is>
      </c>
      <c r="M181" s="51" t="n">
        <v>14.6</v>
      </c>
      <c r="N181" s="7" t="inlineStr">
        <is>
          <t>Open Food Facts and NEVO, by EAN</t>
        </is>
      </c>
      <c r="O181" s="54" t="n">
        <v>0</v>
      </c>
      <c r="P181" s="54" t="n">
        <v>14.6</v>
      </c>
      <c r="Q181" s="7" t="inlineStr">
        <is>
          <t>yes</t>
        </is>
      </c>
      <c r="R181" s="7" t="inlineStr">
        <is>
          <t>whole</t>
        </is>
      </c>
      <c r="S181" s="7" t="inlineStr">
        <is>
          <t>FG1</t>
        </is>
      </c>
      <c r="T181" s="7" t="inlineStr">
        <is>
          <t>Red meat</t>
        </is>
      </c>
      <c r="U181" s="7" t="inlineStr">
        <is>
          <t>animal</t>
        </is>
      </c>
      <c r="V181" s="7" t="n"/>
      <c r="W181" s="7" t="n"/>
      <c r="X181" s="55" t="n">
        <v>1</v>
      </c>
      <c r="Y181" s="50" t="n">
        <v>0.4</v>
      </c>
      <c r="Z181" s="7" t="inlineStr">
        <is>
          <t>declared</t>
        </is>
      </c>
      <c r="AA181" s="19">
        <f>IF(ISBLANK(Welcome!D207),"",Welcome!D207)</f>
        <v/>
      </c>
      <c r="AB181" s="29">
        <f>IF(ISBLANK(Welcome!E207),"",Welcome!E207)</f>
        <v/>
      </c>
      <c r="AC181" s="29">
        <f>IF(N(AB181)&gt;0,N(AB181),N(AA181)*Y181)</f>
        <v/>
      </c>
      <c r="AD181" s="29">
        <f>IF(H181="yes",AC181,0)</f>
        <v/>
      </c>
      <c r="AE181" s="29">
        <f>AD181*N(M181)/100</f>
        <v/>
      </c>
      <c r="AF181" s="29">
        <f>AD181*N(O181)/100</f>
        <v/>
      </c>
      <c r="AG181" s="29">
        <f>AD181*N(P181)/100</f>
        <v/>
      </c>
      <c r="AH181" s="50">
        <f>IF(Q181="yes",AD181/1000,0)</f>
        <v/>
      </c>
      <c r="AI181" s="50">
        <f>IF(S181="FG2",AH181*X181,AH181)</f>
        <v/>
      </c>
    </row>
    <row r="182">
      <c r="A182" s="7" t="inlineStr">
        <is>
          <t>HM00706</t>
        </is>
      </c>
      <c r="B182" s="16" t="inlineStr">
        <is>
          <t>3012345149075</t>
        </is>
      </c>
      <c r="C182" s="7" t="inlineStr">
        <is>
          <t>HM CHKN THIGHS 500G</t>
        </is>
      </c>
      <c r="D182" s="7" t="inlineStr">
        <is>
          <t>Chicken thighs, 500g</t>
        </is>
      </c>
      <c r="E182" s="7" t="inlineStr">
        <is>
          <t>Harbour Market</t>
        </is>
      </c>
      <c r="F182" s="7" t="inlineStr">
        <is>
          <t>Fresh Meat &amp; Poultry</t>
        </is>
      </c>
      <c r="G182" s="7" t="inlineStr">
        <is>
          <t>Poultry</t>
        </is>
      </c>
      <c r="H182" s="7" t="inlineStr">
        <is>
          <t>yes</t>
        </is>
      </c>
      <c r="I182" s="7" t="inlineStr">
        <is>
          <t>Animal core</t>
        </is>
      </c>
      <c r="J182" s="7" t="inlineStr">
        <is>
          <t>Poultry</t>
        </is>
      </c>
      <c r="K182" s="7" t="inlineStr">
        <is>
          <t>A</t>
        </is>
      </c>
      <c r="L182" s="7" t="inlineStr">
        <is>
          <t>All ingredients on one side</t>
        </is>
      </c>
      <c r="M182" s="51" t="n">
        <v>18.5</v>
      </c>
      <c r="N182" s="7" t="inlineStr">
        <is>
          <t>Altera reference base</t>
        </is>
      </c>
      <c r="O182" s="54" t="n">
        <v>0</v>
      </c>
      <c r="P182" s="54" t="n">
        <v>18.5</v>
      </c>
      <c r="Q182" s="7" t="inlineStr">
        <is>
          <t>yes</t>
        </is>
      </c>
      <c r="R182" s="7" t="inlineStr">
        <is>
          <t>whole</t>
        </is>
      </c>
      <c r="S182" s="7" t="inlineStr">
        <is>
          <t>FG1</t>
        </is>
      </c>
      <c r="T182" s="7" t="inlineStr">
        <is>
          <t>Poultry</t>
        </is>
      </c>
      <c r="U182" s="7" t="inlineStr">
        <is>
          <t>animal</t>
        </is>
      </c>
      <c r="V182" s="7" t="n"/>
      <c r="W182" s="7" t="n"/>
      <c r="X182" s="55" t="n">
        <v>1</v>
      </c>
      <c r="Y182" s="50" t="n">
        <v>0.5</v>
      </c>
      <c r="Z182" s="7" t="inlineStr">
        <is>
          <t>declared</t>
        </is>
      </c>
      <c r="AA182" s="19">
        <f>IF(ISBLANK(Welcome!D208),"",Welcome!D208)</f>
        <v/>
      </c>
      <c r="AB182" s="29">
        <f>IF(ISBLANK(Welcome!E208),"",Welcome!E208)</f>
        <v/>
      </c>
      <c r="AC182" s="29">
        <f>IF(N(AB182)&gt;0,N(AB182),N(AA182)*Y182)</f>
        <v/>
      </c>
      <c r="AD182" s="29">
        <f>IF(H182="yes",AC182,0)</f>
        <v/>
      </c>
      <c r="AE182" s="29">
        <f>AD182*N(M182)/100</f>
        <v/>
      </c>
      <c r="AF182" s="29">
        <f>AD182*N(O182)/100</f>
        <v/>
      </c>
      <c r="AG182" s="29">
        <f>AD182*N(P182)/100</f>
        <v/>
      </c>
      <c r="AH182" s="50">
        <f>IF(Q182="yes",AD182/1000,0)</f>
        <v/>
      </c>
      <c r="AI182" s="50">
        <f>IF(S182="FG2",AH182*X182,AH182)</f>
        <v/>
      </c>
    </row>
    <row r="183">
      <c r="A183" s="7" t="inlineStr">
        <is>
          <t>HM00012</t>
        </is>
      </c>
      <c r="B183" s="16" t="inlineStr">
        <is>
          <t>5012345518169</t>
        </is>
      </c>
      <c r="C183" s="7" t="inlineStr">
        <is>
          <t>HM BF MINCE 20% 400G</t>
        </is>
      </c>
      <c r="D183" s="7" t="inlineStr">
        <is>
          <t>Beef mince, 20% fat, 400g</t>
        </is>
      </c>
      <c r="E183" s="7" t="inlineStr">
        <is>
          <t>Harbour Market</t>
        </is>
      </c>
      <c r="F183" s="7" t="inlineStr">
        <is>
          <t>Fresh Meat &amp; Poultry</t>
        </is>
      </c>
      <c r="G183" s="7" t="inlineStr">
        <is>
          <t>Beef</t>
        </is>
      </c>
      <c r="H183" s="7" t="inlineStr">
        <is>
          <t>yes</t>
        </is>
      </c>
      <c r="I183" s="7" t="inlineStr">
        <is>
          <t>Animal core</t>
        </is>
      </c>
      <c r="J183" s="7" t="inlineStr">
        <is>
          <t>Red meat</t>
        </is>
      </c>
      <c r="K183" s="7" t="inlineStr">
        <is>
          <t>A</t>
        </is>
      </c>
      <c r="L183" s="7" t="inlineStr">
        <is>
          <t>All ingredients on one side</t>
        </is>
      </c>
      <c r="M183" s="51" t="n">
        <v>17.8</v>
      </c>
      <c r="N183" s="7" t="inlineStr">
        <is>
          <t>Open Food Facts and NEVO, by EAN</t>
        </is>
      </c>
      <c r="O183" s="54" t="n">
        <v>0</v>
      </c>
      <c r="P183" s="54" t="n">
        <v>17.8</v>
      </c>
      <c r="Q183" s="7" t="inlineStr">
        <is>
          <t>yes</t>
        </is>
      </c>
      <c r="R183" s="7" t="inlineStr">
        <is>
          <t>whole</t>
        </is>
      </c>
      <c r="S183" s="7" t="inlineStr">
        <is>
          <t>FG1</t>
        </is>
      </c>
      <c r="T183" s="7" t="inlineStr">
        <is>
          <t>Red meat</t>
        </is>
      </c>
      <c r="U183" s="7" t="inlineStr">
        <is>
          <t>animal</t>
        </is>
      </c>
      <c r="V183" s="7" t="n"/>
      <c r="W183" s="7" t="n"/>
      <c r="X183" s="55" t="n">
        <v>1</v>
      </c>
      <c r="Y183" s="50" t="n">
        <v>0.4</v>
      </c>
      <c r="Z183" s="7" t="inlineStr">
        <is>
          <t>declared</t>
        </is>
      </c>
      <c r="AA183" s="19">
        <f>IF(ISBLANK(Welcome!D209),"",Welcome!D209)</f>
        <v/>
      </c>
      <c r="AB183" s="29">
        <f>IF(ISBLANK(Welcome!E209),"",Welcome!E209)</f>
        <v/>
      </c>
      <c r="AC183" s="29">
        <f>IF(N(AB183)&gt;0,N(AB183),N(AA183)*Y183)</f>
        <v/>
      </c>
      <c r="AD183" s="29">
        <f>IF(H183="yes",AC183,0)</f>
        <v/>
      </c>
      <c r="AE183" s="29">
        <f>AD183*N(M183)/100</f>
        <v/>
      </c>
      <c r="AF183" s="29">
        <f>AD183*N(O183)/100</f>
        <v/>
      </c>
      <c r="AG183" s="29">
        <f>AD183*N(P183)/100</f>
        <v/>
      </c>
      <c r="AH183" s="50">
        <f>IF(Q183="yes",AD183/1000,0)</f>
        <v/>
      </c>
      <c r="AI183" s="50">
        <f>IF(S183="FG2",AH183*X183,AH183)</f>
        <v/>
      </c>
    </row>
    <row r="184">
      <c r="A184" s="7" t="inlineStr">
        <is>
          <t>HM00527</t>
        </is>
      </c>
      <c r="B184" s="16" t="inlineStr">
        <is>
          <t>4012345573909</t>
        </is>
      </c>
      <c r="C184" s="7" t="inlineStr">
        <is>
          <t>HM SWEETCORN COBS 1KG</t>
        </is>
      </c>
      <c r="D184" s="7" t="inlineStr">
        <is>
          <t>Sweetcorn cobs, 1kg</t>
        </is>
      </c>
      <c r="E184" s="7" t="inlineStr">
        <is>
          <t>Harbour Market</t>
        </is>
      </c>
      <c r="F184" s="7" t="inlineStr">
        <is>
          <t>Fruit &amp; Vegetables</t>
        </is>
      </c>
      <c r="G184" s="7" t="inlineStr">
        <is>
          <t>Vegetables</t>
        </is>
      </c>
      <c r="H184" s="7" t="inlineStr">
        <is>
          <t>yes</t>
        </is>
      </c>
      <c r="I184" s="7" t="inlineStr">
        <is>
          <t>Plant-based non-core</t>
        </is>
      </c>
      <c r="J184" s="7" t="inlineStr">
        <is>
          <t>Fruit and vegetables</t>
        </is>
      </c>
      <c r="K184" s="7" t="inlineStr">
        <is>
          <t>B</t>
        </is>
      </c>
      <c r="L184" s="7" t="inlineStr">
        <is>
          <t>Follows the class</t>
        </is>
      </c>
      <c r="M184" s="51" t="n">
        <v>3.1</v>
      </c>
      <c r="N184" s="7" t="inlineStr">
        <is>
          <t>Altera reference base</t>
        </is>
      </c>
      <c r="O184" s="54" t="n">
        <v>3.1</v>
      </c>
      <c r="P184" s="54" t="n">
        <v>0</v>
      </c>
      <c r="Q184" s="7" t="inlineStr">
        <is>
          <t>yes</t>
        </is>
      </c>
      <c r="R184" s="7" t="inlineStr">
        <is>
          <t>whole</t>
        </is>
      </c>
      <c r="S184" s="7" t="inlineStr">
        <is>
          <t>FG4</t>
        </is>
      </c>
      <c r="T184" s="7" t="n"/>
      <c r="U184" s="7" t="inlineStr">
        <is>
          <t>plant</t>
        </is>
      </c>
      <c r="V184" s="7" t="n"/>
      <c r="W184" s="7" t="n"/>
      <c r="X184" s="55" t="n">
        <v>1</v>
      </c>
      <c r="Y184" s="50" t="n">
        <v>1</v>
      </c>
      <c r="Z184" s="7" t="inlineStr">
        <is>
          <t>declared</t>
        </is>
      </c>
      <c r="AA184" s="19">
        <f>IF(ISBLANK(Welcome!D210),"",Welcome!D210)</f>
        <v/>
      </c>
      <c r="AB184" s="29">
        <f>IF(ISBLANK(Welcome!E210),"",Welcome!E210)</f>
        <v/>
      </c>
      <c r="AC184" s="29">
        <f>IF(N(AB184)&gt;0,N(AB184),N(AA184)*Y184)</f>
        <v/>
      </c>
      <c r="AD184" s="29">
        <f>IF(H184="yes",AC184,0)</f>
        <v/>
      </c>
      <c r="AE184" s="29">
        <f>AD184*N(M184)/100</f>
        <v/>
      </c>
      <c r="AF184" s="29">
        <f>AD184*N(O184)/100</f>
        <v/>
      </c>
      <c r="AG184" s="29">
        <f>AD184*N(P184)/100</f>
        <v/>
      </c>
      <c r="AH184" s="50">
        <f>IF(Q184="yes",AD184/1000,0)</f>
        <v/>
      </c>
      <c r="AI184" s="50">
        <f>IF(S184="FG2",AH184*X184,AH184)</f>
        <v/>
      </c>
    </row>
    <row r="185">
      <c r="A185" s="7" t="inlineStr">
        <is>
          <t>HM00125</t>
        </is>
      </c>
      <c r="B185" s="16" t="inlineStr">
        <is>
          <t>5012345839035</t>
        </is>
      </c>
      <c r="C185" s="7" t="inlineStr">
        <is>
          <t>HM SKYR NAT 4X125G</t>
        </is>
      </c>
      <c r="D185" s="7" t="inlineStr">
        <is>
          <t>Natural skyr, 4x125g</t>
        </is>
      </c>
      <c r="E185" s="7" t="inlineStr">
        <is>
          <t>Harbour Market</t>
        </is>
      </c>
      <c r="F185" s="7" t="inlineStr">
        <is>
          <t>Dairy &amp; Eggs</t>
        </is>
      </c>
      <c r="G185" s="7" t="inlineStr">
        <is>
          <t>Yoghurt</t>
        </is>
      </c>
      <c r="H185" s="7" t="inlineStr">
        <is>
          <t>yes</t>
        </is>
      </c>
      <c r="I185" s="7" t="inlineStr">
        <is>
          <t>Animal core</t>
        </is>
      </c>
      <c r="J185" s="7" t="inlineStr">
        <is>
          <t>Milk, yoghurt and cream</t>
        </is>
      </c>
      <c r="K185" s="7" t="inlineStr">
        <is>
          <t>B</t>
        </is>
      </c>
      <c r="L185" s="7" t="inlineStr">
        <is>
          <t>Follows the class</t>
        </is>
      </c>
      <c r="M185" s="51" t="n">
        <v>11.5</v>
      </c>
      <c r="N185" s="7" t="inlineStr">
        <is>
          <t>Open Food Facts and NEVO, by EAN</t>
        </is>
      </c>
      <c r="O185" s="54" t="n">
        <v>0</v>
      </c>
      <c r="P185" s="54" t="n">
        <v>11.5</v>
      </c>
      <c r="Q185" s="7" t="inlineStr">
        <is>
          <t>yes</t>
        </is>
      </c>
      <c r="R185" s="7" t="inlineStr">
        <is>
          <t>whole</t>
        </is>
      </c>
      <c r="S185" s="7" t="inlineStr">
        <is>
          <t>FG2</t>
        </is>
      </c>
      <c r="T185" s="7" t="inlineStr">
        <is>
          <t>Dairy</t>
        </is>
      </c>
      <c r="U185" s="7" t="inlineStr">
        <is>
          <t>animal</t>
        </is>
      </c>
      <c r="V185" s="7" t="n"/>
      <c r="W185" s="7" t="n"/>
      <c r="X185" s="55" t="n">
        <v>1</v>
      </c>
      <c r="Y185" s="50" t="n">
        <v>0.5</v>
      </c>
      <c r="Z185" s="7" t="inlineStr">
        <is>
          <t>declared</t>
        </is>
      </c>
      <c r="AA185" s="19">
        <f>IF(ISBLANK(Welcome!D211),"",Welcome!D211)</f>
        <v/>
      </c>
      <c r="AB185" s="29">
        <f>IF(ISBLANK(Welcome!E211),"",Welcome!E211)</f>
        <v/>
      </c>
      <c r="AC185" s="29">
        <f>IF(N(AB185)&gt;0,N(AB185),N(AA185)*Y185)</f>
        <v/>
      </c>
      <c r="AD185" s="29">
        <f>IF(H185="yes",AC185,0)</f>
        <v/>
      </c>
      <c r="AE185" s="29">
        <f>AD185*N(M185)/100</f>
        <v/>
      </c>
      <c r="AF185" s="29">
        <f>AD185*N(O185)/100</f>
        <v/>
      </c>
      <c r="AG185" s="29">
        <f>AD185*N(P185)/100</f>
        <v/>
      </c>
      <c r="AH185" s="50">
        <f>IF(Q185="yes",AD185/1000,0)</f>
        <v/>
      </c>
      <c r="AI185" s="50">
        <f>IF(S185="FG2",AH185*X185,AH185)</f>
        <v/>
      </c>
    </row>
    <row r="186">
      <c r="A186" s="7" t="inlineStr">
        <is>
          <t>HM00393</t>
        </is>
      </c>
      <c r="B186" s="16" t="inlineStr">
        <is>
          <t>8712345592011</t>
        </is>
      </c>
      <c r="C186" s="7" t="inlineStr">
        <is>
          <t>SEMI SKMD MILK 500ML FJELDA</t>
        </is>
      </c>
      <c r="D186" s="7" t="inlineStr">
        <is>
          <t>Semi-skimmed milk, 500ml</t>
        </is>
      </c>
      <c r="E186" s="7" t="inlineStr">
        <is>
          <t>Fjelda</t>
        </is>
      </c>
      <c r="F186" s="7" t="inlineStr">
        <is>
          <t>Dairy &amp; Eggs</t>
        </is>
      </c>
      <c r="G186" s="7" t="inlineStr">
        <is>
          <t>Milk</t>
        </is>
      </c>
      <c r="H186" s="7" t="inlineStr">
        <is>
          <t>yes</t>
        </is>
      </c>
      <c r="I186" s="7" t="inlineStr">
        <is>
          <t>Animal core</t>
        </is>
      </c>
      <c r="J186" s="7" t="inlineStr">
        <is>
          <t>Milk, yoghurt and cream</t>
        </is>
      </c>
      <c r="K186" s="7" t="inlineStr">
        <is>
          <t>A</t>
        </is>
      </c>
      <c r="L186" s="7" t="inlineStr">
        <is>
          <t>All ingredients on one side</t>
        </is>
      </c>
      <c r="M186" s="51" t="n">
        <v>3.5</v>
      </c>
      <c r="N186" s="7" t="inlineStr">
        <is>
          <t>Altera reference base</t>
        </is>
      </c>
      <c r="O186" s="54" t="n">
        <v>0</v>
      </c>
      <c r="P186" s="54" t="n">
        <v>3.5</v>
      </c>
      <c r="Q186" s="7" t="inlineStr">
        <is>
          <t>yes</t>
        </is>
      </c>
      <c r="R186" s="7" t="inlineStr">
        <is>
          <t>whole</t>
        </is>
      </c>
      <c r="S186" s="7" t="inlineStr">
        <is>
          <t>FG2</t>
        </is>
      </c>
      <c r="T186" s="7" t="inlineStr">
        <is>
          <t>Dairy</t>
        </is>
      </c>
      <c r="U186" s="7" t="inlineStr">
        <is>
          <t>animal</t>
        </is>
      </c>
      <c r="V186" s="7" t="n"/>
      <c r="W186" s="7" t="n"/>
      <c r="X186" s="55" t="n">
        <v>1</v>
      </c>
      <c r="Y186" s="50" t="n">
        <v>0.515</v>
      </c>
      <c r="Z186" s="7" t="inlineStr">
        <is>
          <t>declared</t>
        </is>
      </c>
      <c r="AA186" s="19">
        <f>IF(ISBLANK(Welcome!D212),"",Welcome!D212)</f>
        <v/>
      </c>
      <c r="AB186" s="29">
        <f>IF(ISBLANK(Welcome!E212),"",Welcome!E212)</f>
        <v/>
      </c>
      <c r="AC186" s="29">
        <f>IF(N(AB186)&gt;0,N(AB186),N(AA186)*Y186)</f>
        <v/>
      </c>
      <c r="AD186" s="29">
        <f>IF(H186="yes",AC186,0)</f>
        <v/>
      </c>
      <c r="AE186" s="29">
        <f>AD186*N(M186)/100</f>
        <v/>
      </c>
      <c r="AF186" s="29">
        <f>AD186*N(O186)/100</f>
        <v/>
      </c>
      <c r="AG186" s="29">
        <f>AD186*N(P186)/100</f>
        <v/>
      </c>
      <c r="AH186" s="50">
        <f>IF(Q186="yes",AD186/1000,0)</f>
        <v/>
      </c>
      <c r="AI186" s="50">
        <f>IF(S186="FG2",AH186*X186,AH186)</f>
        <v/>
      </c>
    </row>
    <row r="187">
      <c r="A187" s="7" t="inlineStr">
        <is>
          <t>HM00105</t>
        </is>
      </c>
      <c r="B187" s="16" t="inlineStr">
        <is>
          <t>8712345465155</t>
        </is>
      </c>
      <c r="C187" s="7" t="inlineStr">
        <is>
          <t>ALMOND DRINK 1L SOLVANE</t>
        </is>
      </c>
      <c r="D187" s="7" t="inlineStr">
        <is>
          <t>Almond drink, 1l</t>
        </is>
      </c>
      <c r="E187" s="7" t="inlineStr">
        <is>
          <t>Solvane</t>
        </is>
      </c>
      <c r="F187" s="7" t="inlineStr">
        <is>
          <t>Plant-Based</t>
        </is>
      </c>
      <c r="G187" s="7" t="inlineStr">
        <is>
          <t>Plant Drinks</t>
        </is>
      </c>
      <c r="H187" s="7" t="inlineStr">
        <is>
          <t>yes</t>
        </is>
      </c>
      <c r="I187" s="7" t="inlineStr">
        <is>
          <t>Plant-based core</t>
        </is>
      </c>
      <c r="J187" s="7" t="inlineStr">
        <is>
          <t>Plant-based dairy alternatives</t>
        </is>
      </c>
      <c r="K187" s="7" t="inlineStr">
        <is>
          <t>B</t>
        </is>
      </c>
      <c r="L187" s="7" t="inlineStr">
        <is>
          <t>Follows the class</t>
        </is>
      </c>
      <c r="M187" s="51" t="n">
        <v>0.52</v>
      </c>
      <c r="N187" s="7" t="inlineStr">
        <is>
          <t>National food table (CIQUAL in France)</t>
        </is>
      </c>
      <c r="O187" s="54" t="n">
        <v>0.52</v>
      </c>
      <c r="P187" s="54" t="n">
        <v>0</v>
      </c>
      <c r="Q187" s="7" t="inlineStr">
        <is>
          <t>yes</t>
        </is>
      </c>
      <c r="R187" s="7" t="inlineStr">
        <is>
          <t>whole</t>
        </is>
      </c>
      <c r="S187" s="7" t="inlineStr">
        <is>
          <t>FG2</t>
        </is>
      </c>
      <c r="T187" s="7" t="inlineStr">
        <is>
          <t>Dairy alternatives</t>
        </is>
      </c>
      <c r="U187" s="7" t="inlineStr">
        <is>
          <t>plant</t>
        </is>
      </c>
      <c r="V187" s="7" t="n"/>
      <c r="W187" s="7" t="n"/>
      <c r="X187" s="55" t="n">
        <v>1</v>
      </c>
      <c r="Y187" s="50" t="n">
        <v>1.03</v>
      </c>
      <c r="Z187" s="7" t="inlineStr">
        <is>
          <t>declared</t>
        </is>
      </c>
      <c r="AA187" s="19">
        <f>IF(ISBLANK(Welcome!D213),"",Welcome!D213)</f>
        <v/>
      </c>
      <c r="AB187" s="29">
        <f>IF(ISBLANK(Welcome!E213),"",Welcome!E213)</f>
        <v/>
      </c>
      <c r="AC187" s="29">
        <f>IF(N(AB187)&gt;0,N(AB187),N(AA187)*Y187)</f>
        <v/>
      </c>
      <c r="AD187" s="29">
        <f>IF(H187="yes",AC187,0)</f>
        <v/>
      </c>
      <c r="AE187" s="29">
        <f>AD187*N(M187)/100</f>
        <v/>
      </c>
      <c r="AF187" s="29">
        <f>AD187*N(O187)/100</f>
        <v/>
      </c>
      <c r="AG187" s="29">
        <f>AD187*N(P187)/100</f>
        <v/>
      </c>
      <c r="AH187" s="50">
        <f>IF(Q187="yes",AD187/1000,0)</f>
        <v/>
      </c>
      <c r="AI187" s="50">
        <f>IF(S187="FG2",AH187*X187,AH187)</f>
        <v/>
      </c>
    </row>
    <row r="188">
      <c r="A188" s="7" t="inlineStr">
        <is>
          <t>HM00528</t>
        </is>
      </c>
      <c r="B188" s="16" t="inlineStr">
        <is>
          <t>8712345582647</t>
        </is>
      </c>
      <c r="C188" s="7" t="inlineStr">
        <is>
          <t>HM BROWN ONIONS 500G</t>
        </is>
      </c>
      <c r="D188" s="7" t="inlineStr">
        <is>
          <t>Brown onions, 500g</t>
        </is>
      </c>
      <c r="E188" s="7" t="inlineStr">
        <is>
          <t>Harbour Market</t>
        </is>
      </c>
      <c r="F188" s="7" t="inlineStr">
        <is>
          <t>Fruit &amp; Vegetables</t>
        </is>
      </c>
      <c r="G188" s="7" t="inlineStr">
        <is>
          <t>Vegetables</t>
        </is>
      </c>
      <c r="H188" s="7" t="inlineStr">
        <is>
          <t>yes</t>
        </is>
      </c>
      <c r="I188" s="7" t="inlineStr">
        <is>
          <t>Plant-based non-core</t>
        </is>
      </c>
      <c r="J188" s="7" t="inlineStr">
        <is>
          <t>Fruit and vegetables</t>
        </is>
      </c>
      <c r="K188" s="7" t="inlineStr">
        <is>
          <t>B</t>
        </is>
      </c>
      <c r="L188" s="7" t="inlineStr">
        <is>
          <t>Follows the class</t>
        </is>
      </c>
      <c r="M188" s="51" t="n">
        <v>1</v>
      </c>
      <c r="N188" s="7" t="inlineStr">
        <is>
          <t>National food table (CIQUAL in France)</t>
        </is>
      </c>
      <c r="O188" s="54" t="n">
        <v>1</v>
      </c>
      <c r="P188" s="54" t="n">
        <v>0</v>
      </c>
      <c r="Q188" s="7" t="inlineStr">
        <is>
          <t>yes</t>
        </is>
      </c>
      <c r="R188" s="7" t="inlineStr">
        <is>
          <t>whole</t>
        </is>
      </c>
      <c r="S188" s="7" t="inlineStr">
        <is>
          <t>FG4</t>
        </is>
      </c>
      <c r="T188" s="7" t="n"/>
      <c r="U188" s="7" t="inlineStr">
        <is>
          <t>plant</t>
        </is>
      </c>
      <c r="V188" s="7" t="n"/>
      <c r="W188" s="7" t="n"/>
      <c r="X188" s="55" t="n">
        <v>1</v>
      </c>
      <c r="Y188" s="50" t="n">
        <v>0.5</v>
      </c>
      <c r="Z188" s="7" t="inlineStr">
        <is>
          <t>declared</t>
        </is>
      </c>
      <c r="AA188" s="19">
        <f>IF(ISBLANK(Welcome!D214),"",Welcome!D214)</f>
        <v/>
      </c>
      <c r="AB188" s="29">
        <f>IF(ISBLANK(Welcome!E214),"",Welcome!E214)</f>
        <v/>
      </c>
      <c r="AC188" s="29">
        <f>IF(N(AB188)&gt;0,N(AB188),N(AA188)*Y188)</f>
        <v/>
      </c>
      <c r="AD188" s="29">
        <f>IF(H188="yes",AC188,0)</f>
        <v/>
      </c>
      <c r="AE188" s="29">
        <f>AD188*N(M188)/100</f>
        <v/>
      </c>
      <c r="AF188" s="29">
        <f>AD188*N(O188)/100</f>
        <v/>
      </c>
      <c r="AG188" s="29">
        <f>AD188*N(P188)/100</f>
        <v/>
      </c>
      <c r="AH188" s="50">
        <f>IF(Q188="yes",AD188/1000,0)</f>
        <v/>
      </c>
      <c r="AI188" s="50">
        <f>IF(S188="FG2",AH188*X188,AH188)</f>
        <v/>
      </c>
    </row>
    <row r="189">
      <c r="A189" s="7" t="inlineStr">
        <is>
          <t>HM00719</t>
        </is>
      </c>
      <c r="B189" s="16" t="inlineStr">
        <is>
          <t>4012345565560</t>
        </is>
      </c>
      <c r="C189" s="7" t="inlineStr">
        <is>
          <t>ALMOND DRINK 6X1L SOLVANE</t>
        </is>
      </c>
      <c r="D189" s="7" t="inlineStr">
        <is>
          <t>Almond drink, 6x1l</t>
        </is>
      </c>
      <c r="E189" s="7" t="inlineStr">
        <is>
          <t>Solvane</t>
        </is>
      </c>
      <c r="F189" s="7" t="inlineStr">
        <is>
          <t>Plant-Based</t>
        </is>
      </c>
      <c r="G189" s="7" t="inlineStr">
        <is>
          <t>Plant Drinks</t>
        </is>
      </c>
      <c r="H189" s="7" t="inlineStr">
        <is>
          <t>yes</t>
        </is>
      </c>
      <c r="I189" s="7" t="inlineStr">
        <is>
          <t>Plant-based core</t>
        </is>
      </c>
      <c r="J189" s="7" t="inlineStr">
        <is>
          <t>Plant-based dairy alternatives</t>
        </is>
      </c>
      <c r="K189" s="7" t="inlineStr">
        <is>
          <t>A</t>
        </is>
      </c>
      <c r="L189" s="7" t="inlineStr">
        <is>
          <t>All ingredients on one side</t>
        </is>
      </c>
      <c r="M189" s="51" t="n">
        <v>0.48</v>
      </c>
      <c r="N189" s="7" t="inlineStr">
        <is>
          <t>Declared by the retailer</t>
        </is>
      </c>
      <c r="O189" s="54" t="n">
        <v>0.48</v>
      </c>
      <c r="P189" s="54" t="n">
        <v>0</v>
      </c>
      <c r="Q189" s="7" t="inlineStr">
        <is>
          <t>yes</t>
        </is>
      </c>
      <c r="R189" s="7" t="inlineStr">
        <is>
          <t>whole</t>
        </is>
      </c>
      <c r="S189" s="7" t="inlineStr">
        <is>
          <t>FG2</t>
        </is>
      </c>
      <c r="T189" s="7" t="inlineStr">
        <is>
          <t>Dairy alternatives</t>
        </is>
      </c>
      <c r="U189" s="7" t="inlineStr">
        <is>
          <t>plant</t>
        </is>
      </c>
      <c r="V189" s="7" t="n"/>
      <c r="W189" s="7" t="n"/>
      <c r="X189" s="55" t="n">
        <v>1</v>
      </c>
      <c r="Y189" s="50" t="n">
        <v>6.18</v>
      </c>
      <c r="Z189" s="7" t="inlineStr">
        <is>
          <t>declared</t>
        </is>
      </c>
      <c r="AA189" s="19">
        <f>IF(ISBLANK(Welcome!D215),"",Welcome!D215)</f>
        <v/>
      </c>
      <c r="AB189" s="29">
        <f>IF(ISBLANK(Welcome!E215),"",Welcome!E215)</f>
        <v/>
      </c>
      <c r="AC189" s="29">
        <f>IF(N(AB189)&gt;0,N(AB189),N(AA189)*Y189)</f>
        <v/>
      </c>
      <c r="AD189" s="29">
        <f>IF(H189="yes",AC189,0)</f>
        <v/>
      </c>
      <c r="AE189" s="29">
        <f>AD189*N(M189)/100</f>
        <v/>
      </c>
      <c r="AF189" s="29">
        <f>AD189*N(O189)/100</f>
        <v/>
      </c>
      <c r="AG189" s="29">
        <f>AD189*N(P189)/100</f>
        <v/>
      </c>
      <c r="AH189" s="50">
        <f>IF(Q189="yes",AD189/1000,0)</f>
        <v/>
      </c>
      <c r="AI189" s="50">
        <f>IF(S189="FG2",AH189*X189,AH189)</f>
        <v/>
      </c>
    </row>
    <row r="190">
      <c r="A190" s="7" t="inlineStr">
        <is>
          <t>HM00549</t>
        </is>
      </c>
      <c r="B190" s="16" t="inlineStr">
        <is>
          <t>5012345090108</t>
        </is>
      </c>
      <c r="C190" s="7" t="inlineStr">
        <is>
          <t>BF RUMP STK 300G TARROW</t>
        </is>
      </c>
      <c r="D190" s="7" t="inlineStr">
        <is>
          <t>Beef rump steak, 300g</t>
        </is>
      </c>
      <c r="E190" s="7" t="inlineStr">
        <is>
          <t>Tarrow Farm</t>
        </is>
      </c>
      <c r="F190" s="7" t="inlineStr">
        <is>
          <t>Fresh Meat &amp; Poultry</t>
        </is>
      </c>
      <c r="G190" s="7" t="inlineStr">
        <is>
          <t>Beef</t>
        </is>
      </c>
      <c r="H190" s="7" t="inlineStr">
        <is>
          <t>yes</t>
        </is>
      </c>
      <c r="I190" s="7" t="inlineStr">
        <is>
          <t>Animal core</t>
        </is>
      </c>
      <c r="J190" s="7" t="inlineStr">
        <is>
          <t>Red meat</t>
        </is>
      </c>
      <c r="K190" s="7" t="inlineStr">
        <is>
          <t>B</t>
        </is>
      </c>
      <c r="L190" s="7" t="inlineStr">
        <is>
          <t>Follows the class</t>
        </is>
      </c>
      <c r="M190" s="51" t="n">
        <v>20.9</v>
      </c>
      <c r="N190" s="7" t="inlineStr">
        <is>
          <t>Declared by the retailer</t>
        </is>
      </c>
      <c r="O190" s="54" t="n">
        <v>0</v>
      </c>
      <c r="P190" s="54" t="n">
        <v>20.9</v>
      </c>
      <c r="Q190" s="7" t="inlineStr">
        <is>
          <t>yes</t>
        </is>
      </c>
      <c r="R190" s="7" t="inlineStr">
        <is>
          <t>whole</t>
        </is>
      </c>
      <c r="S190" s="7" t="inlineStr">
        <is>
          <t>FG1</t>
        </is>
      </c>
      <c r="T190" s="7" t="inlineStr">
        <is>
          <t>Red meat</t>
        </is>
      </c>
      <c r="U190" s="7" t="inlineStr">
        <is>
          <t>animal</t>
        </is>
      </c>
      <c r="V190" s="7" t="n"/>
      <c r="W190" s="7" t="n"/>
      <c r="X190" s="55" t="n">
        <v>1</v>
      </c>
      <c r="Y190" s="50" t="n">
        <v>0.3</v>
      </c>
      <c r="Z190" s="7" t="inlineStr">
        <is>
          <t>declared</t>
        </is>
      </c>
      <c r="AA190" s="19">
        <f>IF(ISBLANK(Welcome!D216),"",Welcome!D216)</f>
        <v/>
      </c>
      <c r="AB190" s="29">
        <f>IF(ISBLANK(Welcome!E216),"",Welcome!E216)</f>
        <v/>
      </c>
      <c r="AC190" s="29">
        <f>IF(N(AB190)&gt;0,N(AB190),N(AA190)*Y190)</f>
        <v/>
      </c>
      <c r="AD190" s="29">
        <f>IF(H190="yes",AC190,0)</f>
        <v/>
      </c>
      <c r="AE190" s="29">
        <f>AD190*N(M190)/100</f>
        <v/>
      </c>
      <c r="AF190" s="29">
        <f>AD190*N(O190)/100</f>
        <v/>
      </c>
      <c r="AG190" s="29">
        <f>AD190*N(P190)/100</f>
        <v/>
      </c>
      <c r="AH190" s="50">
        <f>IF(Q190="yes",AD190/1000,0)</f>
        <v/>
      </c>
      <c r="AI190" s="50">
        <f>IF(S190="FG2",AH190*X190,AH190)</f>
        <v/>
      </c>
    </row>
    <row r="191">
      <c r="A191" s="7" t="inlineStr">
        <is>
          <t>HM00640</t>
        </is>
      </c>
      <c r="B191" s="16" t="inlineStr">
        <is>
          <t>4012345889628</t>
        </is>
      </c>
      <c r="C191" s="7" t="inlineStr">
        <is>
          <t>OVEN CHIPS 750G PENROCK</t>
        </is>
      </c>
      <c r="D191" s="7" t="inlineStr">
        <is>
          <t>Oven chips, 750g</t>
        </is>
      </c>
      <c r="E191" s="7" t="inlineStr">
        <is>
          <t>Penrock</t>
        </is>
      </c>
      <c r="F191" s="7" t="inlineStr">
        <is>
          <t>Frozen</t>
        </is>
      </c>
      <c r="G191" s="7" t="inlineStr">
        <is>
          <t>Frozen Potatoes</t>
        </is>
      </c>
      <c r="H191" s="7" t="inlineStr">
        <is>
          <t>yes</t>
        </is>
      </c>
      <c r="I191" s="7" t="inlineStr">
        <is>
          <t>Plant-based non-core</t>
        </is>
      </c>
      <c r="J191" s="7" t="inlineStr">
        <is>
          <t>Discretionary products</t>
        </is>
      </c>
      <c r="K191" s="7" t="inlineStr">
        <is>
          <t>A</t>
        </is>
      </c>
      <c r="L191" s="7" t="inlineStr">
        <is>
          <t>All ingredients on one side</t>
        </is>
      </c>
      <c r="M191" s="51" t="n">
        <v>2.6</v>
      </c>
      <c r="N191" s="7" t="inlineStr">
        <is>
          <t>Declared by the retailer</t>
        </is>
      </c>
      <c r="O191" s="54" t="n">
        <v>2.6</v>
      </c>
      <c r="P191" s="54" t="n">
        <v>0</v>
      </c>
      <c r="Q191" s="7" t="inlineStr">
        <is>
          <t>yes</t>
        </is>
      </c>
      <c r="R191" s="7" t="inlineStr">
        <is>
          <t>whole</t>
        </is>
      </c>
      <c r="S191" s="7" t="inlineStr">
        <is>
          <t>FG7</t>
        </is>
      </c>
      <c r="T191" s="7" t="n"/>
      <c r="U191" s="7" t="inlineStr">
        <is>
          <t>plant</t>
        </is>
      </c>
      <c r="V191" s="7" t="n"/>
      <c r="W191" s="7" t="n"/>
      <c r="X191" s="55" t="n">
        <v>1</v>
      </c>
      <c r="Y191" s="50" t="n">
        <v>0.75</v>
      </c>
      <c r="Z191" s="7" t="inlineStr">
        <is>
          <t>declared</t>
        </is>
      </c>
      <c r="AA191" s="19">
        <f>IF(ISBLANK(Welcome!D217),"",Welcome!D217)</f>
        <v/>
      </c>
      <c r="AB191" s="29">
        <f>IF(ISBLANK(Welcome!E217),"",Welcome!E217)</f>
        <v/>
      </c>
      <c r="AC191" s="29">
        <f>IF(N(AB191)&gt;0,N(AB191),N(AA191)*Y191)</f>
        <v/>
      </c>
      <c r="AD191" s="29">
        <f>IF(H191="yes",AC191,0)</f>
        <v/>
      </c>
      <c r="AE191" s="29">
        <f>AD191*N(M191)/100</f>
        <v/>
      </c>
      <c r="AF191" s="29">
        <f>AD191*N(O191)/100</f>
        <v/>
      </c>
      <c r="AG191" s="29">
        <f>AD191*N(P191)/100</f>
        <v/>
      </c>
      <c r="AH191" s="50">
        <f>IF(Q191="yes",AD191/1000,0)</f>
        <v/>
      </c>
      <c r="AI191" s="50">
        <f>IF(S191="FG2",AH191*X191,AH191)</f>
        <v/>
      </c>
    </row>
    <row r="192">
      <c r="A192" s="7" t="inlineStr">
        <is>
          <t>HM00242</t>
        </is>
      </c>
      <c r="B192" s="16" t="inlineStr">
        <is>
          <t>8712345760045</t>
        </is>
      </c>
      <c r="C192" s="7" t="inlineStr">
        <is>
          <t>HM ORANGES 6PK</t>
        </is>
      </c>
      <c r="D192" s="7" t="inlineStr">
        <is>
          <t>Oranges, 6pk</t>
        </is>
      </c>
      <c r="E192" s="7" t="inlineStr">
        <is>
          <t>Harbour Market</t>
        </is>
      </c>
      <c r="F192" s="7" t="inlineStr">
        <is>
          <t>Fruit &amp; Vegetables</t>
        </is>
      </c>
      <c r="G192" s="7" t="inlineStr">
        <is>
          <t>Fruit</t>
        </is>
      </c>
      <c r="H192" s="7" t="inlineStr">
        <is>
          <t>yes</t>
        </is>
      </c>
      <c r="I192" s="7" t="inlineStr">
        <is>
          <t>Plant-based non-core</t>
        </is>
      </c>
      <c r="J192" s="7" t="inlineStr">
        <is>
          <t>Fruit and vegetables</t>
        </is>
      </c>
      <c r="K192" s="7" t="inlineStr">
        <is>
          <t>B</t>
        </is>
      </c>
      <c r="L192" s="7" t="inlineStr">
        <is>
          <t>Follows the class</t>
        </is>
      </c>
      <c r="M192" s="51" t="n">
        <v>0.93</v>
      </c>
      <c r="N192" s="7" t="inlineStr">
        <is>
          <t>Median of the family</t>
        </is>
      </c>
      <c r="O192" s="54" t="n">
        <v>0.93</v>
      </c>
      <c r="P192" s="54" t="n">
        <v>0</v>
      </c>
      <c r="Q192" s="7" t="inlineStr">
        <is>
          <t>yes</t>
        </is>
      </c>
      <c r="R192" s="7" t="inlineStr">
        <is>
          <t>whole</t>
        </is>
      </c>
      <c r="S192" s="7" t="inlineStr">
        <is>
          <t>FG4</t>
        </is>
      </c>
      <c r="T192" s="7" t="n"/>
      <c r="U192" s="7" t="inlineStr">
        <is>
          <t>plant</t>
        </is>
      </c>
      <c r="V192" s="7" t="n"/>
      <c r="W192" s="7" t="n"/>
      <c r="X192" s="55" t="n">
        <v>1</v>
      </c>
      <c r="Y192" s="50" t="n">
        <v>0.9</v>
      </c>
      <c r="Z192" s="7" t="inlineStr">
        <is>
          <t>declared</t>
        </is>
      </c>
      <c r="AA192" s="19">
        <f>IF(ISBLANK(Welcome!D218),"",Welcome!D218)</f>
        <v/>
      </c>
      <c r="AB192" s="29">
        <f>IF(ISBLANK(Welcome!E218),"",Welcome!E218)</f>
        <v/>
      </c>
      <c r="AC192" s="29">
        <f>IF(N(AB192)&gt;0,N(AB192),N(AA192)*Y192)</f>
        <v/>
      </c>
      <c r="AD192" s="29">
        <f>IF(H192="yes",AC192,0)</f>
        <v/>
      </c>
      <c r="AE192" s="29">
        <f>AD192*N(M192)/100</f>
        <v/>
      </c>
      <c r="AF192" s="29">
        <f>AD192*N(O192)/100</f>
        <v/>
      </c>
      <c r="AG192" s="29">
        <f>AD192*N(P192)/100</f>
        <v/>
      </c>
      <c r="AH192" s="50">
        <f>IF(Q192="yes",AD192/1000,0)</f>
        <v/>
      </c>
      <c r="AI192" s="50">
        <f>IF(S192="FG2",AH192*X192,AH192)</f>
        <v/>
      </c>
    </row>
    <row r="193">
      <c r="A193" s="7" t="inlineStr">
        <is>
          <t>HM00184</t>
        </is>
      </c>
      <c r="B193" s="16" t="inlineStr">
        <is>
          <t>5012345844220</t>
        </is>
      </c>
      <c r="C193" s="7" t="inlineStr">
        <is>
          <t>HM ROSE WINE 1.5L</t>
        </is>
      </c>
      <c r="D193" s="7" t="inlineStr">
        <is>
          <t>Rosé wine, 1.5l</t>
        </is>
      </c>
      <c r="E193" s="7" t="inlineStr">
        <is>
          <t>Harbour Market</t>
        </is>
      </c>
      <c r="F193" s="7" t="inlineStr">
        <is>
          <t>Beer, Wine &amp; Spirits</t>
        </is>
      </c>
      <c r="G193" s="7" t="inlineStr">
        <is>
          <t>Wine</t>
        </is>
      </c>
      <c r="H193" s="7" t="inlineStr">
        <is>
          <t>yes</t>
        </is>
      </c>
      <c r="I193" s="7" t="inlineStr">
        <is>
          <t>Plant-based non-core</t>
        </is>
      </c>
      <c r="J193" s="7" t="inlineStr">
        <is>
          <t>Outside the WWF scope</t>
        </is>
      </c>
      <c r="K193" s="7" t="inlineStr">
        <is>
          <t>A</t>
        </is>
      </c>
      <c r="L193" s="7" t="inlineStr">
        <is>
          <t>All ingredients on one side</t>
        </is>
      </c>
      <c r="M193" s="51" t="n">
        <v>0.1</v>
      </c>
      <c r="N193" s="7" t="inlineStr">
        <is>
          <t>Altera reference base</t>
        </is>
      </c>
      <c r="O193" s="54" t="n">
        <v>0.1</v>
      </c>
      <c r="P193" s="54" t="n">
        <v>0</v>
      </c>
      <c r="Q193" s="7" t="inlineStr">
        <is>
          <t>no</t>
        </is>
      </c>
      <c r="R193" s="7" t="n"/>
      <c r="S193" s="7" t="n"/>
      <c r="T193" s="7" t="n"/>
      <c r="U193" s="7" t="n"/>
      <c r="V193" s="7" t="n"/>
      <c r="W193" s="7" t="inlineStr">
        <is>
          <t>alcohol</t>
        </is>
      </c>
      <c r="X193" s="55" t="n">
        <v>1</v>
      </c>
      <c r="Y193" s="50" t="n">
        <v>1.5</v>
      </c>
      <c r="Z193" s="7" t="inlineStr">
        <is>
          <t>declared</t>
        </is>
      </c>
      <c r="AA193" s="19">
        <f>IF(ISBLANK(Welcome!D219),"",Welcome!D219)</f>
        <v/>
      </c>
      <c r="AB193" s="29">
        <f>IF(ISBLANK(Welcome!E219),"",Welcome!E219)</f>
        <v/>
      </c>
      <c r="AC193" s="29">
        <f>IF(N(AB193)&gt;0,N(AB193),N(AA193)*Y193)</f>
        <v/>
      </c>
      <c r="AD193" s="29">
        <f>IF(H193="yes",AC193,0)</f>
        <v/>
      </c>
      <c r="AE193" s="29">
        <f>AD193*N(M193)/100</f>
        <v/>
      </c>
      <c r="AF193" s="29">
        <f>AD193*N(O193)/100</f>
        <v/>
      </c>
      <c r="AG193" s="29">
        <f>AD193*N(P193)/100</f>
        <v/>
      </c>
      <c r="AH193" s="50">
        <f>IF(Q193="yes",AD193/1000,0)</f>
        <v/>
      </c>
      <c r="AI193" s="50">
        <f>IF(S193="FG2",AH193*X193,AH193)</f>
        <v/>
      </c>
    </row>
    <row r="194">
      <c r="A194" s="7" t="inlineStr">
        <is>
          <t>HM00019</t>
        </is>
      </c>
      <c r="B194" s="16" t="inlineStr">
        <is>
          <t>8712345435639</t>
        </is>
      </c>
      <c r="C194" s="7" t="inlineStr">
        <is>
          <t>HM CHOC CHIP COOKIES 200G</t>
        </is>
      </c>
      <c r="D194" s="7" t="inlineStr">
        <is>
          <t>Chocolate chip cookies, 200g</t>
        </is>
      </c>
      <c r="E194" s="7" t="inlineStr">
        <is>
          <t>Harbour Market</t>
        </is>
      </c>
      <c r="F194" s="7" t="inlineStr">
        <is>
          <t>Breakfast &amp; Snacks</t>
        </is>
      </c>
      <c r="G194" s="7" t="inlineStr">
        <is>
          <t>Biscuits</t>
        </is>
      </c>
      <c r="H194" s="7" t="inlineStr">
        <is>
          <t>yes</t>
        </is>
      </c>
      <c r="I194" s="7" t="inlineStr">
        <is>
          <t>Animal &amp; plant composite</t>
        </is>
      </c>
      <c r="J194" s="7" t="inlineStr">
        <is>
          <t>Discretionary products</t>
        </is>
      </c>
      <c r="K194" s="7" t="inlineStr">
        <is>
          <t>B</t>
        </is>
      </c>
      <c r="L194" s="7" t="inlineStr">
        <is>
          <t>50/50 convention</t>
        </is>
      </c>
      <c r="M194" s="51" t="n">
        <v>6.4</v>
      </c>
      <c r="N194" s="7" t="inlineStr">
        <is>
          <t>Declared by the retailer</t>
        </is>
      </c>
      <c r="O194" s="54" t="n">
        <v>3.2</v>
      </c>
      <c r="P194" s="54" t="n">
        <v>3.2</v>
      </c>
      <c r="Q194" s="7" t="inlineStr">
        <is>
          <t>yes</t>
        </is>
      </c>
      <c r="R194" s="7" t="inlineStr">
        <is>
          <t>whole</t>
        </is>
      </c>
      <c r="S194" s="7" t="inlineStr">
        <is>
          <t>FG7</t>
        </is>
      </c>
      <c r="T194" s="7" t="n"/>
      <c r="U194" s="7" t="inlineStr">
        <is>
          <t>plant</t>
        </is>
      </c>
      <c r="V194" s="7" t="n"/>
      <c r="W194" s="7" t="n"/>
      <c r="X194" s="55" t="n">
        <v>1</v>
      </c>
      <c r="Y194" s="50" t="n">
        <v>0.2</v>
      </c>
      <c r="Z194" s="7" t="inlineStr">
        <is>
          <t>declared</t>
        </is>
      </c>
      <c r="AA194" s="19">
        <f>IF(ISBLANK(Welcome!D220),"",Welcome!D220)</f>
        <v/>
      </c>
      <c r="AB194" s="29">
        <f>IF(ISBLANK(Welcome!E220),"",Welcome!E220)</f>
        <v/>
      </c>
      <c r="AC194" s="29">
        <f>IF(N(AB194)&gt;0,N(AB194),N(AA194)*Y194)</f>
        <v/>
      </c>
      <c r="AD194" s="29">
        <f>IF(H194="yes",AC194,0)</f>
        <v/>
      </c>
      <c r="AE194" s="29">
        <f>AD194*N(M194)/100</f>
        <v/>
      </c>
      <c r="AF194" s="29">
        <f>AD194*N(O194)/100</f>
        <v/>
      </c>
      <c r="AG194" s="29">
        <f>AD194*N(P194)/100</f>
        <v/>
      </c>
      <c r="AH194" s="50">
        <f>IF(Q194="yes",AD194/1000,0)</f>
        <v/>
      </c>
      <c r="AI194" s="50">
        <f>IF(S194="FG2",AH194*X194,AH194)</f>
        <v/>
      </c>
    </row>
    <row r="195">
      <c r="A195" s="7" t="inlineStr">
        <is>
          <t>HM00315</t>
        </is>
      </c>
      <c r="B195" s="16" t="inlineStr">
        <is>
          <t>4012345154504</t>
        </is>
      </c>
      <c r="C195" s="7" t="inlineStr">
        <is>
          <t>HM CRUNCHY PEANUT BTR 1KG</t>
        </is>
      </c>
      <c r="D195" s="7" t="inlineStr">
        <is>
          <t>Crunchy peanut butter, 1kg</t>
        </is>
      </c>
      <c r="E195" s="7" t="inlineStr">
        <is>
          <t>Harbour Market</t>
        </is>
      </c>
      <c r="F195" s="7" t="inlineStr">
        <is>
          <t>Grocery</t>
        </is>
      </c>
      <c r="G195" s="7" t="inlineStr">
        <is>
          <t>Spreads</t>
        </is>
      </c>
      <c r="H195" s="7" t="inlineStr">
        <is>
          <t>yes</t>
        </is>
      </c>
      <c r="I195" s="7" t="inlineStr">
        <is>
          <t>Plant-based core</t>
        </is>
      </c>
      <c r="J195" s="7" t="inlineStr">
        <is>
          <t>Nuts</t>
        </is>
      </c>
      <c r="K195" s="7" t="inlineStr">
        <is>
          <t>A</t>
        </is>
      </c>
      <c r="L195" s="7" t="inlineStr">
        <is>
          <t>All ingredients on one side</t>
        </is>
      </c>
      <c r="M195" s="51" t="n">
        <v>24.4</v>
      </c>
      <c r="N195" s="7" t="inlineStr">
        <is>
          <t>Declared by the retailer</t>
        </is>
      </c>
      <c r="O195" s="54" t="n">
        <v>24.4</v>
      </c>
      <c r="P195" s="54" t="n">
        <v>0</v>
      </c>
      <c r="Q195" s="7" t="inlineStr">
        <is>
          <t>yes</t>
        </is>
      </c>
      <c r="R195" s="7" t="inlineStr">
        <is>
          <t>whole</t>
        </is>
      </c>
      <c r="S195" s="7" t="inlineStr">
        <is>
          <t>FG1</t>
        </is>
      </c>
      <c r="T195" s="7" t="inlineStr">
        <is>
          <t>Nuts</t>
        </is>
      </c>
      <c r="U195" s="7" t="inlineStr">
        <is>
          <t>plant</t>
        </is>
      </c>
      <c r="V195" s="7" t="n"/>
      <c r="W195" s="7" t="n"/>
      <c r="X195" s="55" t="n">
        <v>1</v>
      </c>
      <c r="Y195" s="50" t="n">
        <v>1</v>
      </c>
      <c r="Z195" s="7" t="inlineStr">
        <is>
          <t>declared</t>
        </is>
      </c>
      <c r="AA195" s="19">
        <f>IF(ISBLANK(Welcome!D221),"",Welcome!D221)</f>
        <v/>
      </c>
      <c r="AB195" s="29">
        <f>IF(ISBLANK(Welcome!E221),"",Welcome!E221)</f>
        <v/>
      </c>
      <c r="AC195" s="29">
        <f>IF(N(AB195)&gt;0,N(AB195),N(AA195)*Y195)</f>
        <v/>
      </c>
      <c r="AD195" s="29">
        <f>IF(H195="yes",AC195,0)</f>
        <v/>
      </c>
      <c r="AE195" s="29">
        <f>AD195*N(M195)/100</f>
        <v/>
      </c>
      <c r="AF195" s="29">
        <f>AD195*N(O195)/100</f>
        <v/>
      </c>
      <c r="AG195" s="29">
        <f>AD195*N(P195)/100</f>
        <v/>
      </c>
      <c r="AH195" s="50">
        <f>IF(Q195="yes",AD195/1000,0)</f>
        <v/>
      </c>
      <c r="AI195" s="50">
        <f>IF(S195="FG2",AH195*X195,AH195)</f>
        <v/>
      </c>
    </row>
    <row r="196">
      <c r="A196" s="7" t="inlineStr">
        <is>
          <t>HM00508</t>
        </is>
      </c>
      <c r="B196" s="16" t="inlineStr">
        <is>
          <t>2881811447670</t>
        </is>
      </c>
      <c r="C196" s="7" t="inlineStr">
        <is>
          <t>HM KIWI KG</t>
        </is>
      </c>
      <c r="D196" s="7" t="inlineStr">
        <is>
          <t>Kiwi fruit</t>
        </is>
      </c>
      <c r="E196" s="7" t="inlineStr">
        <is>
          <t>Harbour Market</t>
        </is>
      </c>
      <c r="F196" s="7" t="inlineStr">
        <is>
          <t>Fruit &amp; Vegetables</t>
        </is>
      </c>
      <c r="G196" s="7" t="inlineStr">
        <is>
          <t>Fruit</t>
        </is>
      </c>
      <c r="H196" s="7" t="inlineStr">
        <is>
          <t>yes</t>
        </is>
      </c>
      <c r="I196" s="7" t="inlineStr">
        <is>
          <t>Plant-based non-core</t>
        </is>
      </c>
      <c r="J196" s="7" t="inlineStr">
        <is>
          <t>Fruit and vegetables</t>
        </is>
      </c>
      <c r="K196" s="7" t="inlineStr">
        <is>
          <t>B</t>
        </is>
      </c>
      <c r="L196" s="7" t="inlineStr">
        <is>
          <t>Follows the class</t>
        </is>
      </c>
      <c r="M196" s="51" t="n">
        <v>1.1</v>
      </c>
      <c r="N196" s="7" t="inlineStr">
        <is>
          <t>Median of the family</t>
        </is>
      </c>
      <c r="O196" s="54" t="n">
        <v>1.1</v>
      </c>
      <c r="P196" s="54" t="n">
        <v>0</v>
      </c>
      <c r="Q196" s="7" t="inlineStr">
        <is>
          <t>yes</t>
        </is>
      </c>
      <c r="R196" s="7" t="inlineStr">
        <is>
          <t>whole</t>
        </is>
      </c>
      <c r="S196" s="7" t="inlineStr">
        <is>
          <t>FG4</t>
        </is>
      </c>
      <c r="T196" s="7" t="n"/>
      <c r="U196" s="7" t="inlineStr">
        <is>
          <t>plant</t>
        </is>
      </c>
      <c r="V196" s="7" t="n"/>
      <c r="W196" s="7" t="n"/>
      <c r="X196" s="55" t="n">
        <v>1</v>
      </c>
      <c r="Y196" s="50" t="n">
        <v>1</v>
      </c>
      <c r="Z196" s="7" t="inlineStr">
        <is>
          <t>variable</t>
        </is>
      </c>
      <c r="AA196" s="19">
        <f>IF(ISBLANK(Welcome!D222),"",Welcome!D222)</f>
        <v/>
      </c>
      <c r="AB196" s="29">
        <f>IF(ISBLANK(Welcome!E222),"",Welcome!E222)</f>
        <v/>
      </c>
      <c r="AC196" s="29">
        <f>IF(N(AB196)&gt;0,N(AB196),N(AA196)*Y196)</f>
        <v/>
      </c>
      <c r="AD196" s="29">
        <f>IF(H196="yes",AC196,0)</f>
        <v/>
      </c>
      <c r="AE196" s="29">
        <f>AD196*N(M196)/100</f>
        <v/>
      </c>
      <c r="AF196" s="29">
        <f>AD196*N(O196)/100</f>
        <v/>
      </c>
      <c r="AG196" s="29">
        <f>AD196*N(P196)/100</f>
        <v/>
      </c>
      <c r="AH196" s="50">
        <f>IF(Q196="yes",AD196/1000,0)</f>
        <v/>
      </c>
      <c r="AI196" s="50">
        <f>IF(S196="FG2",AH196*X196,AH196)</f>
        <v/>
      </c>
    </row>
    <row r="197">
      <c r="A197" s="7" t="inlineStr">
        <is>
          <t>HM00536</t>
        </is>
      </c>
      <c r="B197" s="16" t="inlineStr">
        <is>
          <t>2385470341100</t>
        </is>
      </c>
      <c r="C197" s="7" t="inlineStr">
        <is>
          <t>HM KIWI LOOSE</t>
        </is>
      </c>
      <c r="D197" s="7" t="inlineStr">
        <is>
          <t>Kiwi fruit</t>
        </is>
      </c>
      <c r="E197" s="7" t="inlineStr">
        <is>
          <t>Harbour Market</t>
        </is>
      </c>
      <c r="F197" s="7" t="inlineStr">
        <is>
          <t>Fruit &amp; Vegetables</t>
        </is>
      </c>
      <c r="G197" s="7" t="inlineStr">
        <is>
          <t>Fruit</t>
        </is>
      </c>
      <c r="H197" s="7" t="inlineStr">
        <is>
          <t>yes</t>
        </is>
      </c>
      <c r="I197" s="7" t="inlineStr">
        <is>
          <t>Plant-based non-core</t>
        </is>
      </c>
      <c r="J197" s="7" t="inlineStr">
        <is>
          <t>Fruit and vegetables</t>
        </is>
      </c>
      <c r="K197" s="7" t="inlineStr">
        <is>
          <t>B</t>
        </is>
      </c>
      <c r="L197" s="7" t="inlineStr">
        <is>
          <t>Follows the class</t>
        </is>
      </c>
      <c r="M197" s="51" t="n">
        <v>1.1</v>
      </c>
      <c r="N197" s="7" t="inlineStr">
        <is>
          <t>Declared by the retailer</t>
        </is>
      </c>
      <c r="O197" s="54" t="n">
        <v>1.1</v>
      </c>
      <c r="P197" s="54" t="n">
        <v>0</v>
      </c>
      <c r="Q197" s="7" t="inlineStr">
        <is>
          <t>yes</t>
        </is>
      </c>
      <c r="R197" s="7" t="inlineStr">
        <is>
          <t>whole</t>
        </is>
      </c>
      <c r="S197" s="7" t="inlineStr">
        <is>
          <t>FG4</t>
        </is>
      </c>
      <c r="T197" s="7" t="n"/>
      <c r="U197" s="7" t="inlineStr">
        <is>
          <t>plant</t>
        </is>
      </c>
      <c r="V197" s="7" t="n"/>
      <c r="W197" s="7" t="n"/>
      <c r="X197" s="55" t="n">
        <v>1</v>
      </c>
      <c r="Y197" s="50" t="n">
        <v>1</v>
      </c>
      <c r="Z197" s="7" t="inlineStr">
        <is>
          <t>variable</t>
        </is>
      </c>
      <c r="AA197" s="19">
        <f>IF(ISBLANK(Welcome!D223),"",Welcome!D223)</f>
        <v/>
      </c>
      <c r="AB197" s="29">
        <f>IF(ISBLANK(Welcome!E223),"",Welcome!E223)</f>
        <v/>
      </c>
      <c r="AC197" s="29">
        <f>IF(N(AB197)&gt;0,N(AB197),N(AA197)*Y197)</f>
        <v/>
      </c>
      <c r="AD197" s="29">
        <f>IF(H197="yes",AC197,0)</f>
        <v/>
      </c>
      <c r="AE197" s="29">
        <f>AD197*N(M197)/100</f>
        <v/>
      </c>
      <c r="AF197" s="29">
        <f>AD197*N(O197)/100</f>
        <v/>
      </c>
      <c r="AG197" s="29">
        <f>AD197*N(P197)/100</f>
        <v/>
      </c>
      <c r="AH197" s="50">
        <f>IF(Q197="yes",AD197/1000,0)</f>
        <v/>
      </c>
      <c r="AI197" s="50">
        <f>IF(S197="FG2",AH197*X197,AH197)</f>
        <v/>
      </c>
    </row>
    <row r="198">
      <c r="A198" s="7" t="inlineStr">
        <is>
          <t>HM00752</t>
        </is>
      </c>
      <c r="B198" s="16" t="inlineStr">
        <is>
          <t>4012345234831</t>
        </is>
      </c>
      <c r="C198" s="7" t="inlineStr">
        <is>
          <t>HM CHKN DRUMSTICKS 650G</t>
        </is>
      </c>
      <c r="D198" s="7" t="inlineStr">
        <is>
          <t>Chicken drumsticks, 650g</t>
        </is>
      </c>
      <c r="E198" s="7" t="inlineStr">
        <is>
          <t>Harbour Market</t>
        </is>
      </c>
      <c r="F198" s="7" t="inlineStr">
        <is>
          <t>Fresh Meat &amp; Poultry</t>
        </is>
      </c>
      <c r="G198" s="7" t="inlineStr">
        <is>
          <t>Poultry</t>
        </is>
      </c>
      <c r="H198" s="7" t="inlineStr">
        <is>
          <t>yes</t>
        </is>
      </c>
      <c r="I198" s="7" t="inlineStr">
        <is>
          <t>Animal core</t>
        </is>
      </c>
      <c r="J198" s="7" t="inlineStr">
        <is>
          <t>Poultry</t>
        </is>
      </c>
      <c r="K198" s="7" t="inlineStr">
        <is>
          <t>B</t>
        </is>
      </c>
      <c r="L198" s="7" t="inlineStr">
        <is>
          <t>Follows the class</t>
        </is>
      </c>
      <c r="M198" s="51" t="n">
        <v>19.6</v>
      </c>
      <c r="N198" s="7" t="inlineStr">
        <is>
          <t>Median of the family</t>
        </is>
      </c>
      <c r="O198" s="54" t="n">
        <v>0</v>
      </c>
      <c r="P198" s="54" t="n">
        <v>19.6</v>
      </c>
      <c r="Q198" s="7" t="inlineStr">
        <is>
          <t>yes</t>
        </is>
      </c>
      <c r="R198" s="7" t="inlineStr">
        <is>
          <t>whole</t>
        </is>
      </c>
      <c r="S198" s="7" t="inlineStr">
        <is>
          <t>FG1</t>
        </is>
      </c>
      <c r="T198" s="7" t="inlineStr">
        <is>
          <t>Poultry</t>
        </is>
      </c>
      <c r="U198" s="7" t="inlineStr">
        <is>
          <t>animal</t>
        </is>
      </c>
      <c r="V198" s="7" t="n"/>
      <c r="W198" s="7" t="n"/>
      <c r="X198" s="55" t="n">
        <v>1</v>
      </c>
      <c r="Y198" s="50" t="n">
        <v>0.65</v>
      </c>
      <c r="Z198" s="7" t="inlineStr">
        <is>
          <t>declared</t>
        </is>
      </c>
      <c r="AA198" s="19">
        <f>IF(ISBLANK(Welcome!D224),"",Welcome!D224)</f>
        <v/>
      </c>
      <c r="AB198" s="29">
        <f>IF(ISBLANK(Welcome!E224),"",Welcome!E224)</f>
        <v/>
      </c>
      <c r="AC198" s="29">
        <f>IF(N(AB198)&gt;0,N(AB198),N(AA198)*Y198)</f>
        <v/>
      </c>
      <c r="AD198" s="29">
        <f>IF(H198="yes",AC198,0)</f>
        <v/>
      </c>
      <c r="AE198" s="29">
        <f>AD198*N(M198)/100</f>
        <v/>
      </c>
      <c r="AF198" s="29">
        <f>AD198*N(O198)/100</f>
        <v/>
      </c>
      <c r="AG198" s="29">
        <f>AD198*N(P198)/100</f>
        <v/>
      </c>
      <c r="AH198" s="50">
        <f>IF(Q198="yes",AD198/1000,0)</f>
        <v/>
      </c>
      <c r="AI198" s="50">
        <f>IF(S198="FG2",AH198*X198,AH198)</f>
        <v/>
      </c>
    </row>
    <row r="199">
      <c r="A199" s="7" t="inlineStr">
        <is>
          <t>HM00065</t>
        </is>
      </c>
      <c r="B199" s="16" t="inlineStr">
        <is>
          <t>8712345529918</t>
        </is>
      </c>
      <c r="C199" s="7" t="inlineStr">
        <is>
          <t>HM PIZZA 4 CHEESE 400G</t>
        </is>
      </c>
      <c r="D199" s="7" t="inlineStr">
        <is>
          <t>Four cheese pizza, 400g</t>
        </is>
      </c>
      <c r="E199" s="7" t="inlineStr">
        <is>
          <t>Harbour Market</t>
        </is>
      </c>
      <c r="F199" s="7" t="inlineStr">
        <is>
          <t>Frozen</t>
        </is>
      </c>
      <c r="G199" s="7" t="inlineStr">
        <is>
          <t>Pizza</t>
        </is>
      </c>
      <c r="H199" s="7" t="inlineStr">
        <is>
          <t>yes</t>
        </is>
      </c>
      <c r="I199" s="7" t="inlineStr">
        <is>
          <t>Animal &amp; plant composite</t>
        </is>
      </c>
      <c r="J199" s="7" t="inlineStr">
        <is>
          <t>Vegetarian dishes</t>
        </is>
      </c>
      <c r="K199" s="7" t="inlineStr">
        <is>
          <t>B</t>
        </is>
      </c>
      <c r="L199" s="7" t="inlineStr">
        <is>
          <t>50/50 convention</t>
        </is>
      </c>
      <c r="M199" s="51" t="n">
        <v>9.6</v>
      </c>
      <c r="N199" s="7" t="inlineStr">
        <is>
          <t>Declared by the retailer</t>
        </is>
      </c>
      <c r="O199" s="54" t="n">
        <v>4.8</v>
      </c>
      <c r="P199" s="54" t="n">
        <v>4.8</v>
      </c>
      <c r="Q199" s="7" t="inlineStr">
        <is>
          <t>yes</t>
        </is>
      </c>
      <c r="R199" s="7" t="inlineStr">
        <is>
          <t>composite</t>
        </is>
      </c>
      <c r="S199" s="7" t="n"/>
      <c r="T199" s="7" t="n"/>
      <c r="U199" s="7" t="n"/>
      <c r="V199" s="7" t="inlineStr">
        <is>
          <t>vegetarian</t>
        </is>
      </c>
      <c r="W199" s="7" t="n"/>
      <c r="X199" s="55" t="n">
        <v>1</v>
      </c>
      <c r="Y199" s="50" t="n">
        <v>0.4</v>
      </c>
      <c r="Z199" s="7" t="inlineStr">
        <is>
          <t>declared</t>
        </is>
      </c>
      <c r="AA199" s="19">
        <f>IF(ISBLANK(Welcome!D225),"",Welcome!D225)</f>
        <v/>
      </c>
      <c r="AB199" s="29">
        <f>IF(ISBLANK(Welcome!E225),"",Welcome!E225)</f>
        <v/>
      </c>
      <c r="AC199" s="29">
        <f>IF(N(AB199)&gt;0,N(AB199),N(AA199)*Y199)</f>
        <v/>
      </c>
      <c r="AD199" s="29">
        <f>IF(H199="yes",AC199,0)</f>
        <v/>
      </c>
      <c r="AE199" s="29">
        <f>AD199*N(M199)/100</f>
        <v/>
      </c>
      <c r="AF199" s="29">
        <f>AD199*N(O199)/100</f>
        <v/>
      </c>
      <c r="AG199" s="29">
        <f>AD199*N(P199)/100</f>
        <v/>
      </c>
      <c r="AH199" s="50">
        <f>IF(Q199="yes",AD199/1000,0)</f>
        <v/>
      </c>
      <c r="AI199" s="50">
        <f>IF(S199="FG2",AH199*X199,AH199)</f>
        <v/>
      </c>
    </row>
    <row r="200">
      <c r="A200" s="7" t="inlineStr">
        <is>
          <t>HM00115</t>
        </is>
      </c>
      <c r="B200" s="16" t="inlineStr">
        <is>
          <t>8712345517311</t>
        </is>
      </c>
      <c r="C200" s="7" t="inlineStr">
        <is>
          <t>HM MARIS PIPER POTATOES 750G</t>
        </is>
      </c>
      <c r="D200" s="7" t="inlineStr">
        <is>
          <t>Maris Piper potatoes, 750g</t>
        </is>
      </c>
      <c r="E200" s="7" t="inlineStr">
        <is>
          <t>Harbour Market</t>
        </is>
      </c>
      <c r="F200" s="7" t="inlineStr">
        <is>
          <t>Fruit &amp; Vegetables</t>
        </is>
      </c>
      <c r="G200" s="7" t="inlineStr">
        <is>
          <t>Potatoes</t>
        </is>
      </c>
      <c r="H200" s="7" t="inlineStr">
        <is>
          <t>yes</t>
        </is>
      </c>
      <c r="I200" s="7" t="inlineStr">
        <is>
          <t>Plant-based non-core</t>
        </is>
      </c>
      <c r="J200" s="7" t="inlineStr">
        <is>
          <t>Starchy foods</t>
        </is>
      </c>
      <c r="K200" s="7" t="inlineStr">
        <is>
          <t>B</t>
        </is>
      </c>
      <c r="L200" s="7" t="inlineStr">
        <is>
          <t>Follows the class</t>
        </is>
      </c>
      <c r="M200" s="51" t="n">
        <v>2.1</v>
      </c>
      <c r="N200" s="7" t="inlineStr">
        <is>
          <t>Open Food Facts and NEVO, by EAN</t>
        </is>
      </c>
      <c r="O200" s="54" t="n">
        <v>2.1</v>
      </c>
      <c r="P200" s="54" t="n">
        <v>0</v>
      </c>
      <c r="Q200" s="7" t="inlineStr">
        <is>
          <t>yes</t>
        </is>
      </c>
      <c r="R200" s="7" t="inlineStr">
        <is>
          <t>whole</t>
        </is>
      </c>
      <c r="S200" s="7" t="inlineStr">
        <is>
          <t>FG6</t>
        </is>
      </c>
      <c r="T200" s="7" t="n"/>
      <c r="U200" s="7" t="inlineStr">
        <is>
          <t>plant</t>
        </is>
      </c>
      <c r="V200" s="7" t="n"/>
      <c r="W200" s="7" t="n"/>
      <c r="X200" s="55" t="n">
        <v>1</v>
      </c>
      <c r="Y200" s="50" t="n">
        <v>0.75</v>
      </c>
      <c r="Z200" s="7" t="inlineStr">
        <is>
          <t>declared</t>
        </is>
      </c>
      <c r="AA200" s="19">
        <f>IF(ISBLANK(Welcome!D226),"",Welcome!D226)</f>
        <v/>
      </c>
      <c r="AB200" s="29">
        <f>IF(ISBLANK(Welcome!E226),"",Welcome!E226)</f>
        <v/>
      </c>
      <c r="AC200" s="29">
        <f>IF(N(AB200)&gt;0,N(AB200),N(AA200)*Y200)</f>
        <v/>
      </c>
      <c r="AD200" s="29">
        <f>IF(H200="yes",AC200,0)</f>
        <v/>
      </c>
      <c r="AE200" s="29">
        <f>AD200*N(M200)/100</f>
        <v/>
      </c>
      <c r="AF200" s="29">
        <f>AD200*N(O200)/100</f>
        <v/>
      </c>
      <c r="AG200" s="29">
        <f>AD200*N(P200)/100</f>
        <v/>
      </c>
      <c r="AH200" s="50">
        <f>IF(Q200="yes",AD200/1000,0)</f>
        <v/>
      </c>
      <c r="AI200" s="50">
        <f>IF(S200="FG2",AH200*X200,AH200)</f>
        <v/>
      </c>
    </row>
    <row r="201">
      <c r="A201" s="7" t="inlineStr">
        <is>
          <t>HM00150</t>
        </is>
      </c>
      <c r="B201" s="16" t="inlineStr">
        <is>
          <t>3012345156455</t>
        </is>
      </c>
      <c r="C201" s="7" t="inlineStr">
        <is>
          <t>HM CHICKPEAS IN WATER 4X400G</t>
        </is>
      </c>
      <c r="D201" s="7" t="inlineStr">
        <is>
          <t>Chickpeas in water, 4x400g</t>
        </is>
      </c>
      <c r="E201" s="7" t="inlineStr">
        <is>
          <t>Harbour Market</t>
        </is>
      </c>
      <c r="F201" s="7" t="inlineStr">
        <is>
          <t>Grocery</t>
        </is>
      </c>
      <c r="G201" s="7" t="inlineStr">
        <is>
          <t>Pulses</t>
        </is>
      </c>
      <c r="H201" s="7" t="inlineStr">
        <is>
          <t>yes</t>
        </is>
      </c>
      <c r="I201" s="7" t="inlineStr">
        <is>
          <t>Plant-based core</t>
        </is>
      </c>
      <c r="J201" s="7" t="inlineStr">
        <is>
          <t>Pulses</t>
        </is>
      </c>
      <c r="K201" s="7" t="inlineStr">
        <is>
          <t>A</t>
        </is>
      </c>
      <c r="L201" s="7" t="inlineStr">
        <is>
          <t>All ingredients on one side</t>
        </is>
      </c>
      <c r="M201" s="51" t="n">
        <v>7.3</v>
      </c>
      <c r="N201" s="7" t="inlineStr">
        <is>
          <t>Declared by the retailer</t>
        </is>
      </c>
      <c r="O201" s="54" t="n">
        <v>7.3</v>
      </c>
      <c r="P201" s="54" t="n">
        <v>0</v>
      </c>
      <c r="Q201" s="7" t="inlineStr">
        <is>
          <t>yes</t>
        </is>
      </c>
      <c r="R201" s="7" t="inlineStr">
        <is>
          <t>whole</t>
        </is>
      </c>
      <c r="S201" s="7" t="inlineStr">
        <is>
          <t>FG1</t>
        </is>
      </c>
      <c r="T201" s="7" t="inlineStr">
        <is>
          <t>Pulses</t>
        </is>
      </c>
      <c r="U201" s="7" t="inlineStr">
        <is>
          <t>plant</t>
        </is>
      </c>
      <c r="V201" s="7" t="n"/>
      <c r="W201" s="7" t="n"/>
      <c r="X201" s="55" t="n">
        <v>1</v>
      </c>
      <c r="Y201" s="50" t="n">
        <v>1.6</v>
      </c>
      <c r="Z201" s="7" t="inlineStr">
        <is>
          <t>declared</t>
        </is>
      </c>
      <c r="AA201" s="19">
        <f>IF(ISBLANK(Welcome!D227),"",Welcome!D227)</f>
        <v/>
      </c>
      <c r="AB201" s="29">
        <f>IF(ISBLANK(Welcome!E227),"",Welcome!E227)</f>
        <v/>
      </c>
      <c r="AC201" s="29">
        <f>IF(N(AB201)&gt;0,N(AB201),N(AA201)*Y201)</f>
        <v/>
      </c>
      <c r="AD201" s="29">
        <f>IF(H201="yes",AC201,0)</f>
        <v/>
      </c>
      <c r="AE201" s="29">
        <f>AD201*N(M201)/100</f>
        <v/>
      </c>
      <c r="AF201" s="29">
        <f>AD201*N(O201)/100</f>
        <v/>
      </c>
      <c r="AG201" s="29">
        <f>AD201*N(P201)/100</f>
        <v/>
      </c>
      <c r="AH201" s="50">
        <f>IF(Q201="yes",AD201/1000,0)</f>
        <v/>
      </c>
      <c r="AI201" s="50">
        <f>IF(S201="FG2",AH201*X201,AH201)</f>
        <v/>
      </c>
    </row>
    <row r="202">
      <c r="A202" s="7" t="inlineStr">
        <is>
          <t>HM00041</t>
        </is>
      </c>
      <c r="B202" s="16" t="inlineStr">
        <is>
          <t>8712345409098</t>
        </is>
      </c>
      <c r="C202" s="7" t="inlineStr">
        <is>
          <t>ORVALIS BAKED BEANS TOM SCE 4X400G</t>
        </is>
      </c>
      <c r="D202" s="7" t="inlineStr">
        <is>
          <t>Baked beans in tomato sauce, 4x400g</t>
        </is>
      </c>
      <c r="E202" s="7" t="inlineStr">
        <is>
          <t>Orvalis</t>
        </is>
      </c>
      <c r="F202" s="7" t="inlineStr">
        <is>
          <t>Grocery</t>
        </is>
      </c>
      <c r="G202" s="7" t="inlineStr">
        <is>
          <t>Pulses</t>
        </is>
      </c>
      <c r="H202" s="7" t="inlineStr">
        <is>
          <t>yes</t>
        </is>
      </c>
      <c r="I202" s="7" t="inlineStr">
        <is>
          <t>Plant-based core</t>
        </is>
      </c>
      <c r="J202" s="7" t="inlineStr">
        <is>
          <t>Pulses</t>
        </is>
      </c>
      <c r="K202" s="7" t="inlineStr">
        <is>
          <t>A</t>
        </is>
      </c>
      <c r="L202" s="7" t="inlineStr">
        <is>
          <t>All ingredients on one side</t>
        </is>
      </c>
      <c r="M202" s="51" t="n">
        <v>5</v>
      </c>
      <c r="N202" s="7" t="inlineStr">
        <is>
          <t>Declared by the retailer</t>
        </is>
      </c>
      <c r="O202" s="54" t="n">
        <v>5</v>
      </c>
      <c r="P202" s="54" t="n">
        <v>0</v>
      </c>
      <c r="Q202" s="7" t="inlineStr">
        <is>
          <t>yes</t>
        </is>
      </c>
      <c r="R202" s="7" t="inlineStr">
        <is>
          <t>whole</t>
        </is>
      </c>
      <c r="S202" s="7" t="inlineStr">
        <is>
          <t>FG1</t>
        </is>
      </c>
      <c r="T202" s="7" t="inlineStr">
        <is>
          <t>Pulses</t>
        </is>
      </c>
      <c r="U202" s="7" t="inlineStr">
        <is>
          <t>plant</t>
        </is>
      </c>
      <c r="V202" s="7" t="n"/>
      <c r="W202" s="7" t="n"/>
      <c r="X202" s="55" t="n">
        <v>1</v>
      </c>
      <c r="Y202" s="50" t="n">
        <v>1.6</v>
      </c>
      <c r="Z202" s="7" t="inlineStr">
        <is>
          <t>declared</t>
        </is>
      </c>
      <c r="AA202" s="19">
        <f>IF(ISBLANK(Welcome!D228),"",Welcome!D228)</f>
        <v/>
      </c>
      <c r="AB202" s="29">
        <f>IF(ISBLANK(Welcome!E228),"",Welcome!E228)</f>
        <v/>
      </c>
      <c r="AC202" s="29">
        <f>IF(N(AB202)&gt;0,N(AB202),N(AA202)*Y202)</f>
        <v/>
      </c>
      <c r="AD202" s="29">
        <f>IF(H202="yes",AC202,0)</f>
        <v/>
      </c>
      <c r="AE202" s="29">
        <f>AD202*N(M202)/100</f>
        <v/>
      </c>
      <c r="AF202" s="29">
        <f>AD202*N(O202)/100</f>
        <v/>
      </c>
      <c r="AG202" s="29">
        <f>AD202*N(P202)/100</f>
        <v/>
      </c>
      <c r="AH202" s="50">
        <f>IF(Q202="yes",AD202/1000,0)</f>
        <v/>
      </c>
      <c r="AI202" s="50">
        <f>IF(S202="FG2",AH202*X202,AH202)</f>
        <v/>
      </c>
    </row>
    <row r="203">
      <c r="A203" s="7" t="inlineStr">
        <is>
          <t>HM00565</t>
        </is>
      </c>
      <c r="B203" s="16" t="inlineStr">
        <is>
          <t>5012345723525</t>
        </is>
      </c>
      <c r="C203" s="7" t="inlineStr">
        <is>
          <t>HM ICE CREAM CONES 4PK 4X110ML</t>
        </is>
      </c>
      <c r="D203" s="7" t="inlineStr">
        <is>
          <t>Vanilla ice cream cones, 4x110ml</t>
        </is>
      </c>
      <c r="E203" s="7" t="inlineStr">
        <is>
          <t>Harbour Market</t>
        </is>
      </c>
      <c r="F203" s="7" t="inlineStr">
        <is>
          <t>Frozen</t>
        </is>
      </c>
      <c r="G203" s="7" t="inlineStr">
        <is>
          <t>Ice Cream</t>
        </is>
      </c>
      <c r="H203" s="7" t="inlineStr">
        <is>
          <t>yes</t>
        </is>
      </c>
      <c r="I203" s="7" t="inlineStr">
        <is>
          <t>Animal core</t>
        </is>
      </c>
      <c r="J203" s="7" t="inlineStr">
        <is>
          <t>Discretionary products</t>
        </is>
      </c>
      <c r="K203" s="7" t="inlineStr">
        <is>
          <t>B</t>
        </is>
      </c>
      <c r="L203" s="7" t="inlineStr">
        <is>
          <t>First ingredient</t>
        </is>
      </c>
      <c r="M203" s="51" t="n">
        <v>3.4</v>
      </c>
      <c r="N203" s="7" t="inlineStr">
        <is>
          <t>Declared by the retailer</t>
        </is>
      </c>
      <c r="O203" s="54" t="n">
        <v>0</v>
      </c>
      <c r="P203" s="54" t="n">
        <v>3.4</v>
      </c>
      <c r="Q203" s="7" t="inlineStr">
        <is>
          <t>yes</t>
        </is>
      </c>
      <c r="R203" s="7" t="inlineStr">
        <is>
          <t>whole</t>
        </is>
      </c>
      <c r="S203" s="7" t="inlineStr">
        <is>
          <t>FG7</t>
        </is>
      </c>
      <c r="T203" s="7" t="n"/>
      <c r="U203" s="7" t="inlineStr">
        <is>
          <t>animal</t>
        </is>
      </c>
      <c r="V203" s="7" t="n"/>
      <c r="W203" s="7" t="n"/>
      <c r="X203" s="55" t="n">
        <v>1</v>
      </c>
      <c r="Y203" s="50" t="n">
        <v>0.28</v>
      </c>
      <c r="Z203" s="7" t="inlineStr">
        <is>
          <t>declared</t>
        </is>
      </c>
      <c r="AA203" s="19">
        <f>IF(ISBLANK(Welcome!D229),"",Welcome!D229)</f>
        <v/>
      </c>
      <c r="AB203" s="29">
        <f>IF(ISBLANK(Welcome!E229),"",Welcome!E229)</f>
        <v/>
      </c>
      <c r="AC203" s="29">
        <f>IF(N(AB203)&gt;0,N(AB203),N(AA203)*Y203)</f>
        <v/>
      </c>
      <c r="AD203" s="29">
        <f>IF(H203="yes",AC203,0)</f>
        <v/>
      </c>
      <c r="AE203" s="29">
        <f>AD203*N(M203)/100</f>
        <v/>
      </c>
      <c r="AF203" s="29">
        <f>AD203*N(O203)/100</f>
        <v/>
      </c>
      <c r="AG203" s="29">
        <f>AD203*N(P203)/100</f>
        <v/>
      </c>
      <c r="AH203" s="50">
        <f>IF(Q203="yes",AD203/1000,0)</f>
        <v/>
      </c>
      <c r="AI203" s="50">
        <f>IF(S203="FG2",AH203*X203,AH203)</f>
        <v/>
      </c>
    </row>
    <row r="204">
      <c r="A204" s="7" t="inlineStr">
        <is>
          <t>HM00606</t>
        </is>
      </c>
      <c r="B204" s="16" t="inlineStr">
        <is>
          <t>4012345350432</t>
        </is>
      </c>
      <c r="C204" s="7" t="inlineStr">
        <is>
          <t>HM CORN FLAKES 1KG</t>
        </is>
      </c>
      <c r="D204" s="7" t="inlineStr">
        <is>
          <t>Corn flakes, 1kg</t>
        </is>
      </c>
      <c r="E204" s="7" t="inlineStr">
        <is>
          <t>Harbour Market</t>
        </is>
      </c>
      <c r="F204" s="7" t="inlineStr">
        <is>
          <t>Breakfast &amp; Snacks</t>
        </is>
      </c>
      <c r="G204" s="7" t="inlineStr">
        <is>
          <t>Cereals</t>
        </is>
      </c>
      <c r="H204" s="7" t="inlineStr">
        <is>
          <t>yes</t>
        </is>
      </c>
      <c r="I204" s="7" t="inlineStr">
        <is>
          <t>Plant-based non-core</t>
        </is>
      </c>
      <c r="J204" s="7" t="inlineStr">
        <is>
          <t>Refined grains</t>
        </is>
      </c>
      <c r="K204" s="7" t="inlineStr">
        <is>
          <t>A</t>
        </is>
      </c>
      <c r="L204" s="7" t="inlineStr">
        <is>
          <t>All ingredients on one side</t>
        </is>
      </c>
      <c r="M204" s="51" t="n">
        <v>6.9</v>
      </c>
      <c r="N204" s="7" t="inlineStr">
        <is>
          <t>Median of the family</t>
        </is>
      </c>
      <c r="O204" s="54" t="n">
        <v>6.9</v>
      </c>
      <c r="P204" s="54" t="n">
        <v>0</v>
      </c>
      <c r="Q204" s="7" t="inlineStr">
        <is>
          <t>yes</t>
        </is>
      </c>
      <c r="R204" s="7" t="inlineStr">
        <is>
          <t>whole</t>
        </is>
      </c>
      <c r="S204" s="7" t="inlineStr">
        <is>
          <t>FG5</t>
        </is>
      </c>
      <c r="T204" s="7" t="inlineStr">
        <is>
          <t>Refined grain</t>
        </is>
      </c>
      <c r="U204" s="7" t="inlineStr">
        <is>
          <t>plant</t>
        </is>
      </c>
      <c r="V204" s="7" t="n"/>
      <c r="W204" s="7" t="n"/>
      <c r="X204" s="55" t="n">
        <v>1</v>
      </c>
      <c r="Y204" s="50" t="n">
        <v>1</v>
      </c>
      <c r="Z204" s="7" t="inlineStr">
        <is>
          <t>declared</t>
        </is>
      </c>
      <c r="AA204" s="19">
        <f>IF(ISBLANK(Welcome!D230),"",Welcome!D230)</f>
        <v/>
      </c>
      <c r="AB204" s="29">
        <f>IF(ISBLANK(Welcome!E230),"",Welcome!E230)</f>
        <v/>
      </c>
      <c r="AC204" s="29">
        <f>IF(N(AB204)&gt;0,N(AB204),N(AA204)*Y204)</f>
        <v/>
      </c>
      <c r="AD204" s="29">
        <f>IF(H204="yes",AC204,0)</f>
        <v/>
      </c>
      <c r="AE204" s="29">
        <f>AD204*N(M204)/100</f>
        <v/>
      </c>
      <c r="AF204" s="29">
        <f>AD204*N(O204)/100</f>
        <v/>
      </c>
      <c r="AG204" s="29">
        <f>AD204*N(P204)/100</f>
        <v/>
      </c>
      <c r="AH204" s="50">
        <f>IF(Q204="yes",AD204/1000,0)</f>
        <v/>
      </c>
      <c r="AI204" s="50">
        <f>IF(S204="FG2",AH204*X204,AH204)</f>
        <v/>
      </c>
    </row>
    <row r="205">
      <c r="A205" s="7" t="inlineStr">
        <is>
          <t>HM00238</t>
        </is>
      </c>
      <c r="B205" s="16" t="inlineStr">
        <is>
          <t>8712345043087</t>
        </is>
      </c>
      <c r="C205" s="7" t="inlineStr">
        <is>
          <t>HM WHITE SLICED THICK 250G</t>
        </is>
      </c>
      <c r="D205" s="7" t="inlineStr">
        <is>
          <t>Thick sliced white bread, 250g</t>
        </is>
      </c>
      <c r="E205" s="7" t="inlineStr">
        <is>
          <t>Harbour Market</t>
        </is>
      </c>
      <c r="F205" s="7" t="inlineStr">
        <is>
          <t>Bakery</t>
        </is>
      </c>
      <c r="G205" s="7" t="inlineStr">
        <is>
          <t>Bread</t>
        </is>
      </c>
      <c r="H205" s="7" t="inlineStr">
        <is>
          <t>yes</t>
        </is>
      </c>
      <c r="I205" s="7" t="inlineStr">
        <is>
          <t>Plant-based non-core</t>
        </is>
      </c>
      <c r="J205" s="7" t="inlineStr">
        <is>
          <t>Refined grains</t>
        </is>
      </c>
      <c r="K205" s="7" t="inlineStr">
        <is>
          <t>B</t>
        </is>
      </c>
      <c r="L205" s="7" t="inlineStr">
        <is>
          <t>Follows the class</t>
        </is>
      </c>
      <c r="M205" s="51" t="n">
        <v>8.199999999999999</v>
      </c>
      <c r="N205" s="7" t="inlineStr">
        <is>
          <t>Declared by the retailer</t>
        </is>
      </c>
      <c r="O205" s="54" t="n">
        <v>8.199999999999999</v>
      </c>
      <c r="P205" s="54" t="n">
        <v>0</v>
      </c>
      <c r="Q205" s="7" t="inlineStr">
        <is>
          <t>yes</t>
        </is>
      </c>
      <c r="R205" s="7" t="inlineStr">
        <is>
          <t>whole</t>
        </is>
      </c>
      <c r="S205" s="7" t="inlineStr">
        <is>
          <t>FG5</t>
        </is>
      </c>
      <c r="T205" s="7" t="inlineStr">
        <is>
          <t>Refined grain</t>
        </is>
      </c>
      <c r="U205" s="7" t="inlineStr">
        <is>
          <t>plant</t>
        </is>
      </c>
      <c r="V205" s="7" t="n"/>
      <c r="W205" s="7" t="n"/>
      <c r="X205" s="55" t="n">
        <v>1</v>
      </c>
      <c r="Y205" s="50" t="n">
        <v>0.25</v>
      </c>
      <c r="Z205" s="7" t="inlineStr">
        <is>
          <t>declared</t>
        </is>
      </c>
      <c r="AA205" s="19">
        <f>IF(ISBLANK(Welcome!D231),"",Welcome!D231)</f>
        <v/>
      </c>
      <c r="AB205" s="29">
        <f>IF(ISBLANK(Welcome!E231),"",Welcome!E231)</f>
        <v/>
      </c>
      <c r="AC205" s="29">
        <f>IF(N(AB205)&gt;0,N(AB205),N(AA205)*Y205)</f>
        <v/>
      </c>
      <c r="AD205" s="29">
        <f>IF(H205="yes",AC205,0)</f>
        <v/>
      </c>
      <c r="AE205" s="29">
        <f>AD205*N(M205)/100</f>
        <v/>
      </c>
      <c r="AF205" s="29">
        <f>AD205*N(O205)/100</f>
        <v/>
      </c>
      <c r="AG205" s="29">
        <f>AD205*N(P205)/100</f>
        <v/>
      </c>
      <c r="AH205" s="50">
        <f>IF(Q205="yes",AD205/1000,0)</f>
        <v/>
      </c>
      <c r="AI205" s="50">
        <f>IF(S205="FG2",AH205*X205,AH205)</f>
        <v/>
      </c>
    </row>
    <row r="206">
      <c r="A206" s="7" t="inlineStr">
        <is>
          <t>HM00229</t>
        </is>
      </c>
      <c r="B206" s="16" t="inlineStr">
        <is>
          <t>3012345445665</t>
        </is>
      </c>
      <c r="C206" s="7" t="inlineStr">
        <is>
          <t>HM ORANGE JUICE SMOOTH 1.75L</t>
        </is>
      </c>
      <c r="D206" s="7" t="inlineStr">
        <is>
          <t>Smooth orange juice, 1.75l</t>
        </is>
      </c>
      <c r="E206" s="7" t="inlineStr">
        <is>
          <t>Harbour Market</t>
        </is>
      </c>
      <c r="F206" s="7" t="inlineStr">
        <is>
          <t>Soft Drinks &amp; Water</t>
        </is>
      </c>
      <c r="G206" s="7" t="inlineStr">
        <is>
          <t>Juice</t>
        </is>
      </c>
      <c r="H206" s="7" t="inlineStr">
        <is>
          <t>yes</t>
        </is>
      </c>
      <c r="I206" s="7" t="inlineStr">
        <is>
          <t>Plant-based non-core</t>
        </is>
      </c>
      <c r="J206" s="7" t="inlineStr">
        <is>
          <t>Outside the WWF scope</t>
        </is>
      </c>
      <c r="K206" s="7" t="inlineStr">
        <is>
          <t>A</t>
        </is>
      </c>
      <c r="L206" s="7" t="inlineStr">
        <is>
          <t>All ingredients on one side</t>
        </is>
      </c>
      <c r="M206" s="51" t="n">
        <v>0.74</v>
      </c>
      <c r="N206" s="7" t="inlineStr">
        <is>
          <t>National food table (CIQUAL in France)</t>
        </is>
      </c>
      <c r="O206" s="54" t="n">
        <v>0.74</v>
      </c>
      <c r="P206" s="54" t="n">
        <v>0</v>
      </c>
      <c r="Q206" s="7" t="inlineStr">
        <is>
          <t>no</t>
        </is>
      </c>
      <c r="R206" s="7" t="n"/>
      <c r="S206" s="7" t="n"/>
      <c r="T206" s="7" t="n"/>
      <c r="U206" s="7" t="n"/>
      <c r="V206" s="7" t="n"/>
      <c r="W206" s="7" t="inlineStr">
        <is>
          <t>beverage</t>
        </is>
      </c>
      <c r="X206" s="55" t="n">
        <v>1</v>
      </c>
      <c r="Y206" s="50" t="n">
        <v>1.82</v>
      </c>
      <c r="Z206" s="7" t="inlineStr">
        <is>
          <t>declared</t>
        </is>
      </c>
      <c r="AA206" s="19">
        <f>IF(ISBLANK(Welcome!D232),"",Welcome!D232)</f>
        <v/>
      </c>
      <c r="AB206" s="29">
        <f>IF(ISBLANK(Welcome!E232),"",Welcome!E232)</f>
        <v/>
      </c>
      <c r="AC206" s="29">
        <f>IF(N(AB206)&gt;0,N(AB206),N(AA206)*Y206)</f>
        <v/>
      </c>
      <c r="AD206" s="29">
        <f>IF(H206="yes",AC206,0)</f>
        <v/>
      </c>
      <c r="AE206" s="29">
        <f>AD206*N(M206)/100</f>
        <v/>
      </c>
      <c r="AF206" s="29">
        <f>AD206*N(O206)/100</f>
        <v/>
      </c>
      <c r="AG206" s="29">
        <f>AD206*N(P206)/100</f>
        <v/>
      </c>
      <c r="AH206" s="50">
        <f>IF(Q206="yes",AD206/1000,0)</f>
        <v/>
      </c>
      <c r="AI206" s="50">
        <f>IF(S206="FG2",AH206*X206,AH206)</f>
        <v/>
      </c>
    </row>
    <row r="207">
      <c r="A207" s="7" t="inlineStr">
        <is>
          <t>HM00745</t>
        </is>
      </c>
      <c r="B207" s="16" t="inlineStr">
        <is>
          <t>2809464823400</t>
        </is>
      </c>
      <c r="C207" s="7" t="inlineStr">
        <is>
          <t>HM BABY SPINACH KG</t>
        </is>
      </c>
      <c r="D207" s="7" t="inlineStr">
        <is>
          <t>Baby spinach</t>
        </is>
      </c>
      <c r="E207" s="7" t="inlineStr">
        <is>
          <t>Harbour Market</t>
        </is>
      </c>
      <c r="F207" s="7" t="inlineStr">
        <is>
          <t>Fruit &amp; Vegetables</t>
        </is>
      </c>
      <c r="G207" s="7" t="inlineStr">
        <is>
          <t>Vegetables</t>
        </is>
      </c>
      <c r="H207" s="7" t="inlineStr">
        <is>
          <t>yes</t>
        </is>
      </c>
      <c r="I207" s="7" t="inlineStr">
        <is>
          <t>Plant-based non-core</t>
        </is>
      </c>
      <c r="J207" s="7" t="inlineStr">
        <is>
          <t>Fruit and vegetables</t>
        </is>
      </c>
      <c r="K207" s="7" t="inlineStr">
        <is>
          <t>B</t>
        </is>
      </c>
      <c r="L207" s="7" t="inlineStr">
        <is>
          <t>Follows the class</t>
        </is>
      </c>
      <c r="M207" s="51" t="n">
        <v>2.9</v>
      </c>
      <c r="N207" s="7" t="inlineStr">
        <is>
          <t>Median of the family</t>
        </is>
      </c>
      <c r="O207" s="54" t="n">
        <v>2.9</v>
      </c>
      <c r="P207" s="54" t="n">
        <v>0</v>
      </c>
      <c r="Q207" s="7" t="inlineStr">
        <is>
          <t>yes</t>
        </is>
      </c>
      <c r="R207" s="7" t="inlineStr">
        <is>
          <t>whole</t>
        </is>
      </c>
      <c r="S207" s="7" t="inlineStr">
        <is>
          <t>FG4</t>
        </is>
      </c>
      <c r="T207" s="7" t="n"/>
      <c r="U207" s="7" t="inlineStr">
        <is>
          <t>plant</t>
        </is>
      </c>
      <c r="V207" s="7" t="n"/>
      <c r="W207" s="7" t="n"/>
      <c r="X207" s="55" t="n">
        <v>1</v>
      </c>
      <c r="Y207" s="50" t="n">
        <v>1</v>
      </c>
      <c r="Z207" s="7" t="inlineStr">
        <is>
          <t>variable</t>
        </is>
      </c>
      <c r="AA207" s="19">
        <f>IF(ISBLANK(Welcome!D233),"",Welcome!D233)</f>
        <v/>
      </c>
      <c r="AB207" s="29">
        <f>IF(ISBLANK(Welcome!E233),"",Welcome!E233)</f>
        <v/>
      </c>
      <c r="AC207" s="29">
        <f>IF(N(AB207)&gt;0,N(AB207),N(AA207)*Y207)</f>
        <v/>
      </c>
      <c r="AD207" s="29">
        <f>IF(H207="yes",AC207,0)</f>
        <v/>
      </c>
      <c r="AE207" s="29">
        <f>AD207*N(M207)/100</f>
        <v/>
      </c>
      <c r="AF207" s="29">
        <f>AD207*N(O207)/100</f>
        <v/>
      </c>
      <c r="AG207" s="29">
        <f>AD207*N(P207)/100</f>
        <v/>
      </c>
      <c r="AH207" s="50">
        <f>IF(Q207="yes",AD207/1000,0)</f>
        <v/>
      </c>
      <c r="AI207" s="50">
        <f>IF(S207="FG2",AH207*X207,AH207)</f>
        <v/>
      </c>
    </row>
    <row r="208">
      <c r="A208" s="7" t="inlineStr">
        <is>
          <t>HM00609</t>
        </is>
      </c>
      <c r="B208" s="16" t="inlineStr">
        <is>
          <t>5012345288635</t>
        </is>
      </c>
      <c r="C208" s="7" t="inlineStr">
        <is>
          <t>HM RASPBERRIES 6PK</t>
        </is>
      </c>
      <c r="D208" s="7" t="inlineStr">
        <is>
          <t>Raspberries, 6pk</t>
        </is>
      </c>
      <c r="E208" s="7" t="inlineStr">
        <is>
          <t>Harbour Market</t>
        </is>
      </c>
      <c r="F208" s="7" t="inlineStr">
        <is>
          <t>Fruit &amp; Vegetables</t>
        </is>
      </c>
      <c r="G208" s="7" t="inlineStr">
        <is>
          <t>Fruit</t>
        </is>
      </c>
      <c r="H208" s="7" t="inlineStr">
        <is>
          <t>yes</t>
        </is>
      </c>
      <c r="I208" s="7" t="inlineStr">
        <is>
          <t>Plant-based non-core</t>
        </is>
      </c>
      <c r="J208" s="7" t="inlineStr">
        <is>
          <t>Fruit and vegetables</t>
        </is>
      </c>
      <c r="K208" s="7" t="inlineStr">
        <is>
          <t>B</t>
        </is>
      </c>
      <c r="L208" s="7" t="inlineStr">
        <is>
          <t>Follows the class</t>
        </is>
      </c>
      <c r="M208" s="51" t="n">
        <v>1.1</v>
      </c>
      <c r="N208" s="7" t="inlineStr">
        <is>
          <t>Declared by the retailer</t>
        </is>
      </c>
      <c r="O208" s="54" t="n">
        <v>1.1</v>
      </c>
      <c r="P208" s="54" t="n">
        <v>0</v>
      </c>
      <c r="Q208" s="7" t="inlineStr">
        <is>
          <t>yes</t>
        </is>
      </c>
      <c r="R208" s="7" t="inlineStr">
        <is>
          <t>whole</t>
        </is>
      </c>
      <c r="S208" s="7" t="inlineStr">
        <is>
          <t>FG4</t>
        </is>
      </c>
      <c r="T208" s="7" t="n"/>
      <c r="U208" s="7" t="inlineStr">
        <is>
          <t>plant</t>
        </is>
      </c>
      <c r="V208" s="7" t="n"/>
      <c r="W208" s="7" t="n"/>
      <c r="X208" s="55" t="n">
        <v>1</v>
      </c>
      <c r="Y208" s="50" t="n">
        <v>0.9</v>
      </c>
      <c r="Z208" s="7" t="inlineStr">
        <is>
          <t>declared</t>
        </is>
      </c>
      <c r="AA208" s="19">
        <f>IF(ISBLANK(Welcome!D234),"",Welcome!D234)</f>
        <v/>
      </c>
      <c r="AB208" s="29">
        <f>IF(ISBLANK(Welcome!E234),"",Welcome!E234)</f>
        <v/>
      </c>
      <c r="AC208" s="29">
        <f>IF(N(AB208)&gt;0,N(AB208),N(AA208)*Y208)</f>
        <v/>
      </c>
      <c r="AD208" s="29">
        <f>IF(H208="yes",AC208,0)</f>
        <v/>
      </c>
      <c r="AE208" s="29">
        <f>AD208*N(M208)/100</f>
        <v/>
      </c>
      <c r="AF208" s="29">
        <f>AD208*N(O208)/100</f>
        <v/>
      </c>
      <c r="AG208" s="29">
        <f>AD208*N(P208)/100</f>
        <v/>
      </c>
      <c r="AH208" s="50">
        <f>IF(Q208="yes",AD208/1000,0)</f>
        <v/>
      </c>
      <c r="AI208" s="50">
        <f>IF(S208="FG2",AH208*X208,AH208)</f>
        <v/>
      </c>
    </row>
    <row r="209">
      <c r="A209" s="7" t="inlineStr">
        <is>
          <t>HM00473</t>
        </is>
      </c>
      <c r="B209" s="16" t="inlineStr">
        <is>
          <t>8712345520335</t>
        </is>
      </c>
      <c r="C209" s="7" t="inlineStr">
        <is>
          <t>ALDERWICK QUARK 250G</t>
        </is>
      </c>
      <c r="D209" s="7" t="inlineStr">
        <is>
          <t>Quark, 250g</t>
        </is>
      </c>
      <c r="E209" s="7" t="inlineStr">
        <is>
          <t>Alderwick</t>
        </is>
      </c>
      <c r="F209" s="7" t="inlineStr">
        <is>
          <t>Cheese</t>
        </is>
      </c>
      <c r="G209" s="7" t="inlineStr">
        <is>
          <t>Fresh Cheese</t>
        </is>
      </c>
      <c r="H209" s="7" t="inlineStr">
        <is>
          <t>yes</t>
        </is>
      </c>
      <c r="I209" s="7" t="inlineStr">
        <is>
          <t>Animal core</t>
        </is>
      </c>
      <c r="J209" s="7" t="inlineStr">
        <is>
          <t>Cheese</t>
        </is>
      </c>
      <c r="K209" s="7" t="inlineStr">
        <is>
          <t>A</t>
        </is>
      </c>
      <c r="L209" s="7" t="inlineStr">
        <is>
          <t>All ingredients on one side</t>
        </is>
      </c>
      <c r="M209" s="51" t="n">
        <v>12.3</v>
      </c>
      <c r="N209" s="7" t="inlineStr">
        <is>
          <t>Open Food Facts and NEVO, by EAN</t>
        </is>
      </c>
      <c r="O209" s="54" t="n">
        <v>0</v>
      </c>
      <c r="P209" s="54" t="n">
        <v>12.3</v>
      </c>
      <c r="Q209" s="7" t="inlineStr">
        <is>
          <t>yes</t>
        </is>
      </c>
      <c r="R209" s="7" t="inlineStr">
        <is>
          <t>whole</t>
        </is>
      </c>
      <c r="S209" s="7" t="inlineStr">
        <is>
          <t>FG2</t>
        </is>
      </c>
      <c r="T209" s="7" t="inlineStr">
        <is>
          <t>Dairy</t>
        </is>
      </c>
      <c r="U209" s="7" t="inlineStr">
        <is>
          <t>animal</t>
        </is>
      </c>
      <c r="V209" s="7" t="n"/>
      <c r="W209" s="7" t="n"/>
      <c r="X209" s="55" t="n">
        <v>1</v>
      </c>
      <c r="Y209" s="50" t="n">
        <v>0.25</v>
      </c>
      <c r="Z209" s="7" t="inlineStr">
        <is>
          <t>declared</t>
        </is>
      </c>
      <c r="AA209" s="19">
        <f>IF(ISBLANK(Welcome!D235),"",Welcome!D235)</f>
        <v/>
      </c>
      <c r="AB209" s="29">
        <f>IF(ISBLANK(Welcome!E235),"",Welcome!E235)</f>
        <v/>
      </c>
      <c r="AC209" s="29">
        <f>IF(N(AB209)&gt;0,N(AB209),N(AA209)*Y209)</f>
        <v/>
      </c>
      <c r="AD209" s="29">
        <f>IF(H209="yes",AC209,0)</f>
        <v/>
      </c>
      <c r="AE209" s="29">
        <f>AD209*N(M209)/100</f>
        <v/>
      </c>
      <c r="AF209" s="29">
        <f>AD209*N(O209)/100</f>
        <v/>
      </c>
      <c r="AG209" s="29">
        <f>AD209*N(P209)/100</f>
        <v/>
      </c>
      <c r="AH209" s="50">
        <f>IF(Q209="yes",AD209/1000,0)</f>
        <v/>
      </c>
      <c r="AI209" s="50">
        <f>IF(S209="FG2",AH209*X209,AH209)</f>
        <v/>
      </c>
    </row>
    <row r="210">
      <c r="A210" s="7" t="inlineStr">
        <is>
          <t>HM00795</t>
        </is>
      </c>
      <c r="B210" s="16" t="inlineStr">
        <is>
          <t>4012345935370</t>
        </is>
      </c>
      <c r="C210" s="7" t="inlineStr">
        <is>
          <t>HM PEACH YOG 6X125G</t>
        </is>
      </c>
      <c r="D210" s="7" t="inlineStr">
        <is>
          <t>Peach yoghurt, 6x125g</t>
        </is>
      </c>
      <c r="E210" s="7" t="inlineStr">
        <is>
          <t>Harbour Market</t>
        </is>
      </c>
      <c r="F210" s="7" t="inlineStr">
        <is>
          <t>Dairy &amp; Eggs</t>
        </is>
      </c>
      <c r="G210" s="7" t="inlineStr">
        <is>
          <t>Yoghurt</t>
        </is>
      </c>
      <c r="H210" s="7" t="inlineStr">
        <is>
          <t>yes</t>
        </is>
      </c>
      <c r="I210" s="7" t="inlineStr">
        <is>
          <t>Animal core</t>
        </is>
      </c>
      <c r="J210" s="7" t="inlineStr">
        <is>
          <t>Milk, yoghurt and cream</t>
        </is>
      </c>
      <c r="K210" s="7" t="inlineStr">
        <is>
          <t>B</t>
        </is>
      </c>
      <c r="L210" s="7" t="inlineStr">
        <is>
          <t>First ingredient</t>
        </is>
      </c>
      <c r="M210" s="51" t="n">
        <v>3.7</v>
      </c>
      <c r="N210" s="7" t="inlineStr">
        <is>
          <t>Declared by the retailer</t>
        </is>
      </c>
      <c r="O210" s="54" t="n">
        <v>0</v>
      </c>
      <c r="P210" s="54" t="n">
        <v>3.7</v>
      </c>
      <c r="Q210" s="7" t="inlineStr">
        <is>
          <t>yes</t>
        </is>
      </c>
      <c r="R210" s="7" t="inlineStr">
        <is>
          <t>whole</t>
        </is>
      </c>
      <c r="S210" s="7" t="inlineStr">
        <is>
          <t>FG2</t>
        </is>
      </c>
      <c r="T210" s="7" t="inlineStr">
        <is>
          <t>Dairy</t>
        </is>
      </c>
      <c r="U210" s="7" t="inlineStr">
        <is>
          <t>animal</t>
        </is>
      </c>
      <c r="V210" s="7" t="n"/>
      <c r="W210" s="7" t="n"/>
      <c r="X210" s="55" t="n">
        <v>1</v>
      </c>
      <c r="Y210" s="50" t="n">
        <v>0.75</v>
      </c>
      <c r="Z210" s="7" t="inlineStr">
        <is>
          <t>declared</t>
        </is>
      </c>
      <c r="AA210" s="19">
        <f>IF(ISBLANK(Welcome!D236),"",Welcome!D236)</f>
        <v/>
      </c>
      <c r="AB210" s="29">
        <f>IF(ISBLANK(Welcome!E236),"",Welcome!E236)</f>
        <v/>
      </c>
      <c r="AC210" s="29">
        <f>IF(N(AB210)&gt;0,N(AB210),N(AA210)*Y210)</f>
        <v/>
      </c>
      <c r="AD210" s="29">
        <f>IF(H210="yes",AC210,0)</f>
        <v/>
      </c>
      <c r="AE210" s="29">
        <f>AD210*N(M210)/100</f>
        <v/>
      </c>
      <c r="AF210" s="29">
        <f>AD210*N(O210)/100</f>
        <v/>
      </c>
      <c r="AG210" s="29">
        <f>AD210*N(P210)/100</f>
        <v/>
      </c>
      <c r="AH210" s="50">
        <f>IF(Q210="yes",AD210/1000,0)</f>
        <v/>
      </c>
      <c r="AI210" s="50">
        <f>IF(S210="FG2",AH210*X210,AH210)</f>
        <v/>
      </c>
    </row>
    <row r="211">
      <c r="A211" s="7" t="inlineStr">
        <is>
          <t>HM00289</t>
        </is>
      </c>
      <c r="B211" s="16" t="inlineStr">
        <is>
          <t>5012345195490</t>
        </is>
      </c>
      <c r="C211" s="7" t="inlineStr">
        <is>
          <t>HM CHOC MILK DRINK 6X200ML</t>
        </is>
      </c>
      <c r="D211" s="7" t="inlineStr">
        <is>
          <t>Chocolate milk drink, 6x200ml</t>
        </is>
      </c>
      <c r="E211" s="7" t="inlineStr">
        <is>
          <t>Harbour Market</t>
        </is>
      </c>
      <c r="F211" s="7" t="inlineStr">
        <is>
          <t>Dairy &amp; Eggs</t>
        </is>
      </c>
      <c r="G211" s="7" t="inlineStr">
        <is>
          <t>Milk Drinks</t>
        </is>
      </c>
      <c r="H211" s="7" t="inlineStr">
        <is>
          <t>yes</t>
        </is>
      </c>
      <c r="I211" s="7" t="inlineStr">
        <is>
          <t>Animal &amp; plant composite</t>
        </is>
      </c>
      <c r="J211" s="7" t="inlineStr">
        <is>
          <t>Other</t>
        </is>
      </c>
      <c r="K211" s="7" t="inlineStr">
        <is>
          <t>A</t>
        </is>
      </c>
      <c r="L211" s="7" t="inlineStr">
        <is>
          <t>Ingredient list</t>
        </is>
      </c>
      <c r="M211" s="51" t="n">
        <v>3.3</v>
      </c>
      <c r="N211" s="7" t="inlineStr">
        <is>
          <t>Declared by the retailer</t>
        </is>
      </c>
      <c r="O211" s="54" t="n">
        <v>0.23</v>
      </c>
      <c r="P211" s="54" t="n">
        <v>3.07</v>
      </c>
      <c r="Q211" s="7" t="inlineStr">
        <is>
          <t>yes</t>
        </is>
      </c>
      <c r="R211" s="7" t="inlineStr">
        <is>
          <t>whole</t>
        </is>
      </c>
      <c r="S211" s="7" t="inlineStr">
        <is>
          <t>FG2</t>
        </is>
      </c>
      <c r="T211" s="7" t="inlineStr">
        <is>
          <t>Dairy</t>
        </is>
      </c>
      <c r="U211" s="7" t="inlineStr">
        <is>
          <t>animal</t>
        </is>
      </c>
      <c r="V211" s="7" t="n"/>
      <c r="W211" s="7" t="n"/>
      <c r="X211" s="55" t="n">
        <v>1</v>
      </c>
      <c r="Y211" s="50" t="n">
        <v>1.24</v>
      </c>
      <c r="Z211" s="7" t="inlineStr">
        <is>
          <t>declared</t>
        </is>
      </c>
      <c r="AA211" s="19">
        <f>IF(ISBLANK(Welcome!D237),"",Welcome!D237)</f>
        <v/>
      </c>
      <c r="AB211" s="29">
        <f>IF(ISBLANK(Welcome!E237),"",Welcome!E237)</f>
        <v/>
      </c>
      <c r="AC211" s="29">
        <f>IF(N(AB211)&gt;0,N(AB211),N(AA211)*Y211)</f>
        <v/>
      </c>
      <c r="AD211" s="29">
        <f>IF(H211="yes",AC211,0)</f>
        <v/>
      </c>
      <c r="AE211" s="29">
        <f>AD211*N(M211)/100</f>
        <v/>
      </c>
      <c r="AF211" s="29">
        <f>AD211*N(O211)/100</f>
        <v/>
      </c>
      <c r="AG211" s="29">
        <f>AD211*N(P211)/100</f>
        <v/>
      </c>
      <c r="AH211" s="50">
        <f>IF(Q211="yes",AD211/1000,0)</f>
        <v/>
      </c>
      <c r="AI211" s="50">
        <f>IF(S211="FG2",AH211*X211,AH211)</f>
        <v/>
      </c>
    </row>
    <row r="212">
      <c r="A212" s="7" t="inlineStr">
        <is>
          <t>HM00314</t>
        </is>
      </c>
      <c r="B212" s="16" t="inlineStr">
        <is>
          <t>3012345351287</t>
        </is>
      </c>
      <c r="C212" s="7" t="inlineStr">
        <is>
          <t>HM PORK SHLDR JOINT 500G</t>
        </is>
      </c>
      <c r="D212" s="7" t="inlineStr">
        <is>
          <t>Pork shoulder joint, 500g</t>
        </is>
      </c>
      <c r="E212" s="7" t="inlineStr">
        <is>
          <t>Harbour Market</t>
        </is>
      </c>
      <c r="F212" s="7" t="inlineStr">
        <is>
          <t>Fresh Meat &amp; Poultry</t>
        </is>
      </c>
      <c r="G212" s="7" t="inlineStr">
        <is>
          <t>Pork</t>
        </is>
      </c>
      <c r="H212" s="7" t="inlineStr">
        <is>
          <t>yes</t>
        </is>
      </c>
      <c r="I212" s="7" t="inlineStr">
        <is>
          <t>Animal core</t>
        </is>
      </c>
      <c r="J212" s="7" t="inlineStr">
        <is>
          <t>Red meat</t>
        </is>
      </c>
      <c r="K212" s="7" t="inlineStr">
        <is>
          <t>B</t>
        </is>
      </c>
      <c r="L212" s="7" t="inlineStr">
        <is>
          <t>Follows the class</t>
        </is>
      </c>
      <c r="M212" s="51" t="n">
        <v>20.5</v>
      </c>
      <c r="N212" s="7" t="inlineStr">
        <is>
          <t>Open Food Facts and NEVO, by EAN</t>
        </is>
      </c>
      <c r="O212" s="54" t="n">
        <v>0</v>
      </c>
      <c r="P212" s="54" t="n">
        <v>20.5</v>
      </c>
      <c r="Q212" s="7" t="inlineStr">
        <is>
          <t>yes</t>
        </is>
      </c>
      <c r="R212" s="7" t="inlineStr">
        <is>
          <t>whole</t>
        </is>
      </c>
      <c r="S212" s="7" t="inlineStr">
        <is>
          <t>FG1</t>
        </is>
      </c>
      <c r="T212" s="7" t="inlineStr">
        <is>
          <t>Red meat</t>
        </is>
      </c>
      <c r="U212" s="7" t="inlineStr">
        <is>
          <t>animal</t>
        </is>
      </c>
      <c r="V212" s="7" t="n"/>
      <c r="W212" s="7" t="n"/>
      <c r="X212" s="55" t="n">
        <v>1</v>
      </c>
      <c r="Y212" s="50" t="n">
        <v>0.5</v>
      </c>
      <c r="Z212" s="7" t="inlineStr">
        <is>
          <t>declared</t>
        </is>
      </c>
      <c r="AA212" s="19">
        <f>IF(ISBLANK(Welcome!D238),"",Welcome!D238)</f>
        <v/>
      </c>
      <c r="AB212" s="29">
        <f>IF(ISBLANK(Welcome!E238),"",Welcome!E238)</f>
        <v/>
      </c>
      <c r="AC212" s="29">
        <f>IF(N(AB212)&gt;0,N(AB212),N(AA212)*Y212)</f>
        <v/>
      </c>
      <c r="AD212" s="29">
        <f>IF(H212="yes",AC212,0)</f>
        <v/>
      </c>
      <c r="AE212" s="29">
        <f>AD212*N(M212)/100</f>
        <v/>
      </c>
      <c r="AF212" s="29">
        <f>AD212*N(O212)/100</f>
        <v/>
      </c>
      <c r="AG212" s="29">
        <f>AD212*N(P212)/100</f>
        <v/>
      </c>
      <c r="AH212" s="50">
        <f>IF(Q212="yes",AD212/1000,0)</f>
        <v/>
      </c>
      <c r="AI212" s="50">
        <f>IF(S212="FG2",AH212*X212,AH212)</f>
        <v/>
      </c>
    </row>
    <row r="213">
      <c r="A213" s="7" t="inlineStr">
        <is>
          <t>HM00533</t>
        </is>
      </c>
      <c r="B213" s="16" t="inlineStr">
        <is>
          <t>4012345914429</t>
        </is>
      </c>
      <c r="C213" s="7" t="inlineStr">
        <is>
          <t>WHEAT BEER 4X440ML PENWARD</t>
        </is>
      </c>
      <c r="D213" s="7" t="inlineStr">
        <is>
          <t>Wheat beer, 4x440ml</t>
        </is>
      </c>
      <c r="E213" s="7" t="inlineStr">
        <is>
          <t>Penward</t>
        </is>
      </c>
      <c r="F213" s="7" t="inlineStr">
        <is>
          <t>Beer, Wine &amp; Spirits</t>
        </is>
      </c>
      <c r="G213" s="7" t="inlineStr">
        <is>
          <t>Beer &amp; Cider</t>
        </is>
      </c>
      <c r="H213" s="7" t="inlineStr">
        <is>
          <t>yes</t>
        </is>
      </c>
      <c r="I213" s="7" t="inlineStr">
        <is>
          <t>Plant-based non-core</t>
        </is>
      </c>
      <c r="J213" s="7" t="inlineStr">
        <is>
          <t>Outside the WWF scope</t>
        </is>
      </c>
      <c r="K213" s="7" t="inlineStr">
        <is>
          <t>A</t>
        </is>
      </c>
      <c r="L213" s="7" t="inlineStr">
        <is>
          <t>All ingredients on one side</t>
        </is>
      </c>
      <c r="M213" s="51" t="n">
        <v>0.5</v>
      </c>
      <c r="N213" s="7" t="inlineStr">
        <is>
          <t>Declared by the retailer</t>
        </is>
      </c>
      <c r="O213" s="54" t="n">
        <v>0.5</v>
      </c>
      <c r="P213" s="54" t="n">
        <v>0</v>
      </c>
      <c r="Q213" s="7" t="inlineStr">
        <is>
          <t>no</t>
        </is>
      </c>
      <c r="R213" s="7" t="n"/>
      <c r="S213" s="7" t="n"/>
      <c r="T213" s="7" t="n"/>
      <c r="U213" s="7" t="n"/>
      <c r="V213" s="7" t="n"/>
      <c r="W213" s="7" t="inlineStr">
        <is>
          <t>alcohol</t>
        </is>
      </c>
      <c r="X213" s="55" t="n">
        <v>1</v>
      </c>
      <c r="Y213" s="50" t="n">
        <v>1.76</v>
      </c>
      <c r="Z213" s="7" t="inlineStr">
        <is>
          <t>declared</t>
        </is>
      </c>
      <c r="AA213" s="19">
        <f>IF(ISBLANK(Welcome!D239),"",Welcome!D239)</f>
        <v/>
      </c>
      <c r="AB213" s="29">
        <f>IF(ISBLANK(Welcome!E239),"",Welcome!E239)</f>
        <v/>
      </c>
      <c r="AC213" s="29">
        <f>IF(N(AB213)&gt;0,N(AB213),N(AA213)*Y213)</f>
        <v/>
      </c>
      <c r="AD213" s="29">
        <f>IF(H213="yes",AC213,0)</f>
        <v/>
      </c>
      <c r="AE213" s="29">
        <f>AD213*N(M213)/100</f>
        <v/>
      </c>
      <c r="AF213" s="29">
        <f>AD213*N(O213)/100</f>
        <v/>
      </c>
      <c r="AG213" s="29">
        <f>AD213*N(P213)/100</f>
        <v/>
      </c>
      <c r="AH213" s="50">
        <f>IF(Q213="yes",AD213/1000,0)</f>
        <v/>
      </c>
      <c r="AI213" s="50">
        <f>IF(S213="FG2",AH213*X213,AH213)</f>
        <v/>
      </c>
    </row>
    <row r="214">
      <c r="A214" s="7" t="inlineStr">
        <is>
          <t>HM00482</t>
        </is>
      </c>
      <c r="B214" s="16" t="inlineStr">
        <is>
          <t>8712345792923</t>
        </is>
      </c>
      <c r="C214" s="7" t="inlineStr">
        <is>
          <t>BRAMBLECOTE GINGER NUTS 300G</t>
        </is>
      </c>
      <c r="D214" s="7" t="inlineStr">
        <is>
          <t>Ginger nut biscuits, 300g</t>
        </is>
      </c>
      <c r="E214" s="7" t="inlineStr">
        <is>
          <t>Bramblecote</t>
        </is>
      </c>
      <c r="F214" s="7" t="inlineStr">
        <is>
          <t>Breakfast &amp; Snacks</t>
        </is>
      </c>
      <c r="G214" s="7" t="inlineStr">
        <is>
          <t>Biscuits</t>
        </is>
      </c>
      <c r="H214" s="7" t="inlineStr">
        <is>
          <t>yes</t>
        </is>
      </c>
      <c r="I214" s="7" t="inlineStr">
        <is>
          <t>Plant-based non-core</t>
        </is>
      </c>
      <c r="J214" s="7" t="inlineStr">
        <is>
          <t>Discretionary products</t>
        </is>
      </c>
      <c r="K214" s="7" t="inlineStr">
        <is>
          <t>A</t>
        </is>
      </c>
      <c r="L214" s="7" t="inlineStr">
        <is>
          <t>All ingredients on one side</t>
        </is>
      </c>
      <c r="M214" s="51" t="n">
        <v>6.9</v>
      </c>
      <c r="N214" s="7" t="inlineStr">
        <is>
          <t>Declared by the retailer</t>
        </is>
      </c>
      <c r="O214" s="54" t="n">
        <v>6.9</v>
      </c>
      <c r="P214" s="54" t="n">
        <v>0</v>
      </c>
      <c r="Q214" s="7" t="inlineStr">
        <is>
          <t>yes</t>
        </is>
      </c>
      <c r="R214" s="7" t="inlineStr">
        <is>
          <t>whole</t>
        </is>
      </c>
      <c r="S214" s="7" t="inlineStr">
        <is>
          <t>FG7</t>
        </is>
      </c>
      <c r="T214" s="7" t="n"/>
      <c r="U214" s="7" t="inlineStr">
        <is>
          <t>plant</t>
        </is>
      </c>
      <c r="V214" s="7" t="n"/>
      <c r="W214" s="7" t="n"/>
      <c r="X214" s="55" t="n">
        <v>1</v>
      </c>
      <c r="Y214" s="50" t="n">
        <v>0.3</v>
      </c>
      <c r="Z214" s="7" t="inlineStr">
        <is>
          <t>declared</t>
        </is>
      </c>
      <c r="AA214" s="19">
        <f>IF(ISBLANK(Welcome!D240),"",Welcome!D240)</f>
        <v/>
      </c>
      <c r="AB214" s="29">
        <f>IF(ISBLANK(Welcome!E240),"",Welcome!E240)</f>
        <v/>
      </c>
      <c r="AC214" s="29">
        <f>IF(N(AB214)&gt;0,N(AB214),N(AA214)*Y214)</f>
        <v/>
      </c>
      <c r="AD214" s="29">
        <f>IF(H214="yes",AC214,0)</f>
        <v/>
      </c>
      <c r="AE214" s="29">
        <f>AD214*N(M214)/100</f>
        <v/>
      </c>
      <c r="AF214" s="29">
        <f>AD214*N(O214)/100</f>
        <v/>
      </c>
      <c r="AG214" s="29">
        <f>AD214*N(P214)/100</f>
        <v/>
      </c>
      <c r="AH214" s="50">
        <f>IF(Q214="yes",AD214/1000,0)</f>
        <v/>
      </c>
      <c r="AI214" s="50">
        <f>IF(S214="FG2",AH214*X214,AH214)</f>
        <v/>
      </c>
    </row>
    <row r="215">
      <c r="A215" s="7" t="inlineStr">
        <is>
          <t>HM00008</t>
        </is>
      </c>
      <c r="B215" s="16" t="inlineStr">
        <is>
          <t>3012345602952</t>
        </is>
      </c>
      <c r="C215" s="7" t="inlineStr">
        <is>
          <t>BBQ PORK RIBS MARIN 700G TARROW</t>
        </is>
      </c>
      <c r="D215" s="7" t="inlineStr">
        <is>
          <t>Marinated BBQ pork ribs, 700g</t>
        </is>
      </c>
      <c r="E215" s="7" t="inlineStr">
        <is>
          <t>Tarrow Farm</t>
        </is>
      </c>
      <c r="F215" s="7" t="inlineStr">
        <is>
          <t>Fresh Meat &amp; Poultry</t>
        </is>
      </c>
      <c r="G215" s="7" t="inlineStr">
        <is>
          <t>BBQ &amp; Marinated</t>
        </is>
      </c>
      <c r="H215" s="7" t="inlineStr">
        <is>
          <t>yes</t>
        </is>
      </c>
      <c r="I215" s="7" t="inlineStr">
        <is>
          <t>Animal core</t>
        </is>
      </c>
      <c r="J215" s="7" t="inlineStr">
        <is>
          <t>Red meat</t>
        </is>
      </c>
      <c r="K215" s="7" t="inlineStr">
        <is>
          <t>B</t>
        </is>
      </c>
      <c r="L215" s="7" t="inlineStr">
        <is>
          <t>First ingredient</t>
        </is>
      </c>
      <c r="M215" s="51" t="n">
        <v>16.7</v>
      </c>
      <c r="N215" s="7" t="inlineStr">
        <is>
          <t>Median of the family</t>
        </is>
      </c>
      <c r="O215" s="54" t="n">
        <v>0</v>
      </c>
      <c r="P215" s="54" t="n">
        <v>16.7</v>
      </c>
      <c r="Q215" s="7" t="inlineStr">
        <is>
          <t>yes</t>
        </is>
      </c>
      <c r="R215" s="7" t="inlineStr">
        <is>
          <t>whole</t>
        </is>
      </c>
      <c r="S215" s="7" t="inlineStr">
        <is>
          <t>FG1</t>
        </is>
      </c>
      <c r="T215" s="7" t="inlineStr">
        <is>
          <t>Red meat</t>
        </is>
      </c>
      <c r="U215" s="7" t="inlineStr">
        <is>
          <t>animal</t>
        </is>
      </c>
      <c r="V215" s="7" t="n"/>
      <c r="W215" s="7" t="n"/>
      <c r="X215" s="55" t="n">
        <v>1</v>
      </c>
      <c r="Y215" s="50" t="n">
        <v>0.7</v>
      </c>
      <c r="Z215" s="7" t="inlineStr">
        <is>
          <t>declared</t>
        </is>
      </c>
      <c r="AA215" s="19">
        <f>IF(ISBLANK(Welcome!D241),"",Welcome!D241)</f>
        <v/>
      </c>
      <c r="AB215" s="29">
        <f>IF(ISBLANK(Welcome!E241),"",Welcome!E241)</f>
        <v/>
      </c>
      <c r="AC215" s="29">
        <f>IF(N(AB215)&gt;0,N(AB215),N(AA215)*Y215)</f>
        <v/>
      </c>
      <c r="AD215" s="29">
        <f>IF(H215="yes",AC215,0)</f>
        <v/>
      </c>
      <c r="AE215" s="29">
        <f>AD215*N(M215)/100</f>
        <v/>
      </c>
      <c r="AF215" s="29">
        <f>AD215*N(O215)/100</f>
        <v/>
      </c>
      <c r="AG215" s="29">
        <f>AD215*N(P215)/100</f>
        <v/>
      </c>
      <c r="AH215" s="50">
        <f>IF(Q215="yes",AD215/1000,0)</f>
        <v/>
      </c>
      <c r="AI215" s="50">
        <f>IF(S215="FG2",AH215*X215,AH215)</f>
        <v/>
      </c>
    </row>
    <row r="216">
      <c r="A216" s="7" t="inlineStr">
        <is>
          <t>HM00800</t>
        </is>
      </c>
      <c r="B216" s="16" t="inlineStr">
        <is>
          <t>8712345540999</t>
        </is>
      </c>
      <c r="C216" s="7" t="inlineStr">
        <is>
          <t>HM MARIS PIPER POTATOES 1KG</t>
        </is>
      </c>
      <c r="D216" s="7" t="inlineStr">
        <is>
          <t>Maris Piper potatoes, 1kg</t>
        </is>
      </c>
      <c r="E216" s="7" t="inlineStr">
        <is>
          <t>Harbour Market</t>
        </is>
      </c>
      <c r="F216" s="7" t="inlineStr">
        <is>
          <t>Fruit &amp; Vegetables</t>
        </is>
      </c>
      <c r="G216" s="7" t="inlineStr">
        <is>
          <t>Potatoes</t>
        </is>
      </c>
      <c r="H216" s="7" t="inlineStr">
        <is>
          <t>yes</t>
        </is>
      </c>
      <c r="I216" s="7" t="inlineStr">
        <is>
          <t>Plant-based non-core</t>
        </is>
      </c>
      <c r="J216" s="7" t="inlineStr">
        <is>
          <t>Starchy foods</t>
        </is>
      </c>
      <c r="K216" s="7" t="inlineStr">
        <is>
          <t>B</t>
        </is>
      </c>
      <c r="L216" s="7" t="inlineStr">
        <is>
          <t>Follows the class</t>
        </is>
      </c>
      <c r="M216" s="51" t="n">
        <v>2</v>
      </c>
      <c r="N216" s="7" t="inlineStr">
        <is>
          <t>Altera reference base</t>
        </is>
      </c>
      <c r="O216" s="54" t="n">
        <v>2</v>
      </c>
      <c r="P216" s="54" t="n">
        <v>0</v>
      </c>
      <c r="Q216" s="7" t="inlineStr">
        <is>
          <t>yes</t>
        </is>
      </c>
      <c r="R216" s="7" t="inlineStr">
        <is>
          <t>whole</t>
        </is>
      </c>
      <c r="S216" s="7" t="inlineStr">
        <is>
          <t>FG6</t>
        </is>
      </c>
      <c r="T216" s="7" t="n"/>
      <c r="U216" s="7" t="inlineStr">
        <is>
          <t>plant</t>
        </is>
      </c>
      <c r="V216" s="7" t="n"/>
      <c r="W216" s="7" t="n"/>
      <c r="X216" s="55" t="n">
        <v>1</v>
      </c>
      <c r="Y216" s="50" t="n">
        <v>1</v>
      </c>
      <c r="Z216" s="7" t="inlineStr">
        <is>
          <t>label</t>
        </is>
      </c>
      <c r="AA216" s="19">
        <f>IF(ISBLANK(Welcome!D242),"",Welcome!D242)</f>
        <v/>
      </c>
      <c r="AB216" s="29">
        <f>IF(ISBLANK(Welcome!E242),"",Welcome!E242)</f>
        <v/>
      </c>
      <c r="AC216" s="29">
        <f>IF(N(AB216)&gt;0,N(AB216),N(AA216)*Y216)</f>
        <v/>
      </c>
      <c r="AD216" s="29">
        <f>IF(H216="yes",AC216,0)</f>
        <v/>
      </c>
      <c r="AE216" s="29">
        <f>AD216*N(M216)/100</f>
        <v/>
      </c>
      <c r="AF216" s="29">
        <f>AD216*N(O216)/100</f>
        <v/>
      </c>
      <c r="AG216" s="29">
        <f>AD216*N(P216)/100</f>
        <v/>
      </c>
      <c r="AH216" s="50">
        <f>IF(Q216="yes",AD216/1000,0)</f>
        <v/>
      </c>
      <c r="AI216" s="50">
        <f>IF(S216="FG2",AH216*X216,AH216)</f>
        <v/>
      </c>
    </row>
    <row r="217">
      <c r="A217" s="7" t="inlineStr">
        <is>
          <t>HM00183</t>
        </is>
      </c>
      <c r="B217" s="16" t="inlineStr">
        <is>
          <t>3012345694865</t>
        </is>
      </c>
      <c r="C217" s="7" t="inlineStr">
        <is>
          <t>HM WHOLE CHKN 1KG</t>
        </is>
      </c>
      <c r="D217" s="7" t="inlineStr">
        <is>
          <t>Whole chicken, 1kg</t>
        </is>
      </c>
      <c r="E217" s="7" t="inlineStr">
        <is>
          <t>Harbour Market</t>
        </is>
      </c>
      <c r="F217" s="7" t="inlineStr">
        <is>
          <t>Fresh Meat &amp; Poultry</t>
        </is>
      </c>
      <c r="G217" s="7" t="inlineStr">
        <is>
          <t>Poultry</t>
        </is>
      </c>
      <c r="H217" s="7" t="inlineStr">
        <is>
          <t>yes</t>
        </is>
      </c>
      <c r="I217" s="7" t="inlineStr">
        <is>
          <t>Animal core</t>
        </is>
      </c>
      <c r="J217" s="7" t="inlineStr">
        <is>
          <t>Poultry</t>
        </is>
      </c>
      <c r="K217" s="7" t="inlineStr">
        <is>
          <t>A</t>
        </is>
      </c>
      <c r="L217" s="7" t="inlineStr">
        <is>
          <t>All ingredients on one side</t>
        </is>
      </c>
      <c r="M217" s="51" t="n">
        <v>21.1</v>
      </c>
      <c r="N217" s="7" t="inlineStr">
        <is>
          <t>Declared by the retailer</t>
        </is>
      </c>
      <c r="O217" s="54" t="n">
        <v>0</v>
      </c>
      <c r="P217" s="54" t="n">
        <v>21.1</v>
      </c>
      <c r="Q217" s="7" t="inlineStr">
        <is>
          <t>yes</t>
        </is>
      </c>
      <c r="R217" s="7" t="inlineStr">
        <is>
          <t>whole</t>
        </is>
      </c>
      <c r="S217" s="7" t="inlineStr">
        <is>
          <t>FG1</t>
        </is>
      </c>
      <c r="T217" s="7" t="inlineStr">
        <is>
          <t>Poultry</t>
        </is>
      </c>
      <c r="U217" s="7" t="inlineStr">
        <is>
          <t>animal</t>
        </is>
      </c>
      <c r="V217" s="7" t="n"/>
      <c r="W217" s="7" t="n"/>
      <c r="X217" s="55" t="n">
        <v>1</v>
      </c>
      <c r="Y217" s="50" t="n">
        <v>1</v>
      </c>
      <c r="Z217" s="7" t="inlineStr">
        <is>
          <t>declared</t>
        </is>
      </c>
      <c r="AA217" s="19">
        <f>IF(ISBLANK(Welcome!D243),"",Welcome!D243)</f>
        <v/>
      </c>
      <c r="AB217" s="29">
        <f>IF(ISBLANK(Welcome!E243),"",Welcome!E243)</f>
        <v/>
      </c>
      <c r="AC217" s="29">
        <f>IF(N(AB217)&gt;0,N(AB217),N(AA217)*Y217)</f>
        <v/>
      </c>
      <c r="AD217" s="29">
        <f>IF(H217="yes",AC217,0)</f>
        <v/>
      </c>
      <c r="AE217" s="29">
        <f>AD217*N(M217)/100</f>
        <v/>
      </c>
      <c r="AF217" s="29">
        <f>AD217*N(O217)/100</f>
        <v/>
      </c>
      <c r="AG217" s="29">
        <f>AD217*N(P217)/100</f>
        <v/>
      </c>
      <c r="AH217" s="50">
        <f>IF(Q217="yes",AD217/1000,0)</f>
        <v/>
      </c>
      <c r="AI217" s="50">
        <f>IF(S217="FG2",AH217*X217,AH217)</f>
        <v/>
      </c>
    </row>
    <row r="218">
      <c r="A218" s="7" t="inlineStr">
        <is>
          <t>HM00744</t>
        </is>
      </c>
      <c r="B218" s="16" t="inlineStr">
        <is>
          <t>8712345060305</t>
        </is>
      </c>
      <c r="C218" s="7" t="inlineStr">
        <is>
          <t>HM BABY SPINACH 500G</t>
        </is>
      </c>
      <c r="D218" s="7" t="inlineStr">
        <is>
          <t>Baby spinach, 500g</t>
        </is>
      </c>
      <c r="E218" s="7" t="inlineStr">
        <is>
          <t>Harbour Market</t>
        </is>
      </c>
      <c r="F218" s="7" t="inlineStr">
        <is>
          <t>Fruit &amp; Vegetables</t>
        </is>
      </c>
      <c r="G218" s="7" t="inlineStr">
        <is>
          <t>Vegetables</t>
        </is>
      </c>
      <c r="H218" s="7" t="inlineStr">
        <is>
          <t>yes</t>
        </is>
      </c>
      <c r="I218" s="7" t="inlineStr">
        <is>
          <t>Plant-based non-core</t>
        </is>
      </c>
      <c r="J218" s="7" t="inlineStr">
        <is>
          <t>Fruit and vegetables</t>
        </is>
      </c>
      <c r="K218" s="7" t="inlineStr">
        <is>
          <t>B</t>
        </is>
      </c>
      <c r="L218" s="7" t="inlineStr">
        <is>
          <t>Follows the class</t>
        </is>
      </c>
      <c r="M218" s="51" t="n">
        <v>2.8</v>
      </c>
      <c r="N218" s="7" t="inlineStr">
        <is>
          <t>Median of the family</t>
        </is>
      </c>
      <c r="O218" s="54" t="n">
        <v>2.8</v>
      </c>
      <c r="P218" s="54" t="n">
        <v>0</v>
      </c>
      <c r="Q218" s="7" t="inlineStr">
        <is>
          <t>yes</t>
        </is>
      </c>
      <c r="R218" s="7" t="inlineStr">
        <is>
          <t>whole</t>
        </is>
      </c>
      <c r="S218" s="7" t="inlineStr">
        <is>
          <t>FG4</t>
        </is>
      </c>
      <c r="T218" s="7" t="n"/>
      <c r="U218" s="7" t="inlineStr">
        <is>
          <t>plant</t>
        </is>
      </c>
      <c r="V218" s="7" t="n"/>
      <c r="W218" s="7" t="n"/>
      <c r="X218" s="55" t="n">
        <v>1</v>
      </c>
      <c r="Y218" s="50" t="n">
        <v>0.5</v>
      </c>
      <c r="Z218" s="7" t="inlineStr">
        <is>
          <t>declared</t>
        </is>
      </c>
      <c r="AA218" s="19">
        <f>IF(ISBLANK(Welcome!D244),"",Welcome!D244)</f>
        <v/>
      </c>
      <c r="AB218" s="29">
        <f>IF(ISBLANK(Welcome!E244),"",Welcome!E244)</f>
        <v/>
      </c>
      <c r="AC218" s="29">
        <f>IF(N(AB218)&gt;0,N(AB218),N(AA218)*Y218)</f>
        <v/>
      </c>
      <c r="AD218" s="29">
        <f>IF(H218="yes",AC218,0)</f>
        <v/>
      </c>
      <c r="AE218" s="29">
        <f>AD218*N(M218)/100</f>
        <v/>
      </c>
      <c r="AF218" s="29">
        <f>AD218*N(O218)/100</f>
        <v/>
      </c>
      <c r="AG218" s="29">
        <f>AD218*N(P218)/100</f>
        <v/>
      </c>
      <c r="AH218" s="50">
        <f>IF(Q218="yes",AD218/1000,0)</f>
        <v/>
      </c>
      <c r="AI218" s="50">
        <f>IF(S218="FG2",AH218*X218,AH218)</f>
        <v/>
      </c>
    </row>
    <row r="219">
      <c r="A219" s="7" t="inlineStr">
        <is>
          <t>HM00319</t>
        </is>
      </c>
      <c r="B219" s="16" t="inlineStr">
        <is>
          <t>4012345314168</t>
        </is>
      </c>
      <c r="C219" s="7" t="inlineStr">
        <is>
          <t>HM KIWI 500G</t>
        </is>
      </c>
      <c r="D219" s="7" t="inlineStr">
        <is>
          <t>Kiwi fruit, 500g</t>
        </is>
      </c>
      <c r="E219" s="7" t="inlineStr">
        <is>
          <t>Harbour Market</t>
        </is>
      </c>
      <c r="F219" s="7" t="inlineStr">
        <is>
          <t>Fruit &amp; Vegetables</t>
        </is>
      </c>
      <c r="G219" s="7" t="inlineStr">
        <is>
          <t>Fruit</t>
        </is>
      </c>
      <c r="H219" s="7" t="inlineStr">
        <is>
          <t>yes</t>
        </is>
      </c>
      <c r="I219" s="7" t="inlineStr">
        <is>
          <t>Plant-based non-core</t>
        </is>
      </c>
      <c r="J219" s="7" t="inlineStr">
        <is>
          <t>Fruit and vegetables</t>
        </is>
      </c>
      <c r="K219" s="7" t="inlineStr">
        <is>
          <t>B</t>
        </is>
      </c>
      <c r="L219" s="7" t="inlineStr">
        <is>
          <t>Follows the class</t>
        </is>
      </c>
      <c r="M219" s="51" t="n">
        <v>1.1</v>
      </c>
      <c r="N219" s="7" t="inlineStr">
        <is>
          <t>Declared by the retailer</t>
        </is>
      </c>
      <c r="O219" s="54" t="n">
        <v>1.1</v>
      </c>
      <c r="P219" s="54" t="n">
        <v>0</v>
      </c>
      <c r="Q219" s="7" t="inlineStr">
        <is>
          <t>yes</t>
        </is>
      </c>
      <c r="R219" s="7" t="inlineStr">
        <is>
          <t>whole</t>
        </is>
      </c>
      <c r="S219" s="7" t="inlineStr">
        <is>
          <t>FG4</t>
        </is>
      </c>
      <c r="T219" s="7" t="n"/>
      <c r="U219" s="7" t="inlineStr">
        <is>
          <t>plant</t>
        </is>
      </c>
      <c r="V219" s="7" t="n"/>
      <c r="W219" s="7" t="n"/>
      <c r="X219" s="55" t="n">
        <v>1</v>
      </c>
      <c r="Y219" s="50" t="n">
        <v>0.5</v>
      </c>
      <c r="Z219" s="7" t="inlineStr">
        <is>
          <t>declared</t>
        </is>
      </c>
      <c r="AA219" s="19">
        <f>IF(ISBLANK(Welcome!D245),"",Welcome!D245)</f>
        <v/>
      </c>
      <c r="AB219" s="29">
        <f>IF(ISBLANK(Welcome!E245),"",Welcome!E245)</f>
        <v/>
      </c>
      <c r="AC219" s="29">
        <f>IF(N(AB219)&gt;0,N(AB219),N(AA219)*Y219)</f>
        <v/>
      </c>
      <c r="AD219" s="29">
        <f>IF(H219="yes",AC219,0)</f>
        <v/>
      </c>
      <c r="AE219" s="29">
        <f>AD219*N(M219)/100</f>
        <v/>
      </c>
      <c r="AF219" s="29">
        <f>AD219*N(O219)/100</f>
        <v/>
      </c>
      <c r="AG219" s="29">
        <f>AD219*N(P219)/100</f>
        <v/>
      </c>
      <c r="AH219" s="50">
        <f>IF(Q219="yes",AD219/1000,0)</f>
        <v/>
      </c>
      <c r="AI219" s="50">
        <f>IF(S219="FG2",AH219*X219,AH219)</f>
        <v/>
      </c>
    </row>
    <row r="220">
      <c r="A220" s="7" t="inlineStr">
        <is>
          <t>HM00699</t>
        </is>
      </c>
      <c r="B220" s="16" t="inlineStr">
        <is>
          <t>8712345765408</t>
        </is>
      </c>
      <c r="C220" s="7" t="inlineStr">
        <is>
          <t>HM UNSALTED BUTTER 500G</t>
        </is>
      </c>
      <c r="D220" s="7" t="inlineStr">
        <is>
          <t>Unsalted butter, 500g</t>
        </is>
      </c>
      <c r="E220" s="7" t="inlineStr">
        <is>
          <t>Harbour Market</t>
        </is>
      </c>
      <c r="F220" s="7" t="inlineStr">
        <is>
          <t>Dairy &amp; Eggs</t>
        </is>
      </c>
      <c r="G220" s="7" t="inlineStr">
        <is>
          <t>Butter &amp; Spreads</t>
        </is>
      </c>
      <c r="H220" s="7" t="inlineStr">
        <is>
          <t>yes</t>
        </is>
      </c>
      <c r="I220" s="7" t="inlineStr">
        <is>
          <t>Animal core</t>
        </is>
      </c>
      <c r="J220" s="7" t="inlineStr">
        <is>
          <t>Other</t>
        </is>
      </c>
      <c r="K220" s="7" t="inlineStr">
        <is>
          <t>A</t>
        </is>
      </c>
      <c r="L220" s="7" t="inlineStr">
        <is>
          <t>All ingredients on one side</t>
        </is>
      </c>
      <c r="M220" s="51" t="n">
        <v>0.58</v>
      </c>
      <c r="N220" s="7" t="inlineStr">
        <is>
          <t>Declared by the retailer</t>
        </is>
      </c>
      <c r="O220" s="54" t="n">
        <v>0</v>
      </c>
      <c r="P220" s="54" t="n">
        <v>0.58</v>
      </c>
      <c r="Q220" s="7" t="inlineStr">
        <is>
          <t>yes</t>
        </is>
      </c>
      <c r="R220" s="7" t="inlineStr">
        <is>
          <t>whole</t>
        </is>
      </c>
      <c r="S220" s="7" t="inlineStr">
        <is>
          <t>FG3</t>
        </is>
      </c>
      <c r="T220" s="7" t="inlineStr">
        <is>
          <t>Animal-based fat</t>
        </is>
      </c>
      <c r="U220" s="7" t="inlineStr">
        <is>
          <t>animal</t>
        </is>
      </c>
      <c r="V220" s="7" t="n"/>
      <c r="W220" s="7" t="n"/>
      <c r="X220" s="55" t="n">
        <v>1</v>
      </c>
      <c r="Y220" s="50" t="n">
        <v>0.5</v>
      </c>
      <c r="Z220" s="7" t="inlineStr">
        <is>
          <t>declared</t>
        </is>
      </c>
      <c r="AA220" s="19">
        <f>IF(ISBLANK(Welcome!D246),"",Welcome!D246)</f>
        <v/>
      </c>
      <c r="AB220" s="29">
        <f>IF(ISBLANK(Welcome!E246),"",Welcome!E246)</f>
        <v/>
      </c>
      <c r="AC220" s="29">
        <f>IF(N(AB220)&gt;0,N(AB220),N(AA220)*Y220)</f>
        <v/>
      </c>
      <c r="AD220" s="29">
        <f>IF(H220="yes",AC220,0)</f>
        <v/>
      </c>
      <c r="AE220" s="29">
        <f>AD220*N(M220)/100</f>
        <v/>
      </c>
      <c r="AF220" s="29">
        <f>AD220*N(O220)/100</f>
        <v/>
      </c>
      <c r="AG220" s="29">
        <f>AD220*N(P220)/100</f>
        <v/>
      </c>
      <c r="AH220" s="50">
        <f>IF(Q220="yes",AD220/1000,0)</f>
        <v/>
      </c>
      <c r="AI220" s="50">
        <f>IF(S220="FG2",AH220*X220,AH220)</f>
        <v/>
      </c>
    </row>
    <row r="221">
      <c r="A221" s="7" t="inlineStr">
        <is>
          <t>HM00637</t>
        </is>
      </c>
      <c r="B221" s="16" t="inlineStr">
        <is>
          <t>4012345416879</t>
        </is>
      </c>
      <c r="C221" s="7" t="inlineStr">
        <is>
          <t>HM GINGER NUTS 300G</t>
        </is>
      </c>
      <c r="D221" s="7" t="inlineStr">
        <is>
          <t>Ginger nut biscuits, 300g</t>
        </is>
      </c>
      <c r="E221" s="7" t="inlineStr">
        <is>
          <t>Harbour Market</t>
        </is>
      </c>
      <c r="F221" s="7" t="inlineStr">
        <is>
          <t>Breakfast &amp; Snacks</t>
        </is>
      </c>
      <c r="G221" s="7" t="inlineStr">
        <is>
          <t>Biscuits</t>
        </is>
      </c>
      <c r="H221" s="7" t="inlineStr">
        <is>
          <t>yes</t>
        </is>
      </c>
      <c r="I221" s="7" t="inlineStr">
        <is>
          <t>Plant-based non-core</t>
        </is>
      </c>
      <c r="J221" s="7" t="inlineStr">
        <is>
          <t>Discretionary products</t>
        </is>
      </c>
      <c r="K221" s="7" t="inlineStr">
        <is>
          <t>B</t>
        </is>
      </c>
      <c r="L221" s="7" t="inlineStr">
        <is>
          <t>Follows the class</t>
        </is>
      </c>
      <c r="M221" s="51" t="n">
        <v>7.3</v>
      </c>
      <c r="N221" s="7" t="inlineStr">
        <is>
          <t>Open Food Facts and NEVO, by EAN</t>
        </is>
      </c>
      <c r="O221" s="54" t="n">
        <v>7.3</v>
      </c>
      <c r="P221" s="54" t="n">
        <v>0</v>
      </c>
      <c r="Q221" s="7" t="inlineStr">
        <is>
          <t>yes</t>
        </is>
      </c>
      <c r="R221" s="7" t="inlineStr">
        <is>
          <t>whole</t>
        </is>
      </c>
      <c r="S221" s="7" t="inlineStr">
        <is>
          <t>FG7</t>
        </is>
      </c>
      <c r="T221" s="7" t="n"/>
      <c r="U221" s="7" t="inlineStr">
        <is>
          <t>plant</t>
        </is>
      </c>
      <c r="V221" s="7" t="n"/>
      <c r="W221" s="7" t="n"/>
      <c r="X221" s="55" t="n">
        <v>1</v>
      </c>
      <c r="Y221" s="50" t="n">
        <v>0.3</v>
      </c>
      <c r="Z221" s="7" t="inlineStr">
        <is>
          <t>declared</t>
        </is>
      </c>
      <c r="AA221" s="19">
        <f>IF(ISBLANK(Welcome!D247),"",Welcome!D247)</f>
        <v/>
      </c>
      <c r="AB221" s="29">
        <f>IF(ISBLANK(Welcome!E247),"",Welcome!E247)</f>
        <v/>
      </c>
      <c r="AC221" s="29">
        <f>IF(N(AB221)&gt;0,N(AB221),N(AA221)*Y221)</f>
        <v/>
      </c>
      <c r="AD221" s="29">
        <f>IF(H221="yes",AC221,0)</f>
        <v/>
      </c>
      <c r="AE221" s="29">
        <f>AD221*N(M221)/100</f>
        <v/>
      </c>
      <c r="AF221" s="29">
        <f>AD221*N(O221)/100</f>
        <v/>
      </c>
      <c r="AG221" s="29">
        <f>AD221*N(P221)/100</f>
        <v/>
      </c>
      <c r="AH221" s="50">
        <f>IF(Q221="yes",AD221/1000,0)</f>
        <v/>
      </c>
      <c r="AI221" s="50">
        <f>IF(S221="FG2",AH221*X221,AH221)</f>
        <v/>
      </c>
    </row>
    <row r="222">
      <c r="A222" s="7" t="inlineStr">
        <is>
          <t>HM00360</t>
        </is>
      </c>
      <c r="B222" s="16" t="inlineStr">
        <is>
          <t>8712345540203</t>
        </is>
      </c>
      <c r="C222" s="7" t="inlineStr">
        <is>
          <t>ORG FREE RANGE EGGS 12PK TARROW</t>
        </is>
      </c>
      <c r="D222" s="7" t="inlineStr">
        <is>
          <t>Organic free-range eggs, 12pk</t>
        </is>
      </c>
      <c r="E222" s="7" t="inlineStr">
        <is>
          <t>Tarrow Farm</t>
        </is>
      </c>
      <c r="F222" s="7" t="inlineStr">
        <is>
          <t>Dairy &amp; Eggs</t>
        </is>
      </c>
      <c r="G222" s="7" t="inlineStr">
        <is>
          <t>Eggs</t>
        </is>
      </c>
      <c r="H222" s="7" t="inlineStr">
        <is>
          <t>yes</t>
        </is>
      </c>
      <c r="I222" s="7" t="inlineStr">
        <is>
          <t>Animal core</t>
        </is>
      </c>
      <c r="J222" s="7" t="inlineStr">
        <is>
          <t>Eggs</t>
        </is>
      </c>
      <c r="K222" s="7" t="inlineStr">
        <is>
          <t>B</t>
        </is>
      </c>
      <c r="L222" s="7" t="inlineStr">
        <is>
          <t>Follows the class</t>
        </is>
      </c>
      <c r="M222" s="51" t="n">
        <v>13.2</v>
      </c>
      <c r="N222" s="7" t="inlineStr">
        <is>
          <t>National food table (CIQUAL in France)</t>
        </is>
      </c>
      <c r="O222" s="54" t="n">
        <v>0</v>
      </c>
      <c r="P222" s="54" t="n">
        <v>13.2</v>
      </c>
      <c r="Q222" s="7" t="inlineStr">
        <is>
          <t>yes</t>
        </is>
      </c>
      <c r="R222" s="7" t="inlineStr">
        <is>
          <t>whole</t>
        </is>
      </c>
      <c r="S222" s="7" t="inlineStr">
        <is>
          <t>FG1</t>
        </is>
      </c>
      <c r="T222" s="7" t="inlineStr">
        <is>
          <t>Eggs</t>
        </is>
      </c>
      <c r="U222" s="7" t="inlineStr">
        <is>
          <t>animal</t>
        </is>
      </c>
      <c r="V222" s="7" t="n"/>
      <c r="W222" s="7" t="n"/>
      <c r="X222" s="55" t="n">
        <v>1</v>
      </c>
      <c r="Y222" s="50" t="n">
        <v>0.72</v>
      </c>
      <c r="Z222" s="7" t="inlineStr">
        <is>
          <t>declared</t>
        </is>
      </c>
      <c r="AA222" s="19">
        <f>IF(ISBLANK(Welcome!D248),"",Welcome!D248)</f>
        <v/>
      </c>
      <c r="AB222" s="29">
        <f>IF(ISBLANK(Welcome!E248),"",Welcome!E248)</f>
        <v/>
      </c>
      <c r="AC222" s="29">
        <f>IF(N(AB222)&gt;0,N(AB222),N(AA222)*Y222)</f>
        <v/>
      </c>
      <c r="AD222" s="29">
        <f>IF(H222="yes",AC222,0)</f>
        <v/>
      </c>
      <c r="AE222" s="29">
        <f>AD222*N(M222)/100</f>
        <v/>
      </c>
      <c r="AF222" s="29">
        <f>AD222*N(O222)/100</f>
        <v/>
      </c>
      <c r="AG222" s="29">
        <f>AD222*N(P222)/100</f>
        <v/>
      </c>
      <c r="AH222" s="50">
        <f>IF(Q222="yes",AD222/1000,0)</f>
        <v/>
      </c>
      <c r="AI222" s="50">
        <f>IF(S222="FG2",AH222*X222,AH222)</f>
        <v/>
      </c>
    </row>
    <row r="223">
      <c r="A223" s="7" t="inlineStr">
        <is>
          <t>HM00263</t>
        </is>
      </c>
      <c r="B223" s="16" t="inlineStr">
        <is>
          <t>3012345319959</t>
        </is>
      </c>
      <c r="C223" s="7" t="inlineStr">
        <is>
          <t>HM CLOSED CUP MUSHROOMS 500G</t>
        </is>
      </c>
      <c r="D223" s="7" t="inlineStr">
        <is>
          <t>Closed cup mushrooms, 500g</t>
        </is>
      </c>
      <c r="E223" s="7" t="inlineStr">
        <is>
          <t>Harbour Market</t>
        </is>
      </c>
      <c r="F223" s="7" t="inlineStr">
        <is>
          <t>Fruit &amp; Vegetables</t>
        </is>
      </c>
      <c r="G223" s="7" t="inlineStr">
        <is>
          <t>Vegetables</t>
        </is>
      </c>
      <c r="H223" s="7" t="inlineStr">
        <is>
          <t>yes</t>
        </is>
      </c>
      <c r="I223" s="7" t="inlineStr">
        <is>
          <t>Plant-based non-core</t>
        </is>
      </c>
      <c r="J223" s="7" t="inlineStr">
        <is>
          <t>Fruit and vegetables</t>
        </is>
      </c>
      <c r="K223" s="7" t="inlineStr">
        <is>
          <t>B</t>
        </is>
      </c>
      <c r="L223" s="7" t="inlineStr">
        <is>
          <t>Follows the class</t>
        </is>
      </c>
      <c r="M223" s="51" t="n">
        <v>3.2</v>
      </c>
      <c r="N223" s="7" t="inlineStr">
        <is>
          <t>Altera reference base</t>
        </is>
      </c>
      <c r="O223" s="54" t="n">
        <v>3.2</v>
      </c>
      <c r="P223" s="54" t="n">
        <v>0</v>
      </c>
      <c r="Q223" s="7" t="inlineStr">
        <is>
          <t>yes</t>
        </is>
      </c>
      <c r="R223" s="7" t="inlineStr">
        <is>
          <t>whole</t>
        </is>
      </c>
      <c r="S223" s="7" t="inlineStr">
        <is>
          <t>FG4</t>
        </is>
      </c>
      <c r="T223" s="7" t="n"/>
      <c r="U223" s="7" t="inlineStr">
        <is>
          <t>plant</t>
        </is>
      </c>
      <c r="V223" s="7" t="n"/>
      <c r="W223" s="7" t="n"/>
      <c r="X223" s="55" t="n">
        <v>1</v>
      </c>
      <c r="Y223" s="50" t="n">
        <v>0.5</v>
      </c>
      <c r="Z223" s="7" t="inlineStr">
        <is>
          <t>declared</t>
        </is>
      </c>
      <c r="AA223" s="19">
        <f>IF(ISBLANK(Welcome!D249),"",Welcome!D249)</f>
        <v/>
      </c>
      <c r="AB223" s="29">
        <f>IF(ISBLANK(Welcome!E249),"",Welcome!E249)</f>
        <v/>
      </c>
      <c r="AC223" s="29">
        <f>IF(N(AB223)&gt;0,N(AB223),N(AA223)*Y223)</f>
        <v/>
      </c>
      <c r="AD223" s="29">
        <f>IF(H223="yes",AC223,0)</f>
        <v/>
      </c>
      <c r="AE223" s="29">
        <f>AD223*N(M223)/100</f>
        <v/>
      </c>
      <c r="AF223" s="29">
        <f>AD223*N(O223)/100</f>
        <v/>
      </c>
      <c r="AG223" s="29">
        <f>AD223*N(P223)/100</f>
        <v/>
      </c>
      <c r="AH223" s="50">
        <f>IF(Q223="yes",AD223/1000,0)</f>
        <v/>
      </c>
      <c r="AI223" s="50">
        <f>IF(S223="FG2",AH223*X223,AH223)</f>
        <v/>
      </c>
    </row>
    <row r="224">
      <c r="A224" s="7" t="inlineStr">
        <is>
          <t>HM00042</t>
        </is>
      </c>
      <c r="B224" s="16" t="inlineStr">
        <is>
          <t>4012345192285</t>
        </is>
      </c>
      <c r="C224" s="7" t="inlineStr">
        <is>
          <t>HM BRIE 200G</t>
        </is>
      </c>
      <c r="D224" s="7" t="inlineStr">
        <is>
          <t>Brie, 200g</t>
        </is>
      </c>
      <c r="E224" s="7" t="inlineStr">
        <is>
          <t>Harbour Market</t>
        </is>
      </c>
      <c r="F224" s="7" t="inlineStr">
        <is>
          <t>Cheese</t>
        </is>
      </c>
      <c r="G224" s="7" t="inlineStr">
        <is>
          <t>Soft Cheese</t>
        </is>
      </c>
      <c r="H224" s="7" t="inlineStr">
        <is>
          <t>yes</t>
        </is>
      </c>
      <c r="I224" s="7" t="inlineStr">
        <is>
          <t>Animal core</t>
        </is>
      </c>
      <c r="J224" s="7" t="inlineStr">
        <is>
          <t>Cheese</t>
        </is>
      </c>
      <c r="K224" s="7" t="inlineStr">
        <is>
          <t>B</t>
        </is>
      </c>
      <c r="L224" s="7" t="inlineStr">
        <is>
          <t>Follows the class</t>
        </is>
      </c>
      <c r="M224" s="51" t="n">
        <v>21.1</v>
      </c>
      <c r="N224" s="7" t="inlineStr">
        <is>
          <t>Open Food Facts and NEVO, by EAN</t>
        </is>
      </c>
      <c r="O224" s="54" t="n">
        <v>0</v>
      </c>
      <c r="P224" s="54" t="n">
        <v>21.1</v>
      </c>
      <c r="Q224" s="7" t="inlineStr">
        <is>
          <t>yes</t>
        </is>
      </c>
      <c r="R224" s="7" t="inlineStr">
        <is>
          <t>whole</t>
        </is>
      </c>
      <c r="S224" s="7" t="inlineStr">
        <is>
          <t>FG2</t>
        </is>
      </c>
      <c r="T224" s="7" t="inlineStr">
        <is>
          <t>Dairy</t>
        </is>
      </c>
      <c r="U224" s="7" t="inlineStr">
        <is>
          <t>animal</t>
        </is>
      </c>
      <c r="V224" s="7" t="n"/>
      <c r="W224" s="7" t="n"/>
      <c r="X224" s="55" t="n">
        <v>10</v>
      </c>
      <c r="Y224" s="50" t="n">
        <v>0.2</v>
      </c>
      <c r="Z224" s="7" t="inlineStr">
        <is>
          <t>declared</t>
        </is>
      </c>
      <c r="AA224" s="19">
        <f>IF(ISBLANK(Welcome!D250),"",Welcome!D250)</f>
        <v/>
      </c>
      <c r="AB224" s="29">
        <f>IF(ISBLANK(Welcome!E250),"",Welcome!E250)</f>
        <v/>
      </c>
      <c r="AC224" s="29">
        <f>IF(N(AB224)&gt;0,N(AB224),N(AA224)*Y224)</f>
        <v/>
      </c>
      <c r="AD224" s="29">
        <f>IF(H224="yes",AC224,0)</f>
        <v/>
      </c>
      <c r="AE224" s="29">
        <f>AD224*N(M224)/100</f>
        <v/>
      </c>
      <c r="AF224" s="29">
        <f>AD224*N(O224)/100</f>
        <v/>
      </c>
      <c r="AG224" s="29">
        <f>AD224*N(P224)/100</f>
        <v/>
      </c>
      <c r="AH224" s="50">
        <f>IF(Q224="yes",AD224/1000,0)</f>
        <v/>
      </c>
      <c r="AI224" s="50">
        <f>IF(S224="FG2",AH224*X224,AH224)</f>
        <v/>
      </c>
    </row>
    <row r="225">
      <c r="A225" s="7" t="inlineStr">
        <is>
          <t>HM00770</t>
        </is>
      </c>
      <c r="B225" s="16" t="inlineStr">
        <is>
          <t>5012345245973</t>
        </is>
      </c>
      <c r="C225" s="7" t="inlineStr">
        <is>
          <t>ORVALIS ARBORIO RICE 1KG</t>
        </is>
      </c>
      <c r="D225" s="7" t="inlineStr">
        <is>
          <t>Arborio rice, 1kg</t>
        </is>
      </c>
      <c r="E225" s="7" t="inlineStr">
        <is>
          <t>Orvalis</t>
        </is>
      </c>
      <c r="F225" s="7" t="inlineStr">
        <is>
          <t>Grocery</t>
        </is>
      </c>
      <c r="G225" s="7" t="inlineStr">
        <is>
          <t>Rice &amp; Grains</t>
        </is>
      </c>
      <c r="H225" s="7" t="inlineStr">
        <is>
          <t>yes</t>
        </is>
      </c>
      <c r="I225" s="7" t="inlineStr">
        <is>
          <t>Plant-based non-core</t>
        </is>
      </c>
      <c r="J225" s="7" t="inlineStr">
        <is>
          <t>Refined grains</t>
        </is>
      </c>
      <c r="K225" s="7" t="inlineStr">
        <is>
          <t>B</t>
        </is>
      </c>
      <c r="L225" s="7" t="inlineStr">
        <is>
          <t>Follows the class</t>
        </is>
      </c>
      <c r="M225" s="51" t="n">
        <v>7.3</v>
      </c>
      <c r="N225" s="7" t="inlineStr">
        <is>
          <t>National food table (CIQUAL in France)</t>
        </is>
      </c>
      <c r="O225" s="54" t="n">
        <v>7.3</v>
      </c>
      <c r="P225" s="54" t="n">
        <v>0</v>
      </c>
      <c r="Q225" s="7" t="inlineStr">
        <is>
          <t>yes</t>
        </is>
      </c>
      <c r="R225" s="7" t="inlineStr">
        <is>
          <t>whole</t>
        </is>
      </c>
      <c r="S225" s="7" t="inlineStr">
        <is>
          <t>FG5</t>
        </is>
      </c>
      <c r="T225" s="7" t="inlineStr">
        <is>
          <t>Refined grain</t>
        </is>
      </c>
      <c r="U225" s="7" t="inlineStr">
        <is>
          <t>plant</t>
        </is>
      </c>
      <c r="V225" s="7" t="n"/>
      <c r="W225" s="7" t="n"/>
      <c r="X225" s="55" t="n">
        <v>1</v>
      </c>
      <c r="Y225" s="50" t="n">
        <v>1</v>
      </c>
      <c r="Z225" s="7" t="inlineStr">
        <is>
          <t>declared</t>
        </is>
      </c>
      <c r="AA225" s="19">
        <f>IF(ISBLANK(Welcome!D251),"",Welcome!D251)</f>
        <v/>
      </c>
      <c r="AB225" s="29">
        <f>IF(ISBLANK(Welcome!E251),"",Welcome!E251)</f>
        <v/>
      </c>
      <c r="AC225" s="29">
        <f>IF(N(AB225)&gt;0,N(AB225),N(AA225)*Y225)</f>
        <v/>
      </c>
      <c r="AD225" s="29">
        <f>IF(H225="yes",AC225,0)</f>
        <v/>
      </c>
      <c r="AE225" s="29">
        <f>AD225*N(M225)/100</f>
        <v/>
      </c>
      <c r="AF225" s="29">
        <f>AD225*N(O225)/100</f>
        <v/>
      </c>
      <c r="AG225" s="29">
        <f>AD225*N(P225)/100</f>
        <v/>
      </c>
      <c r="AH225" s="50">
        <f>IF(Q225="yes",AD225/1000,0)</f>
        <v/>
      </c>
      <c r="AI225" s="50">
        <f>IF(S225="FG2",AH225*X225,AH225)</f>
        <v/>
      </c>
    </row>
    <row r="226">
      <c r="A226" s="7" t="inlineStr">
        <is>
          <t>HM00292</t>
        </is>
      </c>
      <c r="B226" s="16" t="inlineStr">
        <is>
          <t>4012345525977</t>
        </is>
      </c>
      <c r="C226" s="7" t="inlineStr">
        <is>
          <t>HM PORK MINCE 400G</t>
        </is>
      </c>
      <c r="D226" s="7" t="inlineStr">
        <is>
          <t>Pork mince, 400g</t>
        </is>
      </c>
      <c r="E226" s="7" t="inlineStr">
        <is>
          <t>Harbour Market</t>
        </is>
      </c>
      <c r="F226" s="7" t="inlineStr">
        <is>
          <t>Fresh Meat &amp; Poultry</t>
        </is>
      </c>
      <c r="G226" s="7" t="inlineStr">
        <is>
          <t>Pork</t>
        </is>
      </c>
      <c r="H226" s="7" t="inlineStr">
        <is>
          <t>yes</t>
        </is>
      </c>
      <c r="I226" s="7" t="inlineStr">
        <is>
          <t>Animal core</t>
        </is>
      </c>
      <c r="J226" s="7" t="inlineStr">
        <is>
          <t>Red meat</t>
        </is>
      </c>
      <c r="K226" s="7" t="inlineStr">
        <is>
          <t>B</t>
        </is>
      </c>
      <c r="L226" s="7" t="inlineStr">
        <is>
          <t>Follows the class</t>
        </is>
      </c>
      <c r="M226" s="51" t="n">
        <v>19.8</v>
      </c>
      <c r="N226" s="7" t="inlineStr">
        <is>
          <t>Declared by the retailer</t>
        </is>
      </c>
      <c r="O226" s="54" t="n">
        <v>0</v>
      </c>
      <c r="P226" s="54" t="n">
        <v>19.8</v>
      </c>
      <c r="Q226" s="7" t="inlineStr">
        <is>
          <t>yes</t>
        </is>
      </c>
      <c r="R226" s="7" t="inlineStr">
        <is>
          <t>whole</t>
        </is>
      </c>
      <c r="S226" s="7" t="inlineStr">
        <is>
          <t>FG1</t>
        </is>
      </c>
      <c r="T226" s="7" t="inlineStr">
        <is>
          <t>Red meat</t>
        </is>
      </c>
      <c r="U226" s="7" t="inlineStr">
        <is>
          <t>animal</t>
        </is>
      </c>
      <c r="V226" s="7" t="n"/>
      <c r="W226" s="7" t="n"/>
      <c r="X226" s="55" t="n">
        <v>1</v>
      </c>
      <c r="Y226" s="50" t="n">
        <v>0.4</v>
      </c>
      <c r="Z226" s="7" t="inlineStr">
        <is>
          <t>declared</t>
        </is>
      </c>
      <c r="AA226" s="19">
        <f>IF(ISBLANK(Welcome!D252),"",Welcome!D252)</f>
        <v/>
      </c>
      <c r="AB226" s="29">
        <f>IF(ISBLANK(Welcome!E252),"",Welcome!E252)</f>
        <v/>
      </c>
      <c r="AC226" s="29">
        <f>IF(N(AB226)&gt;0,N(AB226),N(AA226)*Y226)</f>
        <v/>
      </c>
      <c r="AD226" s="29">
        <f>IF(H226="yes",AC226,0)</f>
        <v/>
      </c>
      <c r="AE226" s="29">
        <f>AD226*N(M226)/100</f>
        <v/>
      </c>
      <c r="AF226" s="29">
        <f>AD226*N(O226)/100</f>
        <v/>
      </c>
      <c r="AG226" s="29">
        <f>AD226*N(P226)/100</f>
        <v/>
      </c>
      <c r="AH226" s="50">
        <f>IF(Q226="yes",AD226/1000,0)</f>
        <v/>
      </c>
      <c r="AI226" s="50">
        <f>IF(S226="FG2",AH226*X226,AH226)</f>
        <v/>
      </c>
    </row>
    <row r="227">
      <c r="A227" s="7" t="inlineStr">
        <is>
          <t>HM00208</t>
        </is>
      </c>
      <c r="B227" s="16" t="inlineStr">
        <is>
          <t>4012345389791</t>
        </is>
      </c>
      <c r="C227" s="7" t="inlineStr">
        <is>
          <t>BRAMBLECOTE WHITE SLICED THICK 6PK 360G</t>
        </is>
      </c>
      <c r="D227" s="7" t="inlineStr">
        <is>
          <t>Thick sliced white bread, 6pk 360g</t>
        </is>
      </c>
      <c r="E227" s="7" t="inlineStr">
        <is>
          <t>Bramblecote</t>
        </is>
      </c>
      <c r="F227" s="7" t="inlineStr">
        <is>
          <t>Bakery</t>
        </is>
      </c>
      <c r="G227" s="7" t="inlineStr">
        <is>
          <t>Bread</t>
        </is>
      </c>
      <c r="H227" s="7" t="inlineStr">
        <is>
          <t>yes</t>
        </is>
      </c>
      <c r="I227" s="7" t="inlineStr">
        <is>
          <t>Plant-based non-core</t>
        </is>
      </c>
      <c r="J227" s="7" t="inlineStr">
        <is>
          <t>Refined grains</t>
        </is>
      </c>
      <c r="K227" s="7" t="inlineStr">
        <is>
          <t>A</t>
        </is>
      </c>
      <c r="L227" s="7" t="inlineStr">
        <is>
          <t>All ingredients on one side</t>
        </is>
      </c>
      <c r="M227" s="51" t="n">
        <v>8.699999999999999</v>
      </c>
      <c r="N227" s="7" t="inlineStr">
        <is>
          <t>Declared by the retailer</t>
        </is>
      </c>
      <c r="O227" s="54" t="n">
        <v>8.699999999999999</v>
      </c>
      <c r="P227" s="54" t="n">
        <v>0</v>
      </c>
      <c r="Q227" s="7" t="inlineStr">
        <is>
          <t>yes</t>
        </is>
      </c>
      <c r="R227" s="7" t="inlineStr">
        <is>
          <t>whole</t>
        </is>
      </c>
      <c r="S227" s="7" t="inlineStr">
        <is>
          <t>FG5</t>
        </is>
      </c>
      <c r="T227" s="7" t="inlineStr">
        <is>
          <t>Refined grain</t>
        </is>
      </c>
      <c r="U227" s="7" t="inlineStr">
        <is>
          <t>plant</t>
        </is>
      </c>
      <c r="V227" s="7" t="n"/>
      <c r="W227" s="7" t="n"/>
      <c r="X227" s="55" t="n">
        <v>1</v>
      </c>
      <c r="Y227" s="50" t="n">
        <v>0.36</v>
      </c>
      <c r="Z227" s="7" t="inlineStr">
        <is>
          <t>declared</t>
        </is>
      </c>
      <c r="AA227" s="19">
        <f>IF(ISBLANK(Welcome!D253),"",Welcome!D253)</f>
        <v/>
      </c>
      <c r="AB227" s="29">
        <f>IF(ISBLANK(Welcome!E253),"",Welcome!E253)</f>
        <v/>
      </c>
      <c r="AC227" s="29">
        <f>IF(N(AB227)&gt;0,N(AB227),N(AA227)*Y227)</f>
        <v/>
      </c>
      <c r="AD227" s="29">
        <f>IF(H227="yes",AC227,0)</f>
        <v/>
      </c>
      <c r="AE227" s="29">
        <f>AD227*N(M227)/100</f>
        <v/>
      </c>
      <c r="AF227" s="29">
        <f>AD227*N(O227)/100</f>
        <v/>
      </c>
      <c r="AG227" s="29">
        <f>AD227*N(P227)/100</f>
        <v/>
      </c>
      <c r="AH227" s="50">
        <f>IF(Q227="yes",AD227/1000,0)</f>
        <v/>
      </c>
      <c r="AI227" s="50">
        <f>IF(S227="FG2",AH227*X227,AH227)</f>
        <v/>
      </c>
    </row>
    <row r="228">
      <c r="A228" s="7" t="inlineStr">
        <is>
          <t>HM00231</t>
        </is>
      </c>
      <c r="B228" s="16" t="inlineStr">
        <is>
          <t>2833803580080</t>
        </is>
      </c>
      <c r="C228" s="7" t="inlineStr">
        <is>
          <t>HM CHERRY TOMATOES KG</t>
        </is>
      </c>
      <c r="D228" s="7" t="inlineStr">
        <is>
          <t>Cherry tomatoes</t>
        </is>
      </c>
      <c r="E228" s="7" t="inlineStr">
        <is>
          <t>Harbour Market</t>
        </is>
      </c>
      <c r="F228" s="7" t="inlineStr">
        <is>
          <t>Fruit &amp; Vegetables</t>
        </is>
      </c>
      <c r="G228" s="7" t="inlineStr">
        <is>
          <t>Vegetables</t>
        </is>
      </c>
      <c r="H228" s="7" t="inlineStr">
        <is>
          <t>yes</t>
        </is>
      </c>
      <c r="I228" s="7" t="inlineStr">
        <is>
          <t>Plant-based non-core</t>
        </is>
      </c>
      <c r="J228" s="7" t="inlineStr">
        <is>
          <t>Fruit and vegetables</t>
        </is>
      </c>
      <c r="K228" s="7" t="inlineStr">
        <is>
          <t>B</t>
        </is>
      </c>
      <c r="L228" s="7" t="inlineStr">
        <is>
          <t>Follows the class</t>
        </is>
      </c>
      <c r="M228" s="51" t="n">
        <v>0.85</v>
      </c>
      <c r="N228" s="7" t="inlineStr">
        <is>
          <t>Declared by the retailer</t>
        </is>
      </c>
      <c r="O228" s="54" t="n">
        <v>0.85</v>
      </c>
      <c r="P228" s="54" t="n">
        <v>0</v>
      </c>
      <c r="Q228" s="7" t="inlineStr">
        <is>
          <t>yes</t>
        </is>
      </c>
      <c r="R228" s="7" t="inlineStr">
        <is>
          <t>whole</t>
        </is>
      </c>
      <c r="S228" s="7" t="inlineStr">
        <is>
          <t>FG4</t>
        </is>
      </c>
      <c r="T228" s="7" t="n"/>
      <c r="U228" s="7" t="inlineStr">
        <is>
          <t>plant</t>
        </is>
      </c>
      <c r="V228" s="7" t="n"/>
      <c r="W228" s="7" t="n"/>
      <c r="X228" s="55" t="n">
        <v>1</v>
      </c>
      <c r="Y228" s="50" t="n">
        <v>1</v>
      </c>
      <c r="Z228" s="7" t="inlineStr">
        <is>
          <t>variable</t>
        </is>
      </c>
      <c r="AA228" s="19">
        <f>IF(ISBLANK(Welcome!D254),"",Welcome!D254)</f>
        <v/>
      </c>
      <c r="AB228" s="29">
        <f>IF(ISBLANK(Welcome!E254),"",Welcome!E254)</f>
        <v/>
      </c>
      <c r="AC228" s="29">
        <f>IF(N(AB228)&gt;0,N(AB228),N(AA228)*Y228)</f>
        <v/>
      </c>
      <c r="AD228" s="29">
        <f>IF(H228="yes",AC228,0)</f>
        <v/>
      </c>
      <c r="AE228" s="29">
        <f>AD228*N(M228)/100</f>
        <v/>
      </c>
      <c r="AF228" s="29">
        <f>AD228*N(O228)/100</f>
        <v/>
      </c>
      <c r="AG228" s="29">
        <f>AD228*N(P228)/100</f>
        <v/>
      </c>
      <c r="AH228" s="50">
        <f>IF(Q228="yes",AD228/1000,0)</f>
        <v/>
      </c>
      <c r="AI228" s="50">
        <f>IF(S228="FG2",AH228*X228,AH228)</f>
        <v/>
      </c>
    </row>
    <row r="229">
      <c r="A229" s="7" t="inlineStr">
        <is>
          <t>HM00486</t>
        </is>
      </c>
      <c r="B229" s="16" t="inlineStr">
        <is>
          <t>4012345293067</t>
        </is>
      </c>
      <c r="C229" s="7" t="inlineStr">
        <is>
          <t>PENWARD WHEAT BEER 10X330ML</t>
        </is>
      </c>
      <c r="D229" s="7" t="inlineStr">
        <is>
          <t>Wheat beer, 10x330ml</t>
        </is>
      </c>
      <c r="E229" s="7" t="inlineStr">
        <is>
          <t>Penward</t>
        </is>
      </c>
      <c r="F229" s="7" t="inlineStr">
        <is>
          <t>Beer, Wine &amp; Spirits</t>
        </is>
      </c>
      <c r="G229" s="7" t="inlineStr">
        <is>
          <t>Beer &amp; Cider</t>
        </is>
      </c>
      <c r="H229" s="7" t="inlineStr">
        <is>
          <t>yes</t>
        </is>
      </c>
      <c r="I229" s="7" t="inlineStr">
        <is>
          <t>Plant-based non-core</t>
        </is>
      </c>
      <c r="J229" s="7" t="inlineStr">
        <is>
          <t>Outside the WWF scope</t>
        </is>
      </c>
      <c r="K229" s="7" t="inlineStr">
        <is>
          <t>A</t>
        </is>
      </c>
      <c r="L229" s="7" t="inlineStr">
        <is>
          <t>All ingredients on one side</t>
        </is>
      </c>
      <c r="M229" s="51" t="n">
        <v>0.52</v>
      </c>
      <c r="N229" s="7" t="inlineStr">
        <is>
          <t>Declared by the retailer</t>
        </is>
      </c>
      <c r="O229" s="54" t="n">
        <v>0.52</v>
      </c>
      <c r="P229" s="54" t="n">
        <v>0</v>
      </c>
      <c r="Q229" s="7" t="inlineStr">
        <is>
          <t>no</t>
        </is>
      </c>
      <c r="R229" s="7" t="n"/>
      <c r="S229" s="7" t="n"/>
      <c r="T229" s="7" t="n"/>
      <c r="U229" s="7" t="n"/>
      <c r="V229" s="7" t="n"/>
      <c r="W229" s="7" t="inlineStr">
        <is>
          <t>alcohol</t>
        </is>
      </c>
      <c r="X229" s="55" t="n">
        <v>1</v>
      </c>
      <c r="Y229" s="50" t="n">
        <v>3.3</v>
      </c>
      <c r="Z229" s="7" t="inlineStr">
        <is>
          <t>declared</t>
        </is>
      </c>
      <c r="AA229" s="19">
        <f>IF(ISBLANK(Welcome!D255),"",Welcome!D255)</f>
        <v/>
      </c>
      <c r="AB229" s="29">
        <f>IF(ISBLANK(Welcome!E255),"",Welcome!E255)</f>
        <v/>
      </c>
      <c r="AC229" s="29">
        <f>IF(N(AB229)&gt;0,N(AB229),N(AA229)*Y229)</f>
        <v/>
      </c>
      <c r="AD229" s="29">
        <f>IF(H229="yes",AC229,0)</f>
        <v/>
      </c>
      <c r="AE229" s="29">
        <f>AD229*N(M229)/100</f>
        <v/>
      </c>
      <c r="AF229" s="29">
        <f>AD229*N(O229)/100</f>
        <v/>
      </c>
      <c r="AG229" s="29">
        <f>AD229*N(P229)/100</f>
        <v/>
      </c>
      <c r="AH229" s="50">
        <f>IF(Q229="yes",AD229/1000,0)</f>
        <v/>
      </c>
      <c r="AI229" s="50">
        <f>IF(S229="FG2",AH229*X229,AH229)</f>
        <v/>
      </c>
    </row>
    <row r="230">
      <c r="A230" s="7" t="inlineStr">
        <is>
          <t>HM00151</t>
        </is>
      </c>
      <c r="B230" s="16" t="inlineStr">
        <is>
          <t>8712345953577</t>
        </is>
      </c>
      <c r="C230" s="7" t="inlineStr">
        <is>
          <t>HM BROCCOLI FLORETS 1KG</t>
        </is>
      </c>
      <c r="D230" s="7" t="inlineStr">
        <is>
          <t>Broccoli florets, 1kg</t>
        </is>
      </c>
      <c r="E230" s="7" t="inlineStr">
        <is>
          <t>Harbour Market</t>
        </is>
      </c>
      <c r="F230" s="7" t="inlineStr">
        <is>
          <t>Frozen</t>
        </is>
      </c>
      <c r="G230" s="7" t="inlineStr">
        <is>
          <t>Frozen Vegetables</t>
        </is>
      </c>
      <c r="H230" s="7" t="inlineStr">
        <is>
          <t>yes</t>
        </is>
      </c>
      <c r="I230" s="7" t="inlineStr">
        <is>
          <t>Plant-based non-core</t>
        </is>
      </c>
      <c r="J230" s="7" t="inlineStr">
        <is>
          <t>Fruit and vegetables</t>
        </is>
      </c>
      <c r="K230" s="7" t="inlineStr">
        <is>
          <t>A</t>
        </is>
      </c>
      <c r="L230" s="7" t="inlineStr">
        <is>
          <t>All ingredients on one side</t>
        </is>
      </c>
      <c r="M230" s="51" t="n">
        <v>2.8</v>
      </c>
      <c r="N230" s="7" t="inlineStr">
        <is>
          <t>Altera reference base</t>
        </is>
      </c>
      <c r="O230" s="54" t="n">
        <v>2.8</v>
      </c>
      <c r="P230" s="54" t="n">
        <v>0</v>
      </c>
      <c r="Q230" s="7" t="inlineStr">
        <is>
          <t>yes</t>
        </is>
      </c>
      <c r="R230" s="7" t="inlineStr">
        <is>
          <t>whole</t>
        </is>
      </c>
      <c r="S230" s="7" t="inlineStr">
        <is>
          <t>FG4</t>
        </is>
      </c>
      <c r="T230" s="7" t="n"/>
      <c r="U230" s="7" t="inlineStr">
        <is>
          <t>plant</t>
        </is>
      </c>
      <c r="V230" s="7" t="n"/>
      <c r="W230" s="7" t="n"/>
      <c r="X230" s="55" t="n">
        <v>1</v>
      </c>
      <c r="Y230" s="50" t="n">
        <v>1</v>
      </c>
      <c r="Z230" s="7" t="inlineStr">
        <is>
          <t>declared</t>
        </is>
      </c>
      <c r="AA230" s="19">
        <f>IF(ISBLANK(Welcome!D256),"",Welcome!D256)</f>
        <v/>
      </c>
      <c r="AB230" s="29">
        <f>IF(ISBLANK(Welcome!E256),"",Welcome!E256)</f>
        <v/>
      </c>
      <c r="AC230" s="29">
        <f>IF(N(AB230)&gt;0,N(AB230),N(AA230)*Y230)</f>
        <v/>
      </c>
      <c r="AD230" s="29">
        <f>IF(H230="yes",AC230,0)</f>
        <v/>
      </c>
      <c r="AE230" s="29">
        <f>AD230*N(M230)/100</f>
        <v/>
      </c>
      <c r="AF230" s="29">
        <f>AD230*N(O230)/100</f>
        <v/>
      </c>
      <c r="AG230" s="29">
        <f>AD230*N(P230)/100</f>
        <v/>
      </c>
      <c r="AH230" s="50">
        <f>IF(Q230="yes",AD230/1000,0)</f>
        <v/>
      </c>
      <c r="AI230" s="50">
        <f>IF(S230="FG2",AH230*X230,AH230)</f>
        <v/>
      </c>
    </row>
    <row r="231">
      <c r="A231" s="7" t="inlineStr">
        <is>
          <t>HM00622</t>
        </is>
      </c>
      <c r="B231" s="16" t="inlineStr">
        <is>
          <t>5012345545509</t>
        </is>
      </c>
      <c r="C231" s="7" t="inlineStr">
        <is>
          <t>HM WHITE BLOOMER 6PK 360G</t>
        </is>
      </c>
      <c r="D231" s="7" t="inlineStr">
        <is>
          <t>White bloomer, 6pk 360g</t>
        </is>
      </c>
      <c r="E231" s="7" t="inlineStr">
        <is>
          <t>Harbour Market</t>
        </is>
      </c>
      <c r="F231" s="7" t="inlineStr">
        <is>
          <t>Bakery</t>
        </is>
      </c>
      <c r="G231" s="7" t="inlineStr">
        <is>
          <t>Bread</t>
        </is>
      </c>
      <c r="H231" s="7" t="inlineStr">
        <is>
          <t>yes</t>
        </is>
      </c>
      <c r="I231" s="7" t="inlineStr">
        <is>
          <t>Plant-based non-core</t>
        </is>
      </c>
      <c r="J231" s="7" t="inlineStr">
        <is>
          <t>Refined grains</t>
        </is>
      </c>
      <c r="K231" s="7" t="inlineStr">
        <is>
          <t>A</t>
        </is>
      </c>
      <c r="L231" s="7" t="inlineStr">
        <is>
          <t>All ingredients on one side</t>
        </is>
      </c>
      <c r="M231" s="51" t="n">
        <v>8.699999999999999</v>
      </c>
      <c r="N231" s="7" t="inlineStr">
        <is>
          <t>Median of the family</t>
        </is>
      </c>
      <c r="O231" s="54" t="n">
        <v>8.699999999999999</v>
      </c>
      <c r="P231" s="54" t="n">
        <v>0</v>
      </c>
      <c r="Q231" s="7" t="inlineStr">
        <is>
          <t>yes</t>
        </is>
      </c>
      <c r="R231" s="7" t="inlineStr">
        <is>
          <t>whole</t>
        </is>
      </c>
      <c r="S231" s="7" t="inlineStr">
        <is>
          <t>FG5</t>
        </is>
      </c>
      <c r="T231" s="7" t="inlineStr">
        <is>
          <t>Refined grain</t>
        </is>
      </c>
      <c r="U231" s="7" t="inlineStr">
        <is>
          <t>plant</t>
        </is>
      </c>
      <c r="V231" s="7" t="n"/>
      <c r="W231" s="7" t="n"/>
      <c r="X231" s="55" t="n">
        <v>1</v>
      </c>
      <c r="Y231" s="50" t="n">
        <v>0.36</v>
      </c>
      <c r="Z231" s="7" t="inlineStr">
        <is>
          <t>declared</t>
        </is>
      </c>
      <c r="AA231" s="19">
        <f>IF(ISBLANK(Welcome!D257),"",Welcome!D257)</f>
        <v/>
      </c>
      <c r="AB231" s="29">
        <f>IF(ISBLANK(Welcome!E257),"",Welcome!E257)</f>
        <v/>
      </c>
      <c r="AC231" s="29">
        <f>IF(N(AB231)&gt;0,N(AB231),N(AA231)*Y231)</f>
        <v/>
      </c>
      <c r="AD231" s="29">
        <f>IF(H231="yes",AC231,0)</f>
        <v/>
      </c>
      <c r="AE231" s="29">
        <f>AD231*N(M231)/100</f>
        <v/>
      </c>
      <c r="AF231" s="29">
        <f>AD231*N(O231)/100</f>
        <v/>
      </c>
      <c r="AG231" s="29">
        <f>AD231*N(P231)/100</f>
        <v/>
      </c>
      <c r="AH231" s="50">
        <f>IF(Q231="yes",AD231/1000,0)</f>
        <v/>
      </c>
      <c r="AI231" s="50">
        <f>IF(S231="FG2",AH231*X231,AH231)</f>
        <v/>
      </c>
    </row>
    <row r="232">
      <c r="A232" s="7" t="inlineStr">
        <is>
          <t>HM00545</t>
        </is>
      </c>
      <c r="B232" s="16" t="inlineStr">
        <is>
          <t>3012345927987</t>
        </is>
      </c>
      <c r="C232" s="7" t="inlineStr">
        <is>
          <t>HM APPLES PINK LADY 500G</t>
        </is>
      </c>
      <c r="D232" s="7" t="inlineStr">
        <is>
          <t>Pink Lady apples, 500g</t>
        </is>
      </c>
      <c r="E232" s="7" t="inlineStr">
        <is>
          <t>Harbour Market</t>
        </is>
      </c>
      <c r="F232" s="7" t="inlineStr">
        <is>
          <t>Fruit &amp; Vegetables</t>
        </is>
      </c>
      <c r="G232" s="7" t="inlineStr">
        <is>
          <t>Fruit</t>
        </is>
      </c>
      <c r="H232" s="7" t="inlineStr">
        <is>
          <t>yes</t>
        </is>
      </c>
      <c r="I232" s="7" t="inlineStr">
        <is>
          <t>Plant-based non-core</t>
        </is>
      </c>
      <c r="J232" s="7" t="inlineStr">
        <is>
          <t>Fruit and vegetables</t>
        </is>
      </c>
      <c r="K232" s="7" t="inlineStr">
        <is>
          <t>B</t>
        </is>
      </c>
      <c r="L232" s="7" t="inlineStr">
        <is>
          <t>Follows the class</t>
        </is>
      </c>
      <c r="M232" s="51" t="n">
        <v>0.29</v>
      </c>
      <c r="N232" s="7" t="inlineStr">
        <is>
          <t>Declared by the retailer</t>
        </is>
      </c>
      <c r="O232" s="54" t="n">
        <v>0.29</v>
      </c>
      <c r="P232" s="54" t="n">
        <v>0</v>
      </c>
      <c r="Q232" s="7" t="inlineStr">
        <is>
          <t>yes</t>
        </is>
      </c>
      <c r="R232" s="7" t="inlineStr">
        <is>
          <t>whole</t>
        </is>
      </c>
      <c r="S232" s="7" t="inlineStr">
        <is>
          <t>FG4</t>
        </is>
      </c>
      <c r="T232" s="7" t="n"/>
      <c r="U232" s="7" t="inlineStr">
        <is>
          <t>plant</t>
        </is>
      </c>
      <c r="V232" s="7" t="n"/>
      <c r="W232" s="7" t="n"/>
      <c r="X232" s="55" t="n">
        <v>1</v>
      </c>
      <c r="Y232" s="50" t="n">
        <v>0.5</v>
      </c>
      <c r="Z232" s="7" t="inlineStr">
        <is>
          <t>declared</t>
        </is>
      </c>
      <c r="AA232" s="19">
        <f>IF(ISBLANK(Welcome!D258),"",Welcome!D258)</f>
        <v/>
      </c>
      <c r="AB232" s="29">
        <f>IF(ISBLANK(Welcome!E258),"",Welcome!E258)</f>
        <v/>
      </c>
      <c r="AC232" s="29">
        <f>IF(N(AB232)&gt;0,N(AB232),N(AA232)*Y232)</f>
        <v/>
      </c>
      <c r="AD232" s="29">
        <f>IF(H232="yes",AC232,0)</f>
        <v/>
      </c>
      <c r="AE232" s="29">
        <f>AD232*N(M232)/100</f>
        <v/>
      </c>
      <c r="AF232" s="29">
        <f>AD232*N(O232)/100</f>
        <v/>
      </c>
      <c r="AG232" s="29">
        <f>AD232*N(P232)/100</f>
        <v/>
      </c>
      <c r="AH232" s="50">
        <f>IF(Q232="yes",AD232/1000,0)</f>
        <v/>
      </c>
      <c r="AI232" s="50">
        <f>IF(S232="FG2",AH232*X232,AH232)</f>
        <v/>
      </c>
    </row>
    <row r="233">
      <c r="A233" s="7" t="inlineStr">
        <is>
          <t>HM00010</t>
        </is>
      </c>
      <c r="B233" s="16" t="inlineStr">
        <is>
          <t>4012345408249</t>
        </is>
      </c>
      <c r="C233" s="7" t="inlineStr">
        <is>
          <t>HM WHITE POTATOES 750G</t>
        </is>
      </c>
      <c r="D233" s="7" t="inlineStr">
        <is>
          <t>White potatoes, 750g</t>
        </is>
      </c>
      <c r="E233" s="7" t="inlineStr">
        <is>
          <t>Harbour Market</t>
        </is>
      </c>
      <c r="F233" s="7" t="inlineStr">
        <is>
          <t>Fruit &amp; Vegetables</t>
        </is>
      </c>
      <c r="G233" s="7" t="inlineStr">
        <is>
          <t>Potatoes</t>
        </is>
      </c>
      <c r="H233" s="7" t="inlineStr">
        <is>
          <t>yes</t>
        </is>
      </c>
      <c r="I233" s="7" t="inlineStr">
        <is>
          <t>Plant-based non-core</t>
        </is>
      </c>
      <c r="J233" s="7" t="inlineStr">
        <is>
          <t>Starchy foods</t>
        </is>
      </c>
      <c r="K233" s="7" t="inlineStr">
        <is>
          <t>B</t>
        </is>
      </c>
      <c r="L233" s="7" t="inlineStr">
        <is>
          <t>Follows the class</t>
        </is>
      </c>
      <c r="M233" s="51" t="n">
        <v>1.9</v>
      </c>
      <c r="N233" s="7" t="inlineStr">
        <is>
          <t>Open Food Facts and NEVO, by EAN</t>
        </is>
      </c>
      <c r="O233" s="54" t="n">
        <v>1.9</v>
      </c>
      <c r="P233" s="54" t="n">
        <v>0</v>
      </c>
      <c r="Q233" s="7" t="inlineStr">
        <is>
          <t>yes</t>
        </is>
      </c>
      <c r="R233" s="7" t="inlineStr">
        <is>
          <t>whole</t>
        </is>
      </c>
      <c r="S233" s="7" t="inlineStr">
        <is>
          <t>FG6</t>
        </is>
      </c>
      <c r="T233" s="7" t="n"/>
      <c r="U233" s="7" t="inlineStr">
        <is>
          <t>plant</t>
        </is>
      </c>
      <c r="V233" s="7" t="n"/>
      <c r="W233" s="7" t="n"/>
      <c r="X233" s="55" t="n">
        <v>1</v>
      </c>
      <c r="Y233" s="50" t="n">
        <v>0.75</v>
      </c>
      <c r="Z233" s="7" t="inlineStr">
        <is>
          <t>declared</t>
        </is>
      </c>
      <c r="AA233" s="19">
        <f>IF(ISBLANK(Welcome!D259),"",Welcome!D259)</f>
        <v/>
      </c>
      <c r="AB233" s="29">
        <f>IF(ISBLANK(Welcome!E259),"",Welcome!E259)</f>
        <v/>
      </c>
      <c r="AC233" s="29">
        <f>IF(N(AB233)&gt;0,N(AB233),N(AA233)*Y233)</f>
        <v/>
      </c>
      <c r="AD233" s="29">
        <f>IF(H233="yes",AC233,0)</f>
        <v/>
      </c>
      <c r="AE233" s="29">
        <f>AD233*N(M233)/100</f>
        <v/>
      </c>
      <c r="AF233" s="29">
        <f>AD233*N(O233)/100</f>
        <v/>
      </c>
      <c r="AG233" s="29">
        <f>AD233*N(P233)/100</f>
        <v/>
      </c>
      <c r="AH233" s="50">
        <f>IF(Q233="yes",AD233/1000,0)</f>
        <v/>
      </c>
      <c r="AI233" s="50">
        <f>IF(S233="FG2",AH233*X233,AH233)</f>
        <v/>
      </c>
    </row>
    <row r="234">
      <c r="A234" s="7" t="inlineStr">
        <is>
          <t>HM00016</t>
        </is>
      </c>
      <c r="B234" s="16" t="inlineStr">
        <is>
          <t>5012345976006</t>
        </is>
      </c>
      <c r="C234" s="7" t="inlineStr">
        <is>
          <t>HM NUT CHOC BARS 5X35G</t>
        </is>
      </c>
      <c r="D234" s="7" t="inlineStr">
        <is>
          <t>Nut &amp; dark chocolate bars, 5x35g</t>
        </is>
      </c>
      <c r="E234" s="7" t="inlineStr">
        <is>
          <t>Harbour Market</t>
        </is>
      </c>
      <c r="F234" s="7" t="inlineStr">
        <is>
          <t>Breakfast &amp; Snacks</t>
        </is>
      </c>
      <c r="G234" s="7" t="inlineStr">
        <is>
          <t>Cereal Bars</t>
        </is>
      </c>
      <c r="H234" s="7" t="inlineStr">
        <is>
          <t>yes</t>
        </is>
      </c>
      <c r="I234" s="7" t="inlineStr">
        <is>
          <t>Plant-based non-core</t>
        </is>
      </c>
      <c r="J234" s="7" t="inlineStr">
        <is>
          <t>Discretionary products</t>
        </is>
      </c>
      <c r="K234" s="7" t="inlineStr">
        <is>
          <t>B</t>
        </is>
      </c>
      <c r="L234" s="7" t="inlineStr">
        <is>
          <t>Follows the class</t>
        </is>
      </c>
      <c r="M234" s="51" t="n">
        <v>6.2</v>
      </c>
      <c r="N234" s="7" t="inlineStr">
        <is>
          <t>Declared by the retailer</t>
        </is>
      </c>
      <c r="O234" s="54" t="n">
        <v>6.2</v>
      </c>
      <c r="P234" s="54" t="n">
        <v>0</v>
      </c>
      <c r="Q234" s="7" t="inlineStr">
        <is>
          <t>yes</t>
        </is>
      </c>
      <c r="R234" s="7" t="inlineStr">
        <is>
          <t>whole</t>
        </is>
      </c>
      <c r="S234" s="7" t="inlineStr">
        <is>
          <t>FG7</t>
        </is>
      </c>
      <c r="T234" s="7" t="n"/>
      <c r="U234" s="7" t="inlineStr">
        <is>
          <t>plant</t>
        </is>
      </c>
      <c r="V234" s="7" t="n"/>
      <c r="W234" s="7" t="n"/>
      <c r="X234" s="55" t="n">
        <v>1</v>
      </c>
      <c r="Y234" s="50" t="n">
        <v>0.175</v>
      </c>
      <c r="Z234" s="7" t="inlineStr">
        <is>
          <t>declared</t>
        </is>
      </c>
      <c r="AA234" s="19">
        <f>IF(ISBLANK(Welcome!D260),"",Welcome!D260)</f>
        <v/>
      </c>
      <c r="AB234" s="29">
        <f>IF(ISBLANK(Welcome!E260),"",Welcome!E260)</f>
        <v/>
      </c>
      <c r="AC234" s="29">
        <f>IF(N(AB234)&gt;0,N(AB234),N(AA234)*Y234)</f>
        <v/>
      </c>
      <c r="AD234" s="29">
        <f>IF(H234="yes",AC234,0)</f>
        <v/>
      </c>
      <c r="AE234" s="29">
        <f>AD234*N(M234)/100</f>
        <v/>
      </c>
      <c r="AF234" s="29">
        <f>AD234*N(O234)/100</f>
        <v/>
      </c>
      <c r="AG234" s="29">
        <f>AD234*N(P234)/100</f>
        <v/>
      </c>
      <c r="AH234" s="50">
        <f>IF(Q234="yes",AD234/1000,0)</f>
        <v/>
      </c>
      <c r="AI234" s="50">
        <f>IF(S234="FG2",AH234*X234,AH234)</f>
        <v/>
      </c>
    </row>
    <row r="235">
      <c r="A235" s="7" t="inlineStr">
        <is>
          <t>HM00672</t>
        </is>
      </c>
      <c r="B235" s="16" t="inlineStr">
        <is>
          <t>3012345299794</t>
        </is>
      </c>
      <c r="C235" s="7" t="inlineStr">
        <is>
          <t>EGG LASAGNE SHEETS 250G ORVALIS</t>
        </is>
      </c>
      <c r="D235" s="7" t="inlineStr">
        <is>
          <t>Egg lasagne sheets, 250g</t>
        </is>
      </c>
      <c r="E235" s="7" t="inlineStr">
        <is>
          <t>Orvalis</t>
        </is>
      </c>
      <c r="F235" s="7" t="inlineStr">
        <is>
          <t>Grocery</t>
        </is>
      </c>
      <c r="G235" s="7" t="inlineStr">
        <is>
          <t>Fresh Pasta</t>
        </is>
      </c>
      <c r="H235" s="7" t="inlineStr">
        <is>
          <t>yes</t>
        </is>
      </c>
      <c r="I235" s="7" t="inlineStr">
        <is>
          <t>Animal &amp; plant composite</t>
        </is>
      </c>
      <c r="J235" s="7" t="inlineStr">
        <is>
          <t>Vegetarian dishes</t>
        </is>
      </c>
      <c r="K235" s="7" t="inlineStr">
        <is>
          <t>A</t>
        </is>
      </c>
      <c r="L235" s="7" t="inlineStr">
        <is>
          <t>Ingredient list</t>
        </is>
      </c>
      <c r="M235" s="51" t="n">
        <v>13.5</v>
      </c>
      <c r="N235" s="7" t="inlineStr">
        <is>
          <t>Declared by the retailer</t>
        </is>
      </c>
      <c r="O235" s="54" t="n">
        <v>10.53</v>
      </c>
      <c r="P235" s="54" t="n">
        <v>2.97</v>
      </c>
      <c r="Q235" s="7" t="inlineStr">
        <is>
          <t>yes</t>
        </is>
      </c>
      <c r="R235" s="7" t="inlineStr">
        <is>
          <t>composite</t>
        </is>
      </c>
      <c r="S235" s="7" t="n"/>
      <c r="T235" s="7" t="n"/>
      <c r="U235" s="7" t="n"/>
      <c r="V235" s="7" t="inlineStr">
        <is>
          <t>vegetarian</t>
        </is>
      </c>
      <c r="W235" s="7" t="n"/>
      <c r="X235" s="55" t="n">
        <v>1</v>
      </c>
      <c r="Y235" s="50" t="n">
        <v>0.25</v>
      </c>
      <c r="Z235" s="7" t="inlineStr">
        <is>
          <t>declared</t>
        </is>
      </c>
      <c r="AA235" s="19">
        <f>IF(ISBLANK(Welcome!D261),"",Welcome!D261)</f>
        <v/>
      </c>
      <c r="AB235" s="29">
        <f>IF(ISBLANK(Welcome!E261),"",Welcome!E261)</f>
        <v/>
      </c>
      <c r="AC235" s="29">
        <f>IF(N(AB235)&gt;0,N(AB235),N(AA235)*Y235)</f>
        <v/>
      </c>
      <c r="AD235" s="29">
        <f>IF(H235="yes",AC235,0)</f>
        <v/>
      </c>
      <c r="AE235" s="29">
        <f>AD235*N(M235)/100</f>
        <v/>
      </c>
      <c r="AF235" s="29">
        <f>AD235*N(O235)/100</f>
        <v/>
      </c>
      <c r="AG235" s="29">
        <f>AD235*N(P235)/100</f>
        <v/>
      </c>
      <c r="AH235" s="50">
        <f>IF(Q235="yes",AD235/1000,0)</f>
        <v/>
      </c>
      <c r="AI235" s="50">
        <f>IF(S235="FG2",AH235*X235,AH235)</f>
        <v/>
      </c>
    </row>
    <row r="236">
      <c r="A236" s="7" t="inlineStr">
        <is>
          <t>HM00169</t>
        </is>
      </c>
      <c r="B236" s="16" t="inlineStr">
        <is>
          <t>4012345004939</t>
        </is>
      </c>
      <c r="C236" s="7" t="inlineStr">
        <is>
          <t>PENROCK TORTILLA CHIPS 150G</t>
        </is>
      </c>
      <c r="D236" s="7" t="inlineStr">
        <is>
          <t>Tortilla chips, 150g</t>
        </is>
      </c>
      <c r="E236" s="7" t="inlineStr">
        <is>
          <t>Penrock</t>
        </is>
      </c>
      <c r="F236" s="7" t="inlineStr">
        <is>
          <t>Breakfast &amp; Snacks</t>
        </is>
      </c>
      <c r="G236" s="7" t="inlineStr">
        <is>
          <t>Crisps</t>
        </is>
      </c>
      <c r="H236" s="7" t="inlineStr">
        <is>
          <t>yes</t>
        </is>
      </c>
      <c r="I236" s="7" t="inlineStr">
        <is>
          <t>Plant-based non-core</t>
        </is>
      </c>
      <c r="J236" s="7" t="inlineStr">
        <is>
          <t>Discretionary products</t>
        </is>
      </c>
      <c r="K236" s="7" t="inlineStr">
        <is>
          <t>A</t>
        </is>
      </c>
      <c r="L236" s="7" t="inlineStr">
        <is>
          <t>All ingredients on one side</t>
        </is>
      </c>
      <c r="M236" s="51" t="n">
        <v>7.1</v>
      </c>
      <c r="N236" s="7" t="inlineStr">
        <is>
          <t>Altera reference base</t>
        </is>
      </c>
      <c r="O236" s="54" t="n">
        <v>7.1</v>
      </c>
      <c r="P236" s="54" t="n">
        <v>0</v>
      </c>
      <c r="Q236" s="7" t="inlineStr">
        <is>
          <t>yes</t>
        </is>
      </c>
      <c r="R236" s="7" t="inlineStr">
        <is>
          <t>whole</t>
        </is>
      </c>
      <c r="S236" s="7" t="inlineStr">
        <is>
          <t>FG7</t>
        </is>
      </c>
      <c r="T236" s="7" t="n"/>
      <c r="U236" s="7" t="inlineStr">
        <is>
          <t>plant</t>
        </is>
      </c>
      <c r="V236" s="7" t="n"/>
      <c r="W236" s="7" t="n"/>
      <c r="X236" s="55" t="n">
        <v>1</v>
      </c>
      <c r="Y236" s="50" t="n">
        <v>0.15</v>
      </c>
      <c r="Z236" s="7" t="inlineStr">
        <is>
          <t>declared</t>
        </is>
      </c>
      <c r="AA236" s="19">
        <f>IF(ISBLANK(Welcome!D262),"",Welcome!D262)</f>
        <v/>
      </c>
      <c r="AB236" s="29">
        <f>IF(ISBLANK(Welcome!E262),"",Welcome!E262)</f>
        <v/>
      </c>
      <c r="AC236" s="29">
        <f>IF(N(AB236)&gt;0,N(AB236),N(AA236)*Y236)</f>
        <v/>
      </c>
      <c r="AD236" s="29">
        <f>IF(H236="yes",AC236,0)</f>
        <v/>
      </c>
      <c r="AE236" s="29">
        <f>AD236*N(M236)/100</f>
        <v/>
      </c>
      <c r="AF236" s="29">
        <f>AD236*N(O236)/100</f>
        <v/>
      </c>
      <c r="AG236" s="29">
        <f>AD236*N(P236)/100</f>
        <v/>
      </c>
      <c r="AH236" s="50">
        <f>IF(Q236="yes",AD236/1000,0)</f>
        <v/>
      </c>
      <c r="AI236" s="50">
        <f>IF(S236="FG2",AH236*X236,AH236)</f>
        <v/>
      </c>
    </row>
    <row r="237">
      <c r="A237" s="7" t="inlineStr">
        <is>
          <t>HM00224</t>
        </is>
      </c>
      <c r="B237" s="16" t="inlineStr">
        <is>
          <t>3012345655026</t>
        </is>
      </c>
      <c r="C237" s="7" t="inlineStr">
        <is>
          <t>HM CAULIFLOWER 300G</t>
        </is>
      </c>
      <c r="D237" s="7" t="inlineStr">
        <is>
          <t>Cauliflower, 300g</t>
        </is>
      </c>
      <c r="E237" s="7" t="inlineStr">
        <is>
          <t>Harbour Market</t>
        </is>
      </c>
      <c r="F237" s="7" t="inlineStr">
        <is>
          <t>Fruit &amp; Vegetables</t>
        </is>
      </c>
      <c r="G237" s="7" t="inlineStr">
        <is>
          <t>Vegetables</t>
        </is>
      </c>
      <c r="H237" s="7" t="inlineStr">
        <is>
          <t>yes</t>
        </is>
      </c>
      <c r="I237" s="7" t="inlineStr">
        <is>
          <t>Plant-based non-core</t>
        </is>
      </c>
      <c r="J237" s="7" t="inlineStr">
        <is>
          <t>Fruit and vegetables</t>
        </is>
      </c>
      <c r="K237" s="7" t="inlineStr">
        <is>
          <t>B</t>
        </is>
      </c>
      <c r="L237" s="7" t="inlineStr">
        <is>
          <t>Follows the class</t>
        </is>
      </c>
      <c r="M237" s="51" t="n">
        <v>1.9</v>
      </c>
      <c r="N237" s="7" t="inlineStr">
        <is>
          <t>Median of the family</t>
        </is>
      </c>
      <c r="O237" s="54" t="n">
        <v>1.9</v>
      </c>
      <c r="P237" s="54" t="n">
        <v>0</v>
      </c>
      <c r="Q237" s="7" t="inlineStr">
        <is>
          <t>yes</t>
        </is>
      </c>
      <c r="R237" s="7" t="inlineStr">
        <is>
          <t>whole</t>
        </is>
      </c>
      <c r="S237" s="7" t="inlineStr">
        <is>
          <t>FG4</t>
        </is>
      </c>
      <c r="T237" s="7" t="n"/>
      <c r="U237" s="7" t="inlineStr">
        <is>
          <t>plant</t>
        </is>
      </c>
      <c r="V237" s="7" t="n"/>
      <c r="W237" s="7" t="n"/>
      <c r="X237" s="55" t="n">
        <v>1</v>
      </c>
      <c r="Y237" s="50" t="n">
        <v>0.3</v>
      </c>
      <c r="Z237" s="7" t="inlineStr">
        <is>
          <t>declared</t>
        </is>
      </c>
      <c r="AA237" s="19">
        <f>IF(ISBLANK(Welcome!D263),"",Welcome!D263)</f>
        <v/>
      </c>
      <c r="AB237" s="29">
        <f>IF(ISBLANK(Welcome!E263),"",Welcome!E263)</f>
        <v/>
      </c>
      <c r="AC237" s="29">
        <f>IF(N(AB237)&gt;0,N(AB237),N(AA237)*Y237)</f>
        <v/>
      </c>
      <c r="AD237" s="29">
        <f>IF(H237="yes",AC237,0)</f>
        <v/>
      </c>
      <c r="AE237" s="29">
        <f>AD237*N(M237)/100</f>
        <v/>
      </c>
      <c r="AF237" s="29">
        <f>AD237*N(O237)/100</f>
        <v/>
      </c>
      <c r="AG237" s="29">
        <f>AD237*N(P237)/100</f>
        <v/>
      </c>
      <c r="AH237" s="50">
        <f>IF(Q237="yes",AD237/1000,0)</f>
        <v/>
      </c>
      <c r="AI237" s="50">
        <f>IF(S237="FG2",AH237*X237,AH237)</f>
        <v/>
      </c>
    </row>
    <row r="238">
      <c r="A238" s="7" t="inlineStr">
        <is>
          <t>HM00057</t>
        </is>
      </c>
      <c r="B238" s="16" t="inlineStr">
        <is>
          <t>5012345491202</t>
        </is>
      </c>
      <c r="C238" s="7" t="inlineStr">
        <is>
          <t>PIZZA 4 CHEESE 335G QUILLAN</t>
        </is>
      </c>
      <c r="D238" s="7" t="inlineStr">
        <is>
          <t>Four cheese pizza, 335g</t>
        </is>
      </c>
      <c r="E238" s="7" t="inlineStr">
        <is>
          <t>Quillan</t>
        </is>
      </c>
      <c r="F238" s="7" t="inlineStr">
        <is>
          <t>Frozen</t>
        </is>
      </c>
      <c r="G238" s="7" t="inlineStr">
        <is>
          <t>Pizza</t>
        </is>
      </c>
      <c r="H238" s="7" t="inlineStr">
        <is>
          <t>yes</t>
        </is>
      </c>
      <c r="I238" s="7" t="inlineStr">
        <is>
          <t>Animal &amp; plant composite</t>
        </is>
      </c>
      <c r="J238" s="7" t="inlineStr">
        <is>
          <t>Vegetarian dishes</t>
        </is>
      </c>
      <c r="K238" s="7" t="inlineStr">
        <is>
          <t>B</t>
        </is>
      </c>
      <c r="L238" s="7" t="inlineStr">
        <is>
          <t>50/50 convention</t>
        </is>
      </c>
      <c r="M238" s="51" t="n">
        <v>9.800000000000001</v>
      </c>
      <c r="N238" s="7" t="inlineStr">
        <is>
          <t>Altera reference base</t>
        </is>
      </c>
      <c r="O238" s="54" t="n">
        <v>4.9</v>
      </c>
      <c r="P238" s="54" t="n">
        <v>4.9</v>
      </c>
      <c r="Q238" s="7" t="inlineStr">
        <is>
          <t>yes</t>
        </is>
      </c>
      <c r="R238" s="7" t="inlineStr">
        <is>
          <t>composite</t>
        </is>
      </c>
      <c r="S238" s="7" t="n"/>
      <c r="T238" s="7" t="n"/>
      <c r="U238" s="7" t="n"/>
      <c r="V238" s="7" t="inlineStr">
        <is>
          <t>vegetarian</t>
        </is>
      </c>
      <c r="W238" s="7" t="n"/>
      <c r="X238" s="55" t="n">
        <v>1</v>
      </c>
      <c r="Y238" s="50" t="n">
        <v>0.335</v>
      </c>
      <c r="Z238" s="7" t="inlineStr">
        <is>
          <t>declared</t>
        </is>
      </c>
      <c r="AA238" s="19">
        <f>IF(ISBLANK(Welcome!D264),"",Welcome!D264)</f>
        <v/>
      </c>
      <c r="AB238" s="29">
        <f>IF(ISBLANK(Welcome!E264),"",Welcome!E264)</f>
        <v/>
      </c>
      <c r="AC238" s="29">
        <f>IF(N(AB238)&gt;0,N(AB238),N(AA238)*Y238)</f>
        <v/>
      </c>
      <c r="AD238" s="29">
        <f>IF(H238="yes",AC238,0)</f>
        <v/>
      </c>
      <c r="AE238" s="29">
        <f>AD238*N(M238)/100</f>
        <v/>
      </c>
      <c r="AF238" s="29">
        <f>AD238*N(O238)/100</f>
        <v/>
      </c>
      <c r="AG238" s="29">
        <f>AD238*N(P238)/100</f>
        <v/>
      </c>
      <c r="AH238" s="50">
        <f>IF(Q238="yes",AD238/1000,0)</f>
        <v/>
      </c>
      <c r="AI238" s="50">
        <f>IF(S238="FG2",AH238*X238,AH238)</f>
        <v/>
      </c>
    </row>
    <row r="239">
      <c r="A239" s="7" t="inlineStr">
        <is>
          <t>HM00597</t>
        </is>
      </c>
      <c r="B239" s="16" t="inlineStr">
        <is>
          <t>5012345027340</t>
        </is>
      </c>
      <c r="C239" s="7" t="inlineStr">
        <is>
          <t>NUVELLE APPLE JUICE 1.75L</t>
        </is>
      </c>
      <c r="D239" s="7" t="inlineStr">
        <is>
          <t>Pressed apple juice, 1.75l</t>
        </is>
      </c>
      <c r="E239" s="7" t="inlineStr">
        <is>
          <t>Nuvelle</t>
        </is>
      </c>
      <c r="F239" s="7" t="inlineStr">
        <is>
          <t>Soft Drinks &amp; Water</t>
        </is>
      </c>
      <c r="G239" s="7" t="inlineStr">
        <is>
          <t>Juice</t>
        </is>
      </c>
      <c r="H239" s="7" t="inlineStr">
        <is>
          <t>yes</t>
        </is>
      </c>
      <c r="I239" s="7" t="inlineStr">
        <is>
          <t>Plant-based non-core</t>
        </is>
      </c>
      <c r="J239" s="7" t="inlineStr">
        <is>
          <t>Outside the WWF scope</t>
        </is>
      </c>
      <c r="K239" s="7" t="inlineStr">
        <is>
          <t>B</t>
        </is>
      </c>
      <c r="L239" s="7" t="inlineStr">
        <is>
          <t>Follows the class</t>
        </is>
      </c>
      <c r="M239" s="51" t="n">
        <v>0.09</v>
      </c>
      <c r="N239" s="7" t="inlineStr">
        <is>
          <t>Declared by the retailer</t>
        </is>
      </c>
      <c r="O239" s="54" t="n">
        <v>0.09</v>
      </c>
      <c r="P239" s="54" t="n">
        <v>0</v>
      </c>
      <c r="Q239" s="7" t="inlineStr">
        <is>
          <t>no</t>
        </is>
      </c>
      <c r="R239" s="7" t="n"/>
      <c r="S239" s="7" t="n"/>
      <c r="T239" s="7" t="n"/>
      <c r="U239" s="7" t="n"/>
      <c r="V239" s="7" t="n"/>
      <c r="W239" s="7" t="inlineStr">
        <is>
          <t>beverage</t>
        </is>
      </c>
      <c r="X239" s="55" t="n">
        <v>1</v>
      </c>
      <c r="Y239" s="50" t="n">
        <v>1.82</v>
      </c>
      <c r="Z239" s="7" t="inlineStr">
        <is>
          <t>declared</t>
        </is>
      </c>
      <c r="AA239" s="19">
        <f>IF(ISBLANK(Welcome!D265),"",Welcome!D265)</f>
        <v/>
      </c>
      <c r="AB239" s="29">
        <f>IF(ISBLANK(Welcome!E265),"",Welcome!E265)</f>
        <v/>
      </c>
      <c r="AC239" s="29">
        <f>IF(N(AB239)&gt;0,N(AB239),N(AA239)*Y239)</f>
        <v/>
      </c>
      <c r="AD239" s="29">
        <f>IF(H239="yes",AC239,0)</f>
        <v/>
      </c>
      <c r="AE239" s="29">
        <f>AD239*N(M239)/100</f>
        <v/>
      </c>
      <c r="AF239" s="29">
        <f>AD239*N(O239)/100</f>
        <v/>
      </c>
      <c r="AG239" s="29">
        <f>AD239*N(P239)/100</f>
        <v/>
      </c>
      <c r="AH239" s="50">
        <f>IF(Q239="yes",AD239/1000,0)</f>
        <v/>
      </c>
      <c r="AI239" s="50">
        <f>IF(S239="FG2",AH239*X239,AH239)</f>
        <v/>
      </c>
    </row>
    <row r="240">
      <c r="A240" s="7" t="inlineStr">
        <is>
          <t>HM00680</t>
        </is>
      </c>
      <c r="B240" s="16" t="inlineStr">
        <is>
          <t>2344057077190</t>
        </is>
      </c>
      <c r="C240" s="7" t="inlineStr">
        <is>
          <t>HM SWEETCORN COBS KG</t>
        </is>
      </c>
      <c r="D240" s="7" t="inlineStr">
        <is>
          <t>Sweetcorn cobs</t>
        </is>
      </c>
      <c r="E240" s="7" t="inlineStr">
        <is>
          <t>Harbour Market</t>
        </is>
      </c>
      <c r="F240" s="7" t="inlineStr">
        <is>
          <t>Fruit &amp; Vegetables</t>
        </is>
      </c>
      <c r="G240" s="7" t="inlineStr">
        <is>
          <t>Vegetables</t>
        </is>
      </c>
      <c r="H240" s="7" t="inlineStr">
        <is>
          <t>yes</t>
        </is>
      </c>
      <c r="I240" s="7" t="inlineStr">
        <is>
          <t>Plant-based non-core</t>
        </is>
      </c>
      <c r="J240" s="7" t="inlineStr">
        <is>
          <t>Fruit and vegetables</t>
        </is>
      </c>
      <c r="K240" s="7" t="inlineStr">
        <is>
          <t>B</t>
        </is>
      </c>
      <c r="L240" s="7" t="inlineStr">
        <is>
          <t>Follows the class</t>
        </is>
      </c>
      <c r="M240" s="51" t="n">
        <v>3.3</v>
      </c>
      <c r="N240" s="7" t="inlineStr">
        <is>
          <t>National food table (CIQUAL in France)</t>
        </is>
      </c>
      <c r="O240" s="54" t="n">
        <v>3.3</v>
      </c>
      <c r="P240" s="54" t="n">
        <v>0</v>
      </c>
      <c r="Q240" s="7" t="inlineStr">
        <is>
          <t>yes</t>
        </is>
      </c>
      <c r="R240" s="7" t="inlineStr">
        <is>
          <t>whole</t>
        </is>
      </c>
      <c r="S240" s="7" t="inlineStr">
        <is>
          <t>FG4</t>
        </is>
      </c>
      <c r="T240" s="7" t="n"/>
      <c r="U240" s="7" t="inlineStr">
        <is>
          <t>plant</t>
        </is>
      </c>
      <c r="V240" s="7" t="n"/>
      <c r="W240" s="7" t="n"/>
      <c r="X240" s="55" t="n">
        <v>1</v>
      </c>
      <c r="Y240" s="50" t="n">
        <v>1</v>
      </c>
      <c r="Z240" s="7" t="inlineStr">
        <is>
          <t>variable</t>
        </is>
      </c>
      <c r="AA240" s="19">
        <f>IF(ISBLANK(Welcome!D266),"",Welcome!D266)</f>
        <v/>
      </c>
      <c r="AB240" s="29">
        <f>IF(ISBLANK(Welcome!E266),"",Welcome!E266)</f>
        <v/>
      </c>
      <c r="AC240" s="29">
        <f>IF(N(AB240)&gt;0,N(AB240),N(AA240)*Y240)</f>
        <v/>
      </c>
      <c r="AD240" s="29">
        <f>IF(H240="yes",AC240,0)</f>
        <v/>
      </c>
      <c r="AE240" s="29">
        <f>AD240*N(M240)/100</f>
        <v/>
      </c>
      <c r="AF240" s="29">
        <f>AD240*N(O240)/100</f>
        <v/>
      </c>
      <c r="AG240" s="29">
        <f>AD240*N(P240)/100</f>
        <v/>
      </c>
      <c r="AH240" s="50">
        <f>IF(Q240="yes",AD240/1000,0)</f>
        <v/>
      </c>
      <c r="AI240" s="50">
        <f>IF(S240="FG2",AH240*X240,AH240)</f>
        <v/>
      </c>
    </row>
    <row r="241">
      <c r="A241" s="7" t="inlineStr">
        <is>
          <t>HM00723</t>
        </is>
      </c>
      <c r="B241" s="16" t="inlineStr">
        <is>
          <t>5012345899916</t>
        </is>
      </c>
      <c r="C241" s="7" t="inlineStr">
        <is>
          <t>CASTELNA RAPESEED OIL 3L</t>
        </is>
      </c>
      <c r="D241" s="7" t="inlineStr">
        <is>
          <t>Rapeseed oil, 3l</t>
        </is>
      </c>
      <c r="E241" s="7" t="inlineStr">
        <is>
          <t>Castelna</t>
        </is>
      </c>
      <c r="F241" s="7" t="inlineStr">
        <is>
          <t>Grocery</t>
        </is>
      </c>
      <c r="G241" s="7" t="inlineStr">
        <is>
          <t>Oils</t>
        </is>
      </c>
      <c r="H241" s="7" t="inlineStr">
        <is>
          <t>yes</t>
        </is>
      </c>
      <c r="I241" s="7" t="inlineStr">
        <is>
          <t>Plant-based non-core</t>
        </is>
      </c>
      <c r="J241" s="7" t="inlineStr">
        <is>
          <t>Other</t>
        </is>
      </c>
      <c r="K241" s="7" t="inlineStr">
        <is>
          <t>A</t>
        </is>
      </c>
      <c r="L241" s="7" t="inlineStr">
        <is>
          <t>All ingredients on one side</t>
        </is>
      </c>
      <c r="M241" s="51" t="n">
        <v>0</v>
      </c>
      <c r="N241" s="7" t="inlineStr">
        <is>
          <t>Declared by the retailer</t>
        </is>
      </c>
      <c r="O241" s="54" t="n">
        <v>0</v>
      </c>
      <c r="P241" s="54" t="n">
        <v>0</v>
      </c>
      <c r="Q241" s="7" t="inlineStr">
        <is>
          <t>yes</t>
        </is>
      </c>
      <c r="R241" s="7" t="inlineStr">
        <is>
          <t>whole</t>
        </is>
      </c>
      <c r="S241" s="7" t="inlineStr">
        <is>
          <t>FG3</t>
        </is>
      </c>
      <c r="T241" s="7" t="inlineStr">
        <is>
          <t>Plant-based fat</t>
        </is>
      </c>
      <c r="U241" s="7" t="inlineStr">
        <is>
          <t>plant</t>
        </is>
      </c>
      <c r="V241" s="7" t="n"/>
      <c r="W241" s="7" t="n"/>
      <c r="X241" s="55" t="n">
        <v>1</v>
      </c>
      <c r="Y241" s="50" t="n">
        <v>2.76</v>
      </c>
      <c r="Z241" s="7" t="inlineStr">
        <is>
          <t>declared</t>
        </is>
      </c>
      <c r="AA241" s="19">
        <f>IF(ISBLANK(Welcome!D267),"",Welcome!D267)</f>
        <v/>
      </c>
      <c r="AB241" s="29">
        <f>IF(ISBLANK(Welcome!E267),"",Welcome!E267)</f>
        <v/>
      </c>
      <c r="AC241" s="29">
        <f>IF(N(AB241)&gt;0,N(AB241),N(AA241)*Y241)</f>
        <v/>
      </c>
      <c r="AD241" s="29">
        <f>IF(H241="yes",AC241,0)</f>
        <v/>
      </c>
      <c r="AE241" s="29">
        <f>AD241*N(M241)/100</f>
        <v/>
      </c>
      <c r="AF241" s="29">
        <f>AD241*N(O241)/100</f>
        <v/>
      </c>
      <c r="AG241" s="29">
        <f>AD241*N(P241)/100</f>
        <v/>
      </c>
      <c r="AH241" s="50">
        <f>IF(Q241="yes",AD241/1000,0)</f>
        <v/>
      </c>
      <c r="AI241" s="50">
        <f>IF(S241="FG2",AH241*X241,AH241)</f>
        <v/>
      </c>
    </row>
    <row r="242">
      <c r="A242" s="7" t="inlineStr">
        <is>
          <t>HM00577</t>
        </is>
      </c>
      <c r="B242" s="16" t="inlineStr">
        <is>
          <t>3012345786478</t>
        </is>
      </c>
      <c r="C242" s="7" t="inlineStr">
        <is>
          <t>ORG FREE RANGE EGGS 6PK TARROW</t>
        </is>
      </c>
      <c r="D242" s="7" t="inlineStr">
        <is>
          <t>Organic free-range eggs, 6pk</t>
        </is>
      </c>
      <c r="E242" s="7" t="inlineStr">
        <is>
          <t>Tarrow Farm</t>
        </is>
      </c>
      <c r="F242" s="7" t="inlineStr">
        <is>
          <t>Dairy &amp; Eggs</t>
        </is>
      </c>
      <c r="G242" s="7" t="inlineStr">
        <is>
          <t>Eggs</t>
        </is>
      </c>
      <c r="H242" s="7" t="inlineStr">
        <is>
          <t>yes</t>
        </is>
      </c>
      <c r="I242" s="7" t="inlineStr">
        <is>
          <t>Animal core</t>
        </is>
      </c>
      <c r="J242" s="7" t="inlineStr">
        <is>
          <t>Eggs</t>
        </is>
      </c>
      <c r="K242" s="7" t="inlineStr">
        <is>
          <t>B</t>
        </is>
      </c>
      <c r="L242" s="7" t="inlineStr">
        <is>
          <t>Follows the class</t>
        </is>
      </c>
      <c r="M242" s="51" t="n">
        <v>12</v>
      </c>
      <c r="N242" s="7" t="inlineStr">
        <is>
          <t>Open Food Facts and NEVO, by EAN</t>
        </is>
      </c>
      <c r="O242" s="54" t="n">
        <v>0</v>
      </c>
      <c r="P242" s="54" t="n">
        <v>12</v>
      </c>
      <c r="Q242" s="7" t="inlineStr">
        <is>
          <t>yes</t>
        </is>
      </c>
      <c r="R242" s="7" t="inlineStr">
        <is>
          <t>whole</t>
        </is>
      </c>
      <c r="S242" s="7" t="inlineStr">
        <is>
          <t>FG1</t>
        </is>
      </c>
      <c r="T242" s="7" t="inlineStr">
        <is>
          <t>Eggs</t>
        </is>
      </c>
      <c r="U242" s="7" t="inlineStr">
        <is>
          <t>animal</t>
        </is>
      </c>
      <c r="V242" s="7" t="n"/>
      <c r="W242" s="7" t="n"/>
      <c r="X242" s="55" t="n">
        <v>1</v>
      </c>
      <c r="Y242" s="50" t="n">
        <v>0.36</v>
      </c>
      <c r="Z242" s="7" t="inlineStr">
        <is>
          <t>declared</t>
        </is>
      </c>
      <c r="AA242" s="19">
        <f>IF(ISBLANK(Welcome!D268),"",Welcome!D268)</f>
        <v/>
      </c>
      <c r="AB242" s="29">
        <f>IF(ISBLANK(Welcome!E268),"",Welcome!E268)</f>
        <v/>
      </c>
      <c r="AC242" s="29">
        <f>IF(N(AB242)&gt;0,N(AB242),N(AA242)*Y242)</f>
        <v/>
      </c>
      <c r="AD242" s="29">
        <f>IF(H242="yes",AC242,0)</f>
        <v/>
      </c>
      <c r="AE242" s="29">
        <f>AD242*N(M242)/100</f>
        <v/>
      </c>
      <c r="AF242" s="29">
        <f>AD242*N(O242)/100</f>
        <v/>
      </c>
      <c r="AG242" s="29">
        <f>AD242*N(P242)/100</f>
        <v/>
      </c>
      <c r="AH242" s="50">
        <f>IF(Q242="yes",AD242/1000,0)</f>
        <v/>
      </c>
      <c r="AI242" s="50">
        <f>IF(S242="FG2",AH242*X242,AH242)</f>
        <v/>
      </c>
    </row>
    <row r="243">
      <c r="A243" s="7" t="inlineStr">
        <is>
          <t>HM00603</t>
        </is>
      </c>
      <c r="B243" s="16" t="inlineStr">
        <is>
          <t>3012345750974</t>
        </is>
      </c>
      <c r="C243" s="7" t="inlineStr">
        <is>
          <t>WHITE WINE SAUV BLANC 1.5L CASTELNA</t>
        </is>
      </c>
      <c r="D243" s="7" t="inlineStr">
        <is>
          <t>Sauvignon blanc white wine, 1.5l</t>
        </is>
      </c>
      <c r="E243" s="7" t="inlineStr">
        <is>
          <t>Castelna</t>
        </is>
      </c>
      <c r="F243" s="7" t="inlineStr">
        <is>
          <t>Beer, Wine &amp; Spirits</t>
        </is>
      </c>
      <c r="G243" s="7" t="inlineStr">
        <is>
          <t>Wine</t>
        </is>
      </c>
      <c r="H243" s="7" t="inlineStr">
        <is>
          <t>yes</t>
        </is>
      </c>
      <c r="I243" s="7" t="inlineStr">
        <is>
          <t>Plant-based non-core</t>
        </is>
      </c>
      <c r="J243" s="7" t="inlineStr">
        <is>
          <t>Outside the WWF scope</t>
        </is>
      </c>
      <c r="K243" s="7" t="inlineStr">
        <is>
          <t>A</t>
        </is>
      </c>
      <c r="L243" s="7" t="inlineStr">
        <is>
          <t>All ingredients on one side</t>
        </is>
      </c>
      <c r="M243" s="51" t="n">
        <v>0.1</v>
      </c>
      <c r="N243" s="7" t="inlineStr">
        <is>
          <t>Declared by the retailer</t>
        </is>
      </c>
      <c r="O243" s="54" t="n">
        <v>0.1</v>
      </c>
      <c r="P243" s="54" t="n">
        <v>0</v>
      </c>
      <c r="Q243" s="7" t="inlineStr">
        <is>
          <t>no</t>
        </is>
      </c>
      <c r="R243" s="7" t="n"/>
      <c r="S243" s="7" t="n"/>
      <c r="T243" s="7" t="n"/>
      <c r="U243" s="7" t="n"/>
      <c r="V243" s="7" t="n"/>
      <c r="W243" s="7" t="inlineStr">
        <is>
          <t>alcohol</t>
        </is>
      </c>
      <c r="X243" s="55" t="n">
        <v>1</v>
      </c>
      <c r="Y243" s="50" t="n">
        <v>1.5</v>
      </c>
      <c r="Z243" s="7" t="inlineStr">
        <is>
          <t>declared</t>
        </is>
      </c>
      <c r="AA243" s="19">
        <f>IF(ISBLANK(Welcome!D269),"",Welcome!D269)</f>
        <v/>
      </c>
      <c r="AB243" s="29">
        <f>IF(ISBLANK(Welcome!E269),"",Welcome!E269)</f>
        <v/>
      </c>
      <c r="AC243" s="29">
        <f>IF(N(AB243)&gt;0,N(AB243),N(AA243)*Y243)</f>
        <v/>
      </c>
      <c r="AD243" s="29">
        <f>IF(H243="yes",AC243,0)</f>
        <v/>
      </c>
      <c r="AE243" s="29">
        <f>AD243*N(M243)/100</f>
        <v/>
      </c>
      <c r="AF243" s="29">
        <f>AD243*N(O243)/100</f>
        <v/>
      </c>
      <c r="AG243" s="29">
        <f>AD243*N(P243)/100</f>
        <v/>
      </c>
      <c r="AH243" s="50">
        <f>IF(Q243="yes",AD243/1000,0)</f>
        <v/>
      </c>
      <c r="AI243" s="50">
        <f>IF(S243="FG2",AH243*X243,AH243)</f>
        <v/>
      </c>
    </row>
    <row r="244">
      <c r="A244" s="7" t="inlineStr">
        <is>
          <t>HM00327</t>
        </is>
      </c>
      <c r="B244" s="16" t="inlineStr">
        <is>
          <t>8712345052614</t>
        </is>
      </c>
      <c r="C244" s="7" t="inlineStr">
        <is>
          <t>TORTILLA WRAPS 800G BRAMBLECOTE</t>
        </is>
      </c>
      <c r="D244" s="7" t="inlineStr">
        <is>
          <t>Plain tortilla wraps, 800g</t>
        </is>
      </c>
      <c r="E244" s="7" t="inlineStr">
        <is>
          <t>Bramblecote</t>
        </is>
      </c>
      <c r="F244" s="7" t="inlineStr">
        <is>
          <t>Bakery</t>
        </is>
      </c>
      <c r="G244" s="7" t="inlineStr">
        <is>
          <t>Bread</t>
        </is>
      </c>
      <c r="H244" s="7" t="inlineStr">
        <is>
          <t>yes</t>
        </is>
      </c>
      <c r="I244" s="7" t="inlineStr">
        <is>
          <t>Plant-based non-core</t>
        </is>
      </c>
      <c r="J244" s="7" t="inlineStr">
        <is>
          <t>Refined grains</t>
        </is>
      </c>
      <c r="K244" s="7" t="inlineStr">
        <is>
          <t>A</t>
        </is>
      </c>
      <c r="L244" s="7" t="inlineStr">
        <is>
          <t>All ingredients on one side</t>
        </is>
      </c>
      <c r="M244" s="51" t="n">
        <v>8.1</v>
      </c>
      <c r="N244" s="7" t="inlineStr">
        <is>
          <t>Open Food Facts and NEVO, by EAN</t>
        </is>
      </c>
      <c r="O244" s="54" t="n">
        <v>8.1</v>
      </c>
      <c r="P244" s="54" t="n">
        <v>0</v>
      </c>
      <c r="Q244" s="7" t="inlineStr">
        <is>
          <t>yes</t>
        </is>
      </c>
      <c r="R244" s="7" t="inlineStr">
        <is>
          <t>whole</t>
        </is>
      </c>
      <c r="S244" s="7" t="inlineStr">
        <is>
          <t>FG5</t>
        </is>
      </c>
      <c r="T244" s="7" t="inlineStr">
        <is>
          <t>Refined grain</t>
        </is>
      </c>
      <c r="U244" s="7" t="inlineStr">
        <is>
          <t>plant</t>
        </is>
      </c>
      <c r="V244" s="7" t="n"/>
      <c r="W244" s="7" t="n"/>
      <c r="X244" s="55" t="n">
        <v>1</v>
      </c>
      <c r="Y244" s="50" t="n">
        <v>0.8</v>
      </c>
      <c r="Z244" s="7" t="inlineStr">
        <is>
          <t>declared</t>
        </is>
      </c>
      <c r="AA244" s="19">
        <f>IF(ISBLANK(Welcome!D270),"",Welcome!D270)</f>
        <v/>
      </c>
      <c r="AB244" s="29">
        <f>IF(ISBLANK(Welcome!E270),"",Welcome!E270)</f>
        <v/>
      </c>
      <c r="AC244" s="29">
        <f>IF(N(AB244)&gt;0,N(AB244),N(AA244)*Y244)</f>
        <v/>
      </c>
      <c r="AD244" s="29">
        <f>IF(H244="yes",AC244,0)</f>
        <v/>
      </c>
      <c r="AE244" s="29">
        <f>AD244*N(M244)/100</f>
        <v/>
      </c>
      <c r="AF244" s="29">
        <f>AD244*N(O244)/100</f>
        <v/>
      </c>
      <c r="AG244" s="29">
        <f>AD244*N(P244)/100</f>
        <v/>
      </c>
      <c r="AH244" s="50">
        <f>IF(Q244="yes",AD244/1000,0)</f>
        <v/>
      </c>
      <c r="AI244" s="50">
        <f>IF(S244="FG2",AH244*X244,AH244)</f>
        <v/>
      </c>
    </row>
    <row r="245">
      <c r="A245" s="7" t="inlineStr">
        <is>
          <t>HM00236</t>
        </is>
      </c>
      <c r="B245" s="16" t="inlineStr">
        <is>
          <t>8712345471293</t>
        </is>
      </c>
      <c r="C245" s="7" t="inlineStr">
        <is>
          <t>HM WHLWHT PENNE 1KG</t>
        </is>
      </c>
      <c r="D245" s="7" t="inlineStr">
        <is>
          <t>Wholewheat penne, 1kg</t>
        </is>
      </c>
      <c r="E245" s="7" t="inlineStr">
        <is>
          <t>Harbour Market</t>
        </is>
      </c>
      <c r="F245" s="7" t="inlineStr">
        <is>
          <t>Grocery</t>
        </is>
      </c>
      <c r="G245" s="7" t="inlineStr">
        <is>
          <t>Pasta</t>
        </is>
      </c>
      <c r="H245" s="7" t="inlineStr">
        <is>
          <t>yes</t>
        </is>
      </c>
      <c r="I245" s="7" t="inlineStr">
        <is>
          <t>Plant-based non-core</t>
        </is>
      </c>
      <c r="J245" s="7" t="inlineStr">
        <is>
          <t>Whole grains</t>
        </is>
      </c>
      <c r="K245" s="7" t="inlineStr">
        <is>
          <t>A</t>
        </is>
      </c>
      <c r="L245" s="7" t="inlineStr">
        <is>
          <t>All ingredients on one side</t>
        </is>
      </c>
      <c r="M245" s="51" t="n">
        <v>13.8</v>
      </c>
      <c r="N245" s="7" t="inlineStr">
        <is>
          <t>Declared by the retailer</t>
        </is>
      </c>
      <c r="O245" s="54" t="n">
        <v>13.8</v>
      </c>
      <c r="P245" s="54" t="n">
        <v>0</v>
      </c>
      <c r="Q245" s="7" t="inlineStr">
        <is>
          <t>yes</t>
        </is>
      </c>
      <c r="R245" s="7" t="inlineStr">
        <is>
          <t>whole</t>
        </is>
      </c>
      <c r="S245" s="7" t="inlineStr">
        <is>
          <t>FG5</t>
        </is>
      </c>
      <c r="T245" s="7" t="inlineStr">
        <is>
          <t>Whole grain</t>
        </is>
      </c>
      <c r="U245" s="7" t="inlineStr">
        <is>
          <t>plant</t>
        </is>
      </c>
      <c r="V245" s="7" t="n"/>
      <c r="W245" s="7" t="n"/>
      <c r="X245" s="55" t="n">
        <v>1</v>
      </c>
      <c r="Y245" s="50" t="n">
        <v>1</v>
      </c>
      <c r="Z245" s="7" t="inlineStr">
        <is>
          <t>declared</t>
        </is>
      </c>
      <c r="AA245" s="19">
        <f>IF(ISBLANK(Welcome!D271),"",Welcome!D271)</f>
        <v/>
      </c>
      <c r="AB245" s="29">
        <f>IF(ISBLANK(Welcome!E271),"",Welcome!E271)</f>
        <v/>
      </c>
      <c r="AC245" s="29">
        <f>IF(N(AB245)&gt;0,N(AB245),N(AA245)*Y245)</f>
        <v/>
      </c>
      <c r="AD245" s="29">
        <f>IF(H245="yes",AC245,0)</f>
        <v/>
      </c>
      <c r="AE245" s="29">
        <f>AD245*N(M245)/100</f>
        <v/>
      </c>
      <c r="AF245" s="29">
        <f>AD245*N(O245)/100</f>
        <v/>
      </c>
      <c r="AG245" s="29">
        <f>AD245*N(P245)/100</f>
        <v/>
      </c>
      <c r="AH245" s="50">
        <f>IF(Q245="yes",AD245/1000,0)</f>
        <v/>
      </c>
      <c r="AI245" s="50">
        <f>IF(S245="FG2",AH245*X245,AH245)</f>
        <v/>
      </c>
    </row>
    <row r="246">
      <c r="A246" s="7" t="inlineStr">
        <is>
          <t>HM00005</t>
        </is>
      </c>
      <c r="B246" s="16" t="inlineStr">
        <is>
          <t>4012345806564</t>
        </is>
      </c>
      <c r="C246" s="7" t="inlineStr">
        <is>
          <t>ORVALIS BLACK BEANS 4X400G</t>
        </is>
      </c>
      <c r="D246" s="7" t="inlineStr">
        <is>
          <t>Black beans in water, 4x400g</t>
        </is>
      </c>
      <c r="E246" s="7" t="inlineStr">
        <is>
          <t>Orvalis</t>
        </is>
      </c>
      <c r="F246" s="7" t="inlineStr">
        <is>
          <t>Grocery</t>
        </is>
      </c>
      <c r="G246" s="7" t="inlineStr">
        <is>
          <t>Pulses</t>
        </is>
      </c>
      <c r="H246" s="7" t="inlineStr">
        <is>
          <t>yes</t>
        </is>
      </c>
      <c r="I246" s="7" t="inlineStr">
        <is>
          <t>Plant-based core</t>
        </is>
      </c>
      <c r="J246" s="7" t="inlineStr">
        <is>
          <t>Pulses</t>
        </is>
      </c>
      <c r="K246" s="7" t="inlineStr">
        <is>
          <t>A</t>
        </is>
      </c>
      <c r="L246" s="7" t="inlineStr">
        <is>
          <t>All ingredients on one side</t>
        </is>
      </c>
      <c r="M246" s="51" t="n">
        <v>7</v>
      </c>
      <c r="N246" s="7" t="inlineStr">
        <is>
          <t>Median of the family</t>
        </is>
      </c>
      <c r="O246" s="54" t="n">
        <v>7</v>
      </c>
      <c r="P246" s="54" t="n">
        <v>0</v>
      </c>
      <c r="Q246" s="7" t="inlineStr">
        <is>
          <t>yes</t>
        </is>
      </c>
      <c r="R246" s="7" t="inlineStr">
        <is>
          <t>whole</t>
        </is>
      </c>
      <c r="S246" s="7" t="inlineStr">
        <is>
          <t>FG1</t>
        </is>
      </c>
      <c r="T246" s="7" t="inlineStr">
        <is>
          <t>Pulses</t>
        </is>
      </c>
      <c r="U246" s="7" t="inlineStr">
        <is>
          <t>plant</t>
        </is>
      </c>
      <c r="V246" s="7" t="n"/>
      <c r="W246" s="7" t="n"/>
      <c r="X246" s="55" t="n">
        <v>1</v>
      </c>
      <c r="Y246" s="50" t="n">
        <v>1.6</v>
      </c>
      <c r="Z246" s="7" t="inlineStr">
        <is>
          <t>declared</t>
        </is>
      </c>
      <c r="AA246" s="19">
        <f>IF(ISBLANK(Welcome!D272),"",Welcome!D272)</f>
        <v/>
      </c>
      <c r="AB246" s="29">
        <f>IF(ISBLANK(Welcome!E272),"",Welcome!E272)</f>
        <v/>
      </c>
      <c r="AC246" s="29">
        <f>IF(N(AB246)&gt;0,N(AB246),N(AA246)*Y246)</f>
        <v/>
      </c>
      <c r="AD246" s="29">
        <f>IF(H246="yes",AC246,0)</f>
        <v/>
      </c>
      <c r="AE246" s="29">
        <f>AD246*N(M246)/100</f>
        <v/>
      </c>
      <c r="AF246" s="29">
        <f>AD246*N(O246)/100</f>
        <v/>
      </c>
      <c r="AG246" s="29">
        <f>AD246*N(P246)/100</f>
        <v/>
      </c>
      <c r="AH246" s="50">
        <f>IF(Q246="yes",AD246/1000,0)</f>
        <v/>
      </c>
      <c r="AI246" s="50">
        <f>IF(S246="FG2",AH246*X246,AH246)</f>
        <v/>
      </c>
    </row>
    <row r="247">
      <c r="A247" s="7" t="inlineStr">
        <is>
          <t>HM00362</t>
        </is>
      </c>
      <c r="B247" s="16" t="inlineStr">
        <is>
          <t>8712345176662</t>
        </is>
      </c>
      <c r="C247" s="7" t="inlineStr">
        <is>
          <t>HM BRAN FLAKES 1KG</t>
        </is>
      </c>
      <c r="D247" s="7" t="inlineStr">
        <is>
          <t>Bran flakes, 1kg</t>
        </is>
      </c>
      <c r="E247" s="7" t="inlineStr">
        <is>
          <t>Harbour Market</t>
        </is>
      </c>
      <c r="F247" s="7" t="inlineStr">
        <is>
          <t>Breakfast &amp; Snacks</t>
        </is>
      </c>
      <c r="G247" s="7" t="inlineStr">
        <is>
          <t>Cereals</t>
        </is>
      </c>
      <c r="H247" s="7" t="inlineStr">
        <is>
          <t>yes</t>
        </is>
      </c>
      <c r="I247" s="7" t="inlineStr">
        <is>
          <t>Plant-based non-core</t>
        </is>
      </c>
      <c r="J247" s="7" t="inlineStr">
        <is>
          <t>Whole grains</t>
        </is>
      </c>
      <c r="K247" s="7" t="inlineStr">
        <is>
          <t>B</t>
        </is>
      </c>
      <c r="L247" s="7" t="inlineStr">
        <is>
          <t>Follows the class</t>
        </is>
      </c>
      <c r="M247" s="51" t="n">
        <v>10.4</v>
      </c>
      <c r="N247" s="7" t="inlineStr">
        <is>
          <t>Declared by the retailer</t>
        </is>
      </c>
      <c r="O247" s="54" t="n">
        <v>10.4</v>
      </c>
      <c r="P247" s="54" t="n">
        <v>0</v>
      </c>
      <c r="Q247" s="7" t="inlineStr">
        <is>
          <t>yes</t>
        </is>
      </c>
      <c r="R247" s="7" t="inlineStr">
        <is>
          <t>whole</t>
        </is>
      </c>
      <c r="S247" s="7" t="inlineStr">
        <is>
          <t>FG5</t>
        </is>
      </c>
      <c r="T247" s="7" t="inlineStr">
        <is>
          <t>Whole grain</t>
        </is>
      </c>
      <c r="U247" s="7" t="inlineStr">
        <is>
          <t>plant</t>
        </is>
      </c>
      <c r="V247" s="7" t="n"/>
      <c r="W247" s="7" t="n"/>
      <c r="X247" s="55" t="n">
        <v>1</v>
      </c>
      <c r="Y247" s="50" t="n">
        <v>1</v>
      </c>
      <c r="Z247" s="7" t="inlineStr">
        <is>
          <t>declared</t>
        </is>
      </c>
      <c r="AA247" s="19">
        <f>IF(ISBLANK(Welcome!D273),"",Welcome!D273)</f>
        <v/>
      </c>
      <c r="AB247" s="29">
        <f>IF(ISBLANK(Welcome!E273),"",Welcome!E273)</f>
        <v/>
      </c>
      <c r="AC247" s="29">
        <f>IF(N(AB247)&gt;0,N(AB247),N(AA247)*Y247)</f>
        <v/>
      </c>
      <c r="AD247" s="29">
        <f>IF(H247="yes",AC247,0)</f>
        <v/>
      </c>
      <c r="AE247" s="29">
        <f>AD247*N(M247)/100</f>
        <v/>
      </c>
      <c r="AF247" s="29">
        <f>AD247*N(O247)/100</f>
        <v/>
      </c>
      <c r="AG247" s="29">
        <f>AD247*N(P247)/100</f>
        <v/>
      </c>
      <c r="AH247" s="50">
        <f>IF(Q247="yes",AD247/1000,0)</f>
        <v/>
      </c>
      <c r="AI247" s="50">
        <f>IF(S247="FG2",AH247*X247,AH247)</f>
        <v/>
      </c>
    </row>
    <row r="248">
      <c r="A248" s="7" t="inlineStr">
        <is>
          <t>HM00747</t>
        </is>
      </c>
      <c r="B248" s="16" t="inlineStr">
        <is>
          <t>5012345508702</t>
        </is>
      </c>
      <c r="C248" s="7" t="inlineStr">
        <is>
          <t>HM CLOSED CUP MUSHROOMS 1KG</t>
        </is>
      </c>
      <c r="D248" s="7" t="inlineStr">
        <is>
          <t>Closed cup mushrooms, 1kg</t>
        </is>
      </c>
      <c r="E248" s="7" t="inlineStr">
        <is>
          <t>Harbour Market</t>
        </is>
      </c>
      <c r="F248" s="7" t="inlineStr">
        <is>
          <t>Fruit &amp; Vegetables</t>
        </is>
      </c>
      <c r="G248" s="7" t="inlineStr">
        <is>
          <t>Vegetables</t>
        </is>
      </c>
      <c r="H248" s="7" t="inlineStr">
        <is>
          <t>yes</t>
        </is>
      </c>
      <c r="I248" s="7" t="inlineStr">
        <is>
          <t>Plant-based non-core</t>
        </is>
      </c>
      <c r="J248" s="7" t="inlineStr">
        <is>
          <t>Fruit and vegetables</t>
        </is>
      </c>
      <c r="K248" s="7" t="inlineStr">
        <is>
          <t>B</t>
        </is>
      </c>
      <c r="L248" s="7" t="inlineStr">
        <is>
          <t>Follows the class</t>
        </is>
      </c>
      <c r="M248" s="51" t="n">
        <v>3.3</v>
      </c>
      <c r="N248" s="7" t="inlineStr">
        <is>
          <t>Altera reference base</t>
        </is>
      </c>
      <c r="O248" s="54" t="n">
        <v>3.3</v>
      </c>
      <c r="P248" s="54" t="n">
        <v>0</v>
      </c>
      <c r="Q248" s="7" t="inlineStr">
        <is>
          <t>yes</t>
        </is>
      </c>
      <c r="R248" s="7" t="inlineStr">
        <is>
          <t>whole</t>
        </is>
      </c>
      <c r="S248" s="7" t="inlineStr">
        <is>
          <t>FG4</t>
        </is>
      </c>
      <c r="T248" s="7" t="n"/>
      <c r="U248" s="7" t="inlineStr">
        <is>
          <t>plant</t>
        </is>
      </c>
      <c r="V248" s="7" t="n"/>
      <c r="W248" s="7" t="n"/>
      <c r="X248" s="55" t="n">
        <v>1</v>
      </c>
      <c r="Y248" s="50" t="n">
        <v>1</v>
      </c>
      <c r="Z248" s="7" t="inlineStr">
        <is>
          <t>declared</t>
        </is>
      </c>
      <c r="AA248" s="19">
        <f>IF(ISBLANK(Welcome!D274),"",Welcome!D274)</f>
        <v/>
      </c>
      <c r="AB248" s="29">
        <f>IF(ISBLANK(Welcome!E274),"",Welcome!E274)</f>
        <v/>
      </c>
      <c r="AC248" s="29">
        <f>IF(N(AB248)&gt;0,N(AB248),N(AA248)*Y248)</f>
        <v/>
      </c>
      <c r="AD248" s="29">
        <f>IF(H248="yes",AC248,0)</f>
        <v/>
      </c>
      <c r="AE248" s="29">
        <f>AD248*N(M248)/100</f>
        <v/>
      </c>
      <c r="AF248" s="29">
        <f>AD248*N(O248)/100</f>
        <v/>
      </c>
      <c r="AG248" s="29">
        <f>AD248*N(P248)/100</f>
        <v/>
      </c>
      <c r="AH248" s="50">
        <f>IF(Q248="yes",AD248/1000,0)</f>
        <v/>
      </c>
      <c r="AI248" s="50">
        <f>IF(S248="FG2",AH248*X248,AH248)</f>
        <v/>
      </c>
    </row>
    <row r="249">
      <c r="A249" s="7" t="inlineStr">
        <is>
          <t>HM00578</t>
        </is>
      </c>
      <c r="B249" s="16" t="inlineStr">
        <is>
          <t>3012345736305</t>
        </is>
      </c>
      <c r="C249" s="7" t="inlineStr">
        <is>
          <t>HM COCONUT YOG ALT 400G</t>
        </is>
      </c>
      <c r="D249" s="7" t="inlineStr">
        <is>
          <t>Coconut yoghurt alternative, 400g</t>
        </is>
      </c>
      <c r="E249" s="7" t="inlineStr">
        <is>
          <t>Harbour Market</t>
        </is>
      </c>
      <c r="F249" s="7" t="inlineStr">
        <is>
          <t>Plant-Based</t>
        </is>
      </c>
      <c r="G249" s="7" t="inlineStr">
        <is>
          <t>Plant Yoghurts</t>
        </is>
      </c>
      <c r="H249" s="7" t="inlineStr">
        <is>
          <t>yes</t>
        </is>
      </c>
      <c r="I249" s="7" t="inlineStr">
        <is>
          <t>Plant-based core</t>
        </is>
      </c>
      <c r="J249" s="7" t="inlineStr">
        <is>
          <t>Plant-based dairy alternatives</t>
        </is>
      </c>
      <c r="K249" s="7" t="inlineStr">
        <is>
          <t>A</t>
        </is>
      </c>
      <c r="L249" s="7" t="inlineStr">
        <is>
          <t>All ingredients on one side</t>
        </is>
      </c>
      <c r="M249" s="51" t="n">
        <v>0.8</v>
      </c>
      <c r="N249" s="7" t="inlineStr">
        <is>
          <t>Declared by the retailer</t>
        </is>
      </c>
      <c r="O249" s="54" t="n">
        <v>0.8</v>
      </c>
      <c r="P249" s="54" t="n">
        <v>0</v>
      </c>
      <c r="Q249" s="7" t="inlineStr">
        <is>
          <t>yes</t>
        </is>
      </c>
      <c r="R249" s="7" t="inlineStr">
        <is>
          <t>whole</t>
        </is>
      </c>
      <c r="S249" s="7" t="inlineStr">
        <is>
          <t>FG2</t>
        </is>
      </c>
      <c r="T249" s="7" t="inlineStr">
        <is>
          <t>Dairy alternatives</t>
        </is>
      </c>
      <c r="U249" s="7" t="inlineStr">
        <is>
          <t>plant</t>
        </is>
      </c>
      <c r="V249" s="7" t="n"/>
      <c r="W249" s="7" t="n"/>
      <c r="X249" s="55" t="n">
        <v>1</v>
      </c>
      <c r="Y249" s="50" t="n">
        <v>0.4</v>
      </c>
      <c r="Z249" s="7" t="inlineStr">
        <is>
          <t>declared</t>
        </is>
      </c>
      <c r="AA249" s="19">
        <f>IF(ISBLANK(Welcome!D275),"",Welcome!D275)</f>
        <v/>
      </c>
      <c r="AB249" s="29">
        <f>IF(ISBLANK(Welcome!E275),"",Welcome!E275)</f>
        <v/>
      </c>
      <c r="AC249" s="29">
        <f>IF(N(AB249)&gt;0,N(AB249),N(AA249)*Y249)</f>
        <v/>
      </c>
      <c r="AD249" s="29">
        <f>IF(H249="yes",AC249,0)</f>
        <v/>
      </c>
      <c r="AE249" s="29">
        <f>AD249*N(M249)/100</f>
        <v/>
      </c>
      <c r="AF249" s="29">
        <f>AD249*N(O249)/100</f>
        <v/>
      </c>
      <c r="AG249" s="29">
        <f>AD249*N(P249)/100</f>
        <v/>
      </c>
      <c r="AH249" s="50">
        <f>IF(Q249="yes",AD249/1000,0)</f>
        <v/>
      </c>
      <c r="AI249" s="50">
        <f>IF(S249="FG2",AH249*X249,AH249)</f>
        <v/>
      </c>
    </row>
    <row r="250">
      <c r="A250" s="7" t="inlineStr">
        <is>
          <t>HM00572</t>
        </is>
      </c>
      <c r="B250" s="16" t="inlineStr">
        <is>
          <t>5012345912462</t>
        </is>
      </c>
      <c r="C250" s="7" t="inlineStr">
        <is>
          <t>PENWARD LAGER 500ML</t>
        </is>
      </c>
      <c r="D250" s="7" t="inlineStr">
        <is>
          <t>Lager, 500ml</t>
        </is>
      </c>
      <c r="E250" s="7" t="inlineStr">
        <is>
          <t>Penward</t>
        </is>
      </c>
      <c r="F250" s="7" t="inlineStr">
        <is>
          <t>Beer, Wine &amp; Spirits</t>
        </is>
      </c>
      <c r="G250" s="7" t="inlineStr">
        <is>
          <t>Beer &amp; Cider</t>
        </is>
      </c>
      <c r="H250" s="7" t="inlineStr">
        <is>
          <t>yes</t>
        </is>
      </c>
      <c r="I250" s="7" t="inlineStr">
        <is>
          <t>Plant-based non-core</t>
        </is>
      </c>
      <c r="J250" s="7" t="inlineStr">
        <is>
          <t>Outside the WWF scope</t>
        </is>
      </c>
      <c r="K250" s="7" t="inlineStr">
        <is>
          <t>A</t>
        </is>
      </c>
      <c r="L250" s="7" t="inlineStr">
        <is>
          <t>All ingredients on one side</t>
        </is>
      </c>
      <c r="M250" s="51" t="n">
        <v>0.41</v>
      </c>
      <c r="N250" s="7" t="inlineStr">
        <is>
          <t>Altera reference base</t>
        </is>
      </c>
      <c r="O250" s="54" t="n">
        <v>0.41</v>
      </c>
      <c r="P250" s="54" t="n">
        <v>0</v>
      </c>
      <c r="Q250" s="7" t="inlineStr">
        <is>
          <t>no</t>
        </is>
      </c>
      <c r="R250" s="7" t="n"/>
      <c r="S250" s="7" t="n"/>
      <c r="T250" s="7" t="n"/>
      <c r="U250" s="7" t="n"/>
      <c r="V250" s="7" t="n"/>
      <c r="W250" s="7" t="inlineStr">
        <is>
          <t>alcohol</t>
        </is>
      </c>
      <c r="X250" s="55" t="n">
        <v>1</v>
      </c>
      <c r="Y250" s="50" t="n">
        <v>0.5</v>
      </c>
      <c r="Z250" s="7" t="inlineStr">
        <is>
          <t>label</t>
        </is>
      </c>
      <c r="AA250" s="19">
        <f>IF(ISBLANK(Welcome!D276),"",Welcome!D276)</f>
        <v/>
      </c>
      <c r="AB250" s="29">
        <f>IF(ISBLANK(Welcome!E276),"",Welcome!E276)</f>
        <v/>
      </c>
      <c r="AC250" s="29">
        <f>IF(N(AB250)&gt;0,N(AB250),N(AA250)*Y250)</f>
        <v/>
      </c>
      <c r="AD250" s="29">
        <f>IF(H250="yes",AC250,0)</f>
        <v/>
      </c>
      <c r="AE250" s="29">
        <f>AD250*N(M250)/100</f>
        <v/>
      </c>
      <c r="AF250" s="29">
        <f>AD250*N(O250)/100</f>
        <v/>
      </c>
      <c r="AG250" s="29">
        <f>AD250*N(P250)/100</f>
        <v/>
      </c>
      <c r="AH250" s="50">
        <f>IF(Q250="yes",AD250/1000,0)</f>
        <v/>
      </c>
      <c r="AI250" s="50">
        <f>IF(S250="FG2",AH250*X250,AH250)</f>
        <v/>
      </c>
    </row>
    <row r="251">
      <c r="A251" s="7" t="inlineStr">
        <is>
          <t>HM00271</t>
        </is>
      </c>
      <c r="B251" s="16" t="inlineStr">
        <is>
          <t>4012345113723</t>
        </is>
      </c>
      <c r="C251" s="7" t="inlineStr">
        <is>
          <t>HM PINEAPPLE EACH</t>
        </is>
      </c>
      <c r="D251" s="7" t="inlineStr">
        <is>
          <t>Pineapple</t>
        </is>
      </c>
      <c r="E251" s="7" t="inlineStr">
        <is>
          <t>Harbour Market</t>
        </is>
      </c>
      <c r="F251" s="7" t="inlineStr">
        <is>
          <t>Fruit &amp; Vegetables</t>
        </is>
      </c>
      <c r="G251" s="7" t="inlineStr">
        <is>
          <t>Exotic Fruit</t>
        </is>
      </c>
      <c r="H251" s="7" t="inlineStr">
        <is>
          <t>yes</t>
        </is>
      </c>
      <c r="I251" s="7" t="inlineStr">
        <is>
          <t>Plant-based non-core</t>
        </is>
      </c>
      <c r="J251" s="7" t="inlineStr">
        <is>
          <t>Fruit and vegetables</t>
        </is>
      </c>
      <c r="K251" s="7" t="inlineStr">
        <is>
          <t>B</t>
        </is>
      </c>
      <c r="L251" s="7" t="inlineStr">
        <is>
          <t>Follows the class</t>
        </is>
      </c>
      <c r="M251" s="51" t="n">
        <v>0.52</v>
      </c>
      <c r="N251" s="7" t="inlineStr">
        <is>
          <t>Declared by the retailer</t>
        </is>
      </c>
      <c r="O251" s="54" t="n">
        <v>0.52</v>
      </c>
      <c r="P251" s="54" t="n">
        <v>0</v>
      </c>
      <c r="Q251" s="7" t="inlineStr">
        <is>
          <t>yes</t>
        </is>
      </c>
      <c r="R251" s="7" t="inlineStr">
        <is>
          <t>whole</t>
        </is>
      </c>
      <c r="S251" s="7" t="inlineStr">
        <is>
          <t>FG4</t>
        </is>
      </c>
      <c r="T251" s="7" t="n"/>
      <c r="U251" s="7" t="inlineStr">
        <is>
          <t>plant</t>
        </is>
      </c>
      <c r="V251" s="7" t="n"/>
      <c r="W251" s="7" t="n"/>
      <c r="X251" s="55" t="n">
        <v>1</v>
      </c>
      <c r="Y251" s="50" t="n">
        <v>1.1</v>
      </c>
      <c r="Z251" s="7" t="inlineStr">
        <is>
          <t>typical_piece</t>
        </is>
      </c>
      <c r="AA251" s="19">
        <f>IF(ISBLANK(Welcome!D277),"",Welcome!D277)</f>
        <v/>
      </c>
      <c r="AB251" s="29">
        <f>IF(ISBLANK(Welcome!E277),"",Welcome!E277)</f>
        <v/>
      </c>
      <c r="AC251" s="29">
        <f>IF(N(AB251)&gt;0,N(AB251),N(AA251)*Y251)</f>
        <v/>
      </c>
      <c r="AD251" s="29">
        <f>IF(H251="yes",AC251,0)</f>
        <v/>
      </c>
      <c r="AE251" s="29">
        <f>AD251*N(M251)/100</f>
        <v/>
      </c>
      <c r="AF251" s="29">
        <f>AD251*N(O251)/100</f>
        <v/>
      </c>
      <c r="AG251" s="29">
        <f>AD251*N(P251)/100</f>
        <v/>
      </c>
      <c r="AH251" s="50">
        <f>IF(Q251="yes",AD251/1000,0)</f>
        <v/>
      </c>
      <c r="AI251" s="50">
        <f>IF(S251="FG2",AH251*X251,AH251)</f>
        <v/>
      </c>
    </row>
    <row r="252">
      <c r="A252" s="7" t="inlineStr">
        <is>
          <t>HM00714</t>
        </is>
      </c>
      <c r="B252" s="16" t="inlineStr">
        <is>
          <t>2909635929550</t>
        </is>
      </c>
      <c r="C252" s="7" t="inlineStr">
        <is>
          <t>HM MIXED PEPPERS KG</t>
        </is>
      </c>
      <c r="D252" s="7" t="inlineStr">
        <is>
          <t>Mixed peppers</t>
        </is>
      </c>
      <c r="E252" s="7" t="inlineStr">
        <is>
          <t>Harbour Market</t>
        </is>
      </c>
      <c r="F252" s="7" t="inlineStr">
        <is>
          <t>Fruit &amp; Vegetables</t>
        </is>
      </c>
      <c r="G252" s="7" t="inlineStr">
        <is>
          <t>Vegetables</t>
        </is>
      </c>
      <c r="H252" s="7" t="inlineStr">
        <is>
          <t>yes</t>
        </is>
      </c>
      <c r="I252" s="7" t="inlineStr">
        <is>
          <t>Plant-based non-core</t>
        </is>
      </c>
      <c r="J252" s="7" t="inlineStr">
        <is>
          <t>Fruit and vegetables</t>
        </is>
      </c>
      <c r="K252" s="7" t="inlineStr">
        <is>
          <t>B</t>
        </is>
      </c>
      <c r="L252" s="7" t="inlineStr">
        <is>
          <t>Follows the class</t>
        </is>
      </c>
      <c r="M252" s="51" t="n">
        <v>0.86</v>
      </c>
      <c r="N252" s="7" t="inlineStr">
        <is>
          <t>Declared by the retailer</t>
        </is>
      </c>
      <c r="O252" s="54" t="n">
        <v>0.86</v>
      </c>
      <c r="P252" s="54" t="n">
        <v>0</v>
      </c>
      <c r="Q252" s="7" t="inlineStr">
        <is>
          <t>yes</t>
        </is>
      </c>
      <c r="R252" s="7" t="inlineStr">
        <is>
          <t>whole</t>
        </is>
      </c>
      <c r="S252" s="7" t="inlineStr">
        <is>
          <t>FG4</t>
        </is>
      </c>
      <c r="T252" s="7" t="n"/>
      <c r="U252" s="7" t="inlineStr">
        <is>
          <t>plant</t>
        </is>
      </c>
      <c r="V252" s="7" t="n"/>
      <c r="W252" s="7" t="n"/>
      <c r="X252" s="55" t="n">
        <v>1</v>
      </c>
      <c r="Y252" s="50" t="n">
        <v>1</v>
      </c>
      <c r="Z252" s="7" t="inlineStr">
        <is>
          <t>variable</t>
        </is>
      </c>
      <c r="AA252" s="19">
        <f>IF(ISBLANK(Welcome!D278),"",Welcome!D278)</f>
        <v/>
      </c>
      <c r="AB252" s="29">
        <f>IF(ISBLANK(Welcome!E278),"",Welcome!E278)</f>
        <v/>
      </c>
      <c r="AC252" s="29">
        <f>IF(N(AB252)&gt;0,N(AB252),N(AA252)*Y252)</f>
        <v/>
      </c>
      <c r="AD252" s="29">
        <f>IF(H252="yes",AC252,0)</f>
        <v/>
      </c>
      <c r="AE252" s="29">
        <f>AD252*N(M252)/100</f>
        <v/>
      </c>
      <c r="AF252" s="29">
        <f>AD252*N(O252)/100</f>
        <v/>
      </c>
      <c r="AG252" s="29">
        <f>AD252*N(P252)/100</f>
        <v/>
      </c>
      <c r="AH252" s="50">
        <f>IF(Q252="yes",AD252/1000,0)</f>
        <v/>
      </c>
      <c r="AI252" s="50">
        <f>IF(S252="FG2",AH252*X252,AH252)</f>
        <v/>
      </c>
    </row>
    <row r="253">
      <c r="A253" s="7" t="inlineStr">
        <is>
          <t>HM00278</t>
        </is>
      </c>
      <c r="B253" s="16" t="inlineStr">
        <is>
          <t>4012345090352</t>
        </is>
      </c>
      <c r="C253" s="7" t="inlineStr">
        <is>
          <t>HM CUMBERLAND SAUSAGES 454G</t>
        </is>
      </c>
      <c r="D253" s="7" t="inlineStr">
        <is>
          <t>Cumberland sausages, 454g</t>
        </is>
      </c>
      <c r="E253" s="7" t="inlineStr">
        <is>
          <t>Harbour Market</t>
        </is>
      </c>
      <c r="F253" s="7" t="inlineStr">
        <is>
          <t>Fresh Meat &amp; Poultry</t>
        </is>
      </c>
      <c r="G253" s="7" t="inlineStr">
        <is>
          <t>Sausages &amp; Burgers</t>
        </is>
      </c>
      <c r="H253" s="7" t="inlineStr">
        <is>
          <t>yes</t>
        </is>
      </c>
      <c r="I253" s="7" t="inlineStr">
        <is>
          <t>Animal core</t>
        </is>
      </c>
      <c r="J253" s="7" t="inlineStr">
        <is>
          <t>Dishes and processed products</t>
        </is>
      </c>
      <c r="K253" s="7" t="inlineStr">
        <is>
          <t>B</t>
        </is>
      </c>
      <c r="L253" s="7" t="inlineStr">
        <is>
          <t>First ingredient</t>
        </is>
      </c>
      <c r="M253" s="51" t="n">
        <v>14.5</v>
      </c>
      <c r="N253" s="7" t="inlineStr">
        <is>
          <t>Altera reference base</t>
        </is>
      </c>
      <c r="O253" s="54" t="n">
        <v>0</v>
      </c>
      <c r="P253" s="54" t="n">
        <v>14.5</v>
      </c>
      <c r="Q253" s="7" t="inlineStr">
        <is>
          <t>yes</t>
        </is>
      </c>
      <c r="R253" s="7" t="inlineStr">
        <is>
          <t>whole</t>
        </is>
      </c>
      <c r="S253" s="7" t="inlineStr">
        <is>
          <t>FG1</t>
        </is>
      </c>
      <c r="T253" s="7" t="inlineStr">
        <is>
          <t>Red meat</t>
        </is>
      </c>
      <c r="U253" s="7" t="inlineStr">
        <is>
          <t>animal</t>
        </is>
      </c>
      <c r="V253" s="7" t="n"/>
      <c r="W253" s="7" t="n"/>
      <c r="X253" s="55" t="n">
        <v>1</v>
      </c>
      <c r="Y253" s="50" t="n">
        <v>0.454</v>
      </c>
      <c r="Z253" s="7" t="inlineStr">
        <is>
          <t>declared</t>
        </is>
      </c>
      <c r="AA253" s="19">
        <f>IF(ISBLANK(Welcome!D279),"",Welcome!D279)</f>
        <v/>
      </c>
      <c r="AB253" s="29">
        <f>IF(ISBLANK(Welcome!E279),"",Welcome!E279)</f>
        <v/>
      </c>
      <c r="AC253" s="29">
        <f>IF(N(AB253)&gt;0,N(AB253),N(AA253)*Y253)</f>
        <v/>
      </c>
      <c r="AD253" s="29">
        <f>IF(H253="yes",AC253,0)</f>
        <v/>
      </c>
      <c r="AE253" s="29">
        <f>AD253*N(M253)/100</f>
        <v/>
      </c>
      <c r="AF253" s="29">
        <f>AD253*N(O253)/100</f>
        <v/>
      </c>
      <c r="AG253" s="29">
        <f>AD253*N(P253)/100</f>
        <v/>
      </c>
      <c r="AH253" s="50">
        <f>IF(Q253="yes",AD253/1000,0)</f>
        <v/>
      </c>
      <c r="AI253" s="50">
        <f>IF(S253="FG2",AH253*X253,AH253)</f>
        <v/>
      </c>
    </row>
    <row r="254">
      <c r="A254" s="7" t="inlineStr">
        <is>
          <t>HM00102</t>
        </is>
      </c>
      <c r="B254" s="16" t="inlineStr">
        <is>
          <t>3012345290531</t>
        </is>
      </c>
      <c r="C254" s="7" t="inlineStr">
        <is>
          <t>HM BANANAS 250G</t>
        </is>
      </c>
      <c r="D254" s="7" t="inlineStr">
        <is>
          <t>Bananas, 250g</t>
        </is>
      </c>
      <c r="E254" s="7" t="inlineStr">
        <is>
          <t>Harbour Market</t>
        </is>
      </c>
      <c r="F254" s="7" t="inlineStr">
        <is>
          <t>Fruit &amp; Vegetables</t>
        </is>
      </c>
      <c r="G254" s="7" t="inlineStr">
        <is>
          <t>Fruit</t>
        </is>
      </c>
      <c r="H254" s="7" t="inlineStr">
        <is>
          <t>yes</t>
        </is>
      </c>
      <c r="I254" s="7" t="inlineStr">
        <is>
          <t>Plant-based non-core</t>
        </is>
      </c>
      <c r="J254" s="7" t="inlineStr">
        <is>
          <t>Fruit and vegetables</t>
        </is>
      </c>
      <c r="K254" s="7" t="inlineStr">
        <is>
          <t>B</t>
        </is>
      </c>
      <c r="L254" s="7" t="inlineStr">
        <is>
          <t>Follows the class</t>
        </is>
      </c>
      <c r="M254" s="51" t="n">
        <v>1.1</v>
      </c>
      <c r="N254" s="7" t="inlineStr">
        <is>
          <t>Open Food Facts and NEVO, by EAN</t>
        </is>
      </c>
      <c r="O254" s="54" t="n">
        <v>1.1</v>
      </c>
      <c r="P254" s="54" t="n">
        <v>0</v>
      </c>
      <c r="Q254" s="7" t="inlineStr">
        <is>
          <t>yes</t>
        </is>
      </c>
      <c r="R254" s="7" t="inlineStr">
        <is>
          <t>whole</t>
        </is>
      </c>
      <c r="S254" s="7" t="inlineStr">
        <is>
          <t>FG4</t>
        </is>
      </c>
      <c r="T254" s="7" t="n"/>
      <c r="U254" s="7" t="inlineStr">
        <is>
          <t>plant</t>
        </is>
      </c>
      <c r="V254" s="7" t="n"/>
      <c r="W254" s="7" t="n"/>
      <c r="X254" s="55" t="n">
        <v>1</v>
      </c>
      <c r="Y254" s="50" t="n">
        <v>0.25</v>
      </c>
      <c r="Z254" s="7" t="inlineStr">
        <is>
          <t>declared</t>
        </is>
      </c>
      <c r="AA254" s="19">
        <f>IF(ISBLANK(Welcome!D280),"",Welcome!D280)</f>
        <v/>
      </c>
      <c r="AB254" s="29">
        <f>IF(ISBLANK(Welcome!E280),"",Welcome!E280)</f>
        <v/>
      </c>
      <c r="AC254" s="29">
        <f>IF(N(AB254)&gt;0,N(AB254),N(AA254)*Y254)</f>
        <v/>
      </c>
      <c r="AD254" s="29">
        <f>IF(H254="yes",AC254,0)</f>
        <v/>
      </c>
      <c r="AE254" s="29">
        <f>AD254*N(M254)/100</f>
        <v/>
      </c>
      <c r="AF254" s="29">
        <f>AD254*N(O254)/100</f>
        <v/>
      </c>
      <c r="AG254" s="29">
        <f>AD254*N(P254)/100</f>
        <v/>
      </c>
      <c r="AH254" s="50">
        <f>IF(Q254="yes",AD254/1000,0)</f>
        <v/>
      </c>
      <c r="AI254" s="50">
        <f>IF(S254="FG2",AH254*X254,AH254)</f>
        <v/>
      </c>
    </row>
    <row r="255">
      <c r="A255" s="7" t="inlineStr">
        <is>
          <t>HM00279</t>
        </is>
      </c>
      <c r="B255" s="16" t="inlineStr">
        <is>
          <t>5012345748467</t>
        </is>
      </c>
      <c r="C255" s="7" t="inlineStr">
        <is>
          <t>HM SKYR NAT 1KG</t>
        </is>
      </c>
      <c r="D255" s="7" t="inlineStr">
        <is>
          <t>Natural skyr, 1kg</t>
        </is>
      </c>
      <c r="E255" s="7" t="inlineStr">
        <is>
          <t>Harbour Market</t>
        </is>
      </c>
      <c r="F255" s="7" t="inlineStr">
        <is>
          <t>Dairy &amp; Eggs</t>
        </is>
      </c>
      <c r="G255" s="7" t="inlineStr">
        <is>
          <t>Yoghurt</t>
        </is>
      </c>
      <c r="H255" s="7" t="inlineStr">
        <is>
          <t>yes</t>
        </is>
      </c>
      <c r="I255" s="7" t="inlineStr">
        <is>
          <t>Animal core</t>
        </is>
      </c>
      <c r="J255" s="7" t="inlineStr">
        <is>
          <t>Milk, yoghurt and cream</t>
        </is>
      </c>
      <c r="K255" s="7" t="inlineStr">
        <is>
          <t>A</t>
        </is>
      </c>
      <c r="L255" s="7" t="inlineStr">
        <is>
          <t>All ingredients on one side</t>
        </is>
      </c>
      <c r="M255" s="51" t="n">
        <v>11.2</v>
      </c>
      <c r="N255" s="7" t="inlineStr">
        <is>
          <t>National food table (CIQUAL in France)</t>
        </is>
      </c>
      <c r="O255" s="54" t="n">
        <v>0</v>
      </c>
      <c r="P255" s="54" t="n">
        <v>11.2</v>
      </c>
      <c r="Q255" s="7" t="inlineStr">
        <is>
          <t>yes</t>
        </is>
      </c>
      <c r="R255" s="7" t="inlineStr">
        <is>
          <t>whole</t>
        </is>
      </c>
      <c r="S255" s="7" t="inlineStr">
        <is>
          <t>FG2</t>
        </is>
      </c>
      <c r="T255" s="7" t="inlineStr">
        <is>
          <t>Dairy</t>
        </is>
      </c>
      <c r="U255" s="7" t="inlineStr">
        <is>
          <t>animal</t>
        </is>
      </c>
      <c r="V255" s="7" t="n"/>
      <c r="W255" s="7" t="n"/>
      <c r="X255" s="55" t="n">
        <v>1</v>
      </c>
      <c r="Y255" s="50" t="n">
        <v>1</v>
      </c>
      <c r="Z255" s="7" t="inlineStr">
        <is>
          <t>declared</t>
        </is>
      </c>
      <c r="AA255" s="19">
        <f>IF(ISBLANK(Welcome!D281),"",Welcome!D281)</f>
        <v/>
      </c>
      <c r="AB255" s="29">
        <f>IF(ISBLANK(Welcome!E281),"",Welcome!E281)</f>
        <v/>
      </c>
      <c r="AC255" s="29">
        <f>IF(N(AB255)&gt;0,N(AB255),N(AA255)*Y255)</f>
        <v/>
      </c>
      <c r="AD255" s="29">
        <f>IF(H255="yes",AC255,0)</f>
        <v/>
      </c>
      <c r="AE255" s="29">
        <f>AD255*N(M255)/100</f>
        <v/>
      </c>
      <c r="AF255" s="29">
        <f>AD255*N(O255)/100</f>
        <v/>
      </c>
      <c r="AG255" s="29">
        <f>AD255*N(P255)/100</f>
        <v/>
      </c>
      <c r="AH255" s="50">
        <f>IF(Q255="yes",AD255/1000,0)</f>
        <v/>
      </c>
      <c r="AI255" s="50">
        <f>IF(S255="FG2",AH255*X255,AH255)</f>
        <v/>
      </c>
    </row>
    <row r="256">
      <c r="A256" s="7" t="inlineStr">
        <is>
          <t>HM00651</t>
        </is>
      </c>
      <c r="B256" s="16" t="inlineStr">
        <is>
          <t>4012345338065</t>
        </is>
      </c>
      <c r="C256" s="7" t="inlineStr">
        <is>
          <t>HM WHOLE CHKN 500G</t>
        </is>
      </c>
      <c r="D256" s="7" t="inlineStr">
        <is>
          <t>Whole chicken, 500g</t>
        </is>
      </c>
      <c r="E256" s="7" t="inlineStr">
        <is>
          <t>Harbour Market</t>
        </is>
      </c>
      <c r="F256" s="7" t="inlineStr">
        <is>
          <t>Fresh Meat &amp; Poultry</t>
        </is>
      </c>
      <c r="G256" s="7" t="inlineStr">
        <is>
          <t>Poultry</t>
        </is>
      </c>
      <c r="H256" s="7" t="inlineStr">
        <is>
          <t>yes</t>
        </is>
      </c>
      <c r="I256" s="7" t="inlineStr">
        <is>
          <t>Animal core</t>
        </is>
      </c>
      <c r="J256" s="7" t="inlineStr">
        <is>
          <t>Poultry</t>
        </is>
      </c>
      <c r="K256" s="7" t="inlineStr">
        <is>
          <t>B</t>
        </is>
      </c>
      <c r="L256" s="7" t="inlineStr">
        <is>
          <t>Follows the class</t>
        </is>
      </c>
      <c r="M256" s="51" t="n">
        <v>22.2</v>
      </c>
      <c r="N256" s="7" t="inlineStr">
        <is>
          <t>Open Food Facts and NEVO, by EAN</t>
        </is>
      </c>
      <c r="O256" s="54" t="n">
        <v>0</v>
      </c>
      <c r="P256" s="54" t="n">
        <v>22.2</v>
      </c>
      <c r="Q256" s="7" t="inlineStr">
        <is>
          <t>yes</t>
        </is>
      </c>
      <c r="R256" s="7" t="inlineStr">
        <is>
          <t>whole</t>
        </is>
      </c>
      <c r="S256" s="7" t="inlineStr">
        <is>
          <t>FG1</t>
        </is>
      </c>
      <c r="T256" s="7" t="inlineStr">
        <is>
          <t>Poultry</t>
        </is>
      </c>
      <c r="U256" s="7" t="inlineStr">
        <is>
          <t>animal</t>
        </is>
      </c>
      <c r="V256" s="7" t="n"/>
      <c r="W256" s="7" t="n"/>
      <c r="X256" s="55" t="n">
        <v>1</v>
      </c>
      <c r="Y256" s="50" t="n">
        <v>0.5</v>
      </c>
      <c r="Z256" s="7" t="inlineStr">
        <is>
          <t>declared</t>
        </is>
      </c>
      <c r="AA256" s="19">
        <f>IF(ISBLANK(Welcome!D282),"",Welcome!D282)</f>
        <v/>
      </c>
      <c r="AB256" s="29">
        <f>IF(ISBLANK(Welcome!E282),"",Welcome!E282)</f>
        <v/>
      </c>
      <c r="AC256" s="29">
        <f>IF(N(AB256)&gt;0,N(AB256),N(AA256)*Y256)</f>
        <v/>
      </c>
      <c r="AD256" s="29">
        <f>IF(H256="yes",AC256,0)</f>
        <v/>
      </c>
      <c r="AE256" s="29">
        <f>AD256*N(M256)/100</f>
        <v/>
      </c>
      <c r="AF256" s="29">
        <f>AD256*N(O256)/100</f>
        <v/>
      </c>
      <c r="AG256" s="29">
        <f>AD256*N(P256)/100</f>
        <v/>
      </c>
      <c r="AH256" s="50">
        <f>IF(Q256="yes",AD256/1000,0)</f>
        <v/>
      </c>
      <c r="AI256" s="50">
        <f>IF(S256="FG2",AH256*X256,AH256)</f>
        <v/>
      </c>
    </row>
    <row r="257">
      <c r="A257" s="7" t="inlineStr">
        <is>
          <t>HM00569</t>
        </is>
      </c>
      <c r="B257" s="16" t="inlineStr">
        <is>
          <t>3012345391207</t>
        </is>
      </c>
      <c r="C257" s="7" t="inlineStr">
        <is>
          <t>KESTREL SCAMPI 4PK 440G</t>
        </is>
      </c>
      <c r="D257" s="7" t="inlineStr">
        <is>
          <t>Breaded scampi, 4pk 440g</t>
        </is>
      </c>
      <c r="E257" s="7" t="inlineStr">
        <is>
          <t>Kestrel Bay</t>
        </is>
      </c>
      <c r="F257" s="7" t="inlineStr">
        <is>
          <t>Frozen</t>
        </is>
      </c>
      <c r="G257" s="7" t="inlineStr">
        <is>
          <t>Frozen Fish</t>
        </is>
      </c>
      <c r="H257" s="7" t="inlineStr">
        <is>
          <t>yes</t>
        </is>
      </c>
      <c r="I257" s="7" t="inlineStr">
        <is>
          <t>Animal core</t>
        </is>
      </c>
      <c r="J257" s="7" t="inlineStr">
        <is>
          <t>Fish and seafood</t>
        </is>
      </c>
      <c r="K257" s="7" t="inlineStr">
        <is>
          <t>B</t>
        </is>
      </c>
      <c r="L257" s="7" t="inlineStr">
        <is>
          <t>First ingredient</t>
        </is>
      </c>
      <c r="M257" s="51" t="n">
        <v>10.2</v>
      </c>
      <c r="N257" s="7" t="inlineStr">
        <is>
          <t>National food table (CIQUAL in France)</t>
        </is>
      </c>
      <c r="O257" s="54" t="n">
        <v>0</v>
      </c>
      <c r="P257" s="54" t="n">
        <v>10.2</v>
      </c>
      <c r="Q257" s="7" t="inlineStr">
        <is>
          <t>yes</t>
        </is>
      </c>
      <c r="R257" s="7" t="inlineStr">
        <is>
          <t>whole</t>
        </is>
      </c>
      <c r="S257" s="7" t="inlineStr">
        <is>
          <t>FG1</t>
        </is>
      </c>
      <c r="T257" s="7" t="inlineStr">
        <is>
          <t>Fish &amp; shellfish</t>
        </is>
      </c>
      <c r="U257" s="7" t="inlineStr">
        <is>
          <t>animal</t>
        </is>
      </c>
      <c r="V257" s="7" t="n"/>
      <c r="W257" s="7" t="n"/>
      <c r="X257" s="55" t="n">
        <v>1</v>
      </c>
      <c r="Y257" s="50" t="n">
        <v>0.44</v>
      </c>
      <c r="Z257" s="7" t="inlineStr">
        <is>
          <t>declared</t>
        </is>
      </c>
      <c r="AA257" s="19">
        <f>IF(ISBLANK(Welcome!D283),"",Welcome!D283)</f>
        <v/>
      </c>
      <c r="AB257" s="29">
        <f>IF(ISBLANK(Welcome!E283),"",Welcome!E283)</f>
        <v/>
      </c>
      <c r="AC257" s="29">
        <f>IF(N(AB257)&gt;0,N(AB257),N(AA257)*Y257)</f>
        <v/>
      </c>
      <c r="AD257" s="29">
        <f>IF(H257="yes",AC257,0)</f>
        <v/>
      </c>
      <c r="AE257" s="29">
        <f>AD257*N(M257)/100</f>
        <v/>
      </c>
      <c r="AF257" s="29">
        <f>AD257*N(O257)/100</f>
        <v/>
      </c>
      <c r="AG257" s="29">
        <f>AD257*N(P257)/100</f>
        <v/>
      </c>
      <c r="AH257" s="50">
        <f>IF(Q257="yes",AD257/1000,0)</f>
        <v/>
      </c>
      <c r="AI257" s="50">
        <f>IF(S257="FG2",AH257*X257,AH257)</f>
        <v/>
      </c>
    </row>
    <row r="258">
      <c r="A258" s="7" t="inlineStr">
        <is>
          <t>HM00317</t>
        </is>
      </c>
      <c r="B258" s="16" t="inlineStr">
        <is>
          <t>3012345173919</t>
        </is>
      </c>
      <c r="C258" s="7" t="inlineStr">
        <is>
          <t>CHKN WINGS 1.4KG TARROW</t>
        </is>
      </c>
      <c r="D258" s="7" t="inlineStr">
        <is>
          <t>Chicken wings, 1.4kg</t>
        </is>
      </c>
      <c r="E258" s="7" t="inlineStr">
        <is>
          <t>Tarrow Farm</t>
        </is>
      </c>
      <c r="F258" s="7" t="inlineStr">
        <is>
          <t>Fresh Meat &amp; Poultry</t>
        </is>
      </c>
      <c r="G258" s="7" t="inlineStr">
        <is>
          <t>Poultry</t>
        </is>
      </c>
      <c r="H258" s="7" t="inlineStr">
        <is>
          <t>yes</t>
        </is>
      </c>
      <c r="I258" s="7" t="inlineStr">
        <is>
          <t>Animal core</t>
        </is>
      </c>
      <c r="J258" s="7" t="inlineStr">
        <is>
          <t>Poultry</t>
        </is>
      </c>
      <c r="K258" s="7" t="inlineStr">
        <is>
          <t>A</t>
        </is>
      </c>
      <c r="L258" s="7" t="inlineStr">
        <is>
          <t>All ingredients on one side</t>
        </is>
      </c>
      <c r="M258" s="51" t="n">
        <v>18.2</v>
      </c>
      <c r="N258" s="7" t="inlineStr">
        <is>
          <t>Open Food Facts and NEVO, by EAN</t>
        </is>
      </c>
      <c r="O258" s="54" t="n">
        <v>0</v>
      </c>
      <c r="P258" s="54" t="n">
        <v>18.2</v>
      </c>
      <c r="Q258" s="7" t="inlineStr">
        <is>
          <t>yes</t>
        </is>
      </c>
      <c r="R258" s="7" t="inlineStr">
        <is>
          <t>whole</t>
        </is>
      </c>
      <c r="S258" s="7" t="inlineStr">
        <is>
          <t>FG1</t>
        </is>
      </c>
      <c r="T258" s="7" t="inlineStr">
        <is>
          <t>Poultry</t>
        </is>
      </c>
      <c r="U258" s="7" t="inlineStr">
        <is>
          <t>animal</t>
        </is>
      </c>
      <c r="V258" s="7" t="n"/>
      <c r="W258" s="7" t="n"/>
      <c r="X258" s="55" t="n">
        <v>1</v>
      </c>
      <c r="Y258" s="50" t="n">
        <v>1.4</v>
      </c>
      <c r="Z258" s="7" t="inlineStr">
        <is>
          <t>declared</t>
        </is>
      </c>
      <c r="AA258" s="19">
        <f>IF(ISBLANK(Welcome!D284),"",Welcome!D284)</f>
        <v/>
      </c>
      <c r="AB258" s="29">
        <f>IF(ISBLANK(Welcome!E284),"",Welcome!E284)</f>
        <v/>
      </c>
      <c r="AC258" s="29">
        <f>IF(N(AB258)&gt;0,N(AB258),N(AA258)*Y258)</f>
        <v/>
      </c>
      <c r="AD258" s="29">
        <f>IF(H258="yes",AC258,0)</f>
        <v/>
      </c>
      <c r="AE258" s="29">
        <f>AD258*N(M258)/100</f>
        <v/>
      </c>
      <c r="AF258" s="29">
        <f>AD258*N(O258)/100</f>
        <v/>
      </c>
      <c r="AG258" s="29">
        <f>AD258*N(P258)/100</f>
        <v/>
      </c>
      <c r="AH258" s="50">
        <f>IF(Q258="yes",AD258/1000,0)</f>
        <v/>
      </c>
      <c r="AI258" s="50">
        <f>IF(S258="FG2",AH258*X258,AH258)</f>
        <v/>
      </c>
    </row>
    <row r="259">
      <c r="A259" s="7" t="inlineStr">
        <is>
          <t>HM00592</t>
        </is>
      </c>
      <c r="B259" s="16" t="inlineStr">
        <is>
          <t>3012345424417</t>
        </is>
      </c>
      <c r="C259" s="7" t="inlineStr">
        <is>
          <t>HM OAT DRINK 1L</t>
        </is>
      </c>
      <c r="D259" s="7" t="inlineStr">
        <is>
          <t>Oat drink, 1l</t>
        </is>
      </c>
      <c r="E259" s="7" t="inlineStr">
        <is>
          <t>Harbour Market</t>
        </is>
      </c>
      <c r="F259" s="7" t="inlineStr">
        <is>
          <t>Plant-Based</t>
        </is>
      </c>
      <c r="G259" s="7" t="inlineStr">
        <is>
          <t>Plant Drinks</t>
        </is>
      </c>
      <c r="H259" s="7" t="inlineStr">
        <is>
          <t>yes</t>
        </is>
      </c>
      <c r="I259" s="7" t="inlineStr">
        <is>
          <t>Plant-based core</t>
        </is>
      </c>
      <c r="J259" s="7" t="inlineStr">
        <is>
          <t>Plant-based dairy alternatives</t>
        </is>
      </c>
      <c r="K259" s="7" t="inlineStr">
        <is>
          <t>A</t>
        </is>
      </c>
      <c r="L259" s="7" t="inlineStr">
        <is>
          <t>All ingredients on one side</t>
        </is>
      </c>
      <c r="M259" s="51" t="n">
        <v>0.98</v>
      </c>
      <c r="N259" s="7" t="inlineStr">
        <is>
          <t>Declared by the retailer</t>
        </is>
      </c>
      <c r="O259" s="54" t="n">
        <v>0.98</v>
      </c>
      <c r="P259" s="54" t="n">
        <v>0</v>
      </c>
      <c r="Q259" s="7" t="inlineStr">
        <is>
          <t>yes</t>
        </is>
      </c>
      <c r="R259" s="7" t="inlineStr">
        <is>
          <t>whole</t>
        </is>
      </c>
      <c r="S259" s="7" t="inlineStr">
        <is>
          <t>FG2</t>
        </is>
      </c>
      <c r="T259" s="7" t="inlineStr">
        <is>
          <t>Dairy alternatives</t>
        </is>
      </c>
      <c r="U259" s="7" t="inlineStr">
        <is>
          <t>plant</t>
        </is>
      </c>
      <c r="V259" s="7" t="n"/>
      <c r="W259" s="7" t="n"/>
      <c r="X259" s="55" t="n">
        <v>1</v>
      </c>
      <c r="Y259" s="50" t="n">
        <v>1.03</v>
      </c>
      <c r="Z259" s="7" t="inlineStr">
        <is>
          <t>declared</t>
        </is>
      </c>
      <c r="AA259" s="19">
        <f>IF(ISBLANK(Welcome!D285),"",Welcome!D285)</f>
        <v/>
      </c>
      <c r="AB259" s="29">
        <f>IF(ISBLANK(Welcome!E285),"",Welcome!E285)</f>
        <v/>
      </c>
      <c r="AC259" s="29">
        <f>IF(N(AB259)&gt;0,N(AB259),N(AA259)*Y259)</f>
        <v/>
      </c>
      <c r="AD259" s="29">
        <f>IF(H259="yes",AC259,0)</f>
        <v/>
      </c>
      <c r="AE259" s="29">
        <f>AD259*N(M259)/100</f>
        <v/>
      </c>
      <c r="AF259" s="29">
        <f>AD259*N(O259)/100</f>
        <v/>
      </c>
      <c r="AG259" s="29">
        <f>AD259*N(P259)/100</f>
        <v/>
      </c>
      <c r="AH259" s="50">
        <f>IF(Q259="yes",AD259/1000,0)</f>
        <v/>
      </c>
      <c r="AI259" s="50">
        <f>IF(S259="FG2",AH259*X259,AH259)</f>
        <v/>
      </c>
    </row>
    <row r="260">
      <c r="A260" s="7" t="inlineStr">
        <is>
          <t>HM00614</t>
        </is>
      </c>
      <c r="B260" s="16" t="inlineStr">
        <is>
          <t>3012345132275</t>
        </is>
      </c>
      <c r="C260" s="7" t="inlineStr">
        <is>
          <t>HM MIXED PEPPERS 1KG</t>
        </is>
      </c>
      <c r="D260" s="7" t="inlineStr">
        <is>
          <t>Mixed peppers, 1kg</t>
        </is>
      </c>
      <c r="E260" s="7" t="inlineStr">
        <is>
          <t>Harbour Market</t>
        </is>
      </c>
      <c r="F260" s="7" t="inlineStr">
        <is>
          <t>Fruit &amp; Vegetables</t>
        </is>
      </c>
      <c r="G260" s="7" t="inlineStr">
        <is>
          <t>Vegetables</t>
        </is>
      </c>
      <c r="H260" s="7" t="inlineStr">
        <is>
          <t>yes</t>
        </is>
      </c>
      <c r="I260" s="7" t="inlineStr">
        <is>
          <t>Plant-based non-core</t>
        </is>
      </c>
      <c r="J260" s="7" t="inlineStr">
        <is>
          <t>Fruit and vegetables</t>
        </is>
      </c>
      <c r="K260" s="7" t="inlineStr">
        <is>
          <t>B</t>
        </is>
      </c>
      <c r="L260" s="7" t="inlineStr">
        <is>
          <t>Follows the class</t>
        </is>
      </c>
      <c r="M260" s="51" t="n">
        <v>0.85</v>
      </c>
      <c r="N260" s="7" t="inlineStr">
        <is>
          <t>Median of the family</t>
        </is>
      </c>
      <c r="O260" s="54" t="n">
        <v>0.85</v>
      </c>
      <c r="P260" s="54" t="n">
        <v>0</v>
      </c>
      <c r="Q260" s="7" t="inlineStr">
        <is>
          <t>yes</t>
        </is>
      </c>
      <c r="R260" s="7" t="inlineStr">
        <is>
          <t>whole</t>
        </is>
      </c>
      <c r="S260" s="7" t="inlineStr">
        <is>
          <t>FG4</t>
        </is>
      </c>
      <c r="T260" s="7" t="n"/>
      <c r="U260" s="7" t="inlineStr">
        <is>
          <t>plant</t>
        </is>
      </c>
      <c r="V260" s="7" t="n"/>
      <c r="W260" s="7" t="n"/>
      <c r="X260" s="55" t="n">
        <v>1</v>
      </c>
      <c r="Y260" s="50" t="n">
        <v>1</v>
      </c>
      <c r="Z260" s="7" t="inlineStr">
        <is>
          <t>declared</t>
        </is>
      </c>
      <c r="AA260" s="19">
        <f>IF(ISBLANK(Welcome!D286),"",Welcome!D286)</f>
        <v/>
      </c>
      <c r="AB260" s="29">
        <f>IF(ISBLANK(Welcome!E286),"",Welcome!E286)</f>
        <v/>
      </c>
      <c r="AC260" s="29">
        <f>IF(N(AB260)&gt;0,N(AB260),N(AA260)*Y260)</f>
        <v/>
      </c>
      <c r="AD260" s="29">
        <f>IF(H260="yes",AC260,0)</f>
        <v/>
      </c>
      <c r="AE260" s="29">
        <f>AD260*N(M260)/100</f>
        <v/>
      </c>
      <c r="AF260" s="29">
        <f>AD260*N(O260)/100</f>
        <v/>
      </c>
      <c r="AG260" s="29">
        <f>AD260*N(P260)/100</f>
        <v/>
      </c>
      <c r="AH260" s="50">
        <f>IF(Q260="yes",AD260/1000,0)</f>
        <v/>
      </c>
      <c r="AI260" s="50">
        <f>IF(S260="FG2",AH260*X260,AH260)</f>
        <v/>
      </c>
    </row>
    <row r="261">
      <c r="A261" s="7" t="inlineStr">
        <is>
          <t>HM00333</t>
        </is>
      </c>
      <c r="B261" s="16" t="inlineStr">
        <is>
          <t>2314959908990</t>
        </is>
      </c>
      <c r="C261" s="7" t="inlineStr">
        <is>
          <t>HM ORANGES KG</t>
        </is>
      </c>
      <c r="D261" s="7" t="inlineStr">
        <is>
          <t>Oranges</t>
        </is>
      </c>
      <c r="E261" s="7" t="inlineStr">
        <is>
          <t>Harbour Market</t>
        </is>
      </c>
      <c r="F261" s="7" t="inlineStr">
        <is>
          <t>Fruit &amp; Vegetables</t>
        </is>
      </c>
      <c r="G261" s="7" t="inlineStr">
        <is>
          <t>Fruit</t>
        </is>
      </c>
      <c r="H261" s="7" t="inlineStr">
        <is>
          <t>yes</t>
        </is>
      </c>
      <c r="I261" s="7" t="inlineStr">
        <is>
          <t>Plant-based non-core</t>
        </is>
      </c>
      <c r="J261" s="7" t="inlineStr">
        <is>
          <t>Fruit and vegetables</t>
        </is>
      </c>
      <c r="K261" s="7" t="inlineStr">
        <is>
          <t>B</t>
        </is>
      </c>
      <c r="L261" s="7" t="inlineStr">
        <is>
          <t>Follows the class</t>
        </is>
      </c>
      <c r="M261" s="51" t="n">
        <v>0.87</v>
      </c>
      <c r="N261" s="7" t="inlineStr">
        <is>
          <t>National food table (CIQUAL in France)</t>
        </is>
      </c>
      <c r="O261" s="54" t="n">
        <v>0.87</v>
      </c>
      <c r="P261" s="54" t="n">
        <v>0</v>
      </c>
      <c r="Q261" s="7" t="inlineStr">
        <is>
          <t>yes</t>
        </is>
      </c>
      <c r="R261" s="7" t="inlineStr">
        <is>
          <t>whole</t>
        </is>
      </c>
      <c r="S261" s="7" t="inlineStr">
        <is>
          <t>FG4</t>
        </is>
      </c>
      <c r="T261" s="7" t="n"/>
      <c r="U261" s="7" t="inlineStr">
        <is>
          <t>plant</t>
        </is>
      </c>
      <c r="V261" s="7" t="n"/>
      <c r="W261" s="7" t="n"/>
      <c r="X261" s="55" t="n">
        <v>1</v>
      </c>
      <c r="Y261" s="50" t="n">
        <v>1</v>
      </c>
      <c r="Z261" s="7" t="inlineStr">
        <is>
          <t>variable</t>
        </is>
      </c>
      <c r="AA261" s="19">
        <f>IF(ISBLANK(Welcome!D287),"",Welcome!D287)</f>
        <v/>
      </c>
      <c r="AB261" s="29">
        <f>IF(ISBLANK(Welcome!E287),"",Welcome!E287)</f>
        <v/>
      </c>
      <c r="AC261" s="29">
        <f>IF(N(AB261)&gt;0,N(AB261),N(AA261)*Y261)</f>
        <v/>
      </c>
      <c r="AD261" s="29">
        <f>IF(H261="yes",AC261,0)</f>
        <v/>
      </c>
      <c r="AE261" s="29">
        <f>AD261*N(M261)/100</f>
        <v/>
      </c>
      <c r="AF261" s="29">
        <f>AD261*N(O261)/100</f>
        <v/>
      </c>
      <c r="AG261" s="29">
        <f>AD261*N(P261)/100</f>
        <v/>
      </c>
      <c r="AH261" s="50">
        <f>IF(Q261="yes",AD261/1000,0)</f>
        <v/>
      </c>
      <c r="AI261" s="50">
        <f>IF(S261="FG2",AH261*X261,AH261)</f>
        <v/>
      </c>
    </row>
    <row r="262">
      <c r="A262" s="7" t="inlineStr">
        <is>
          <t>HM00205</t>
        </is>
      </c>
      <c r="B262" s="16" t="inlineStr">
        <is>
          <t>5012345669465</t>
        </is>
      </c>
      <c r="C262" s="7" t="inlineStr">
        <is>
          <t>HM RED GRAPES SEEDLESS 500G</t>
        </is>
      </c>
      <c r="D262" s="7" t="inlineStr">
        <is>
          <t>Seedless red grapes, 500g</t>
        </is>
      </c>
      <c r="E262" s="7" t="inlineStr">
        <is>
          <t>Harbour Market</t>
        </is>
      </c>
      <c r="F262" s="7" t="inlineStr">
        <is>
          <t>Fruit &amp; Vegetables</t>
        </is>
      </c>
      <c r="G262" s="7" t="inlineStr">
        <is>
          <t>Fruit</t>
        </is>
      </c>
      <c r="H262" s="7" t="inlineStr">
        <is>
          <t>yes</t>
        </is>
      </c>
      <c r="I262" s="7" t="inlineStr">
        <is>
          <t>Plant-based non-core</t>
        </is>
      </c>
      <c r="J262" s="7" t="inlineStr">
        <is>
          <t>Fruit and vegetables</t>
        </is>
      </c>
      <c r="K262" s="7" t="inlineStr">
        <is>
          <t>B</t>
        </is>
      </c>
      <c r="L262" s="7" t="inlineStr">
        <is>
          <t>Follows the class</t>
        </is>
      </c>
      <c r="M262" s="51" t="n">
        <v>0.62</v>
      </c>
      <c r="N262" s="7" t="inlineStr">
        <is>
          <t>Declared by the retailer</t>
        </is>
      </c>
      <c r="O262" s="54" t="n">
        <v>0.62</v>
      </c>
      <c r="P262" s="54" t="n">
        <v>0</v>
      </c>
      <c r="Q262" s="7" t="inlineStr">
        <is>
          <t>yes</t>
        </is>
      </c>
      <c r="R262" s="7" t="inlineStr">
        <is>
          <t>whole</t>
        </is>
      </c>
      <c r="S262" s="7" t="inlineStr">
        <is>
          <t>FG4</t>
        </is>
      </c>
      <c r="T262" s="7" t="n"/>
      <c r="U262" s="7" t="inlineStr">
        <is>
          <t>plant</t>
        </is>
      </c>
      <c r="V262" s="7" t="n"/>
      <c r="W262" s="7" t="n"/>
      <c r="X262" s="55" t="n">
        <v>1</v>
      </c>
      <c r="Y262" s="50" t="n">
        <v>0.5</v>
      </c>
      <c r="Z262" s="7" t="inlineStr">
        <is>
          <t>declared</t>
        </is>
      </c>
      <c r="AA262" s="19">
        <f>IF(ISBLANK(Welcome!D288),"",Welcome!D288)</f>
        <v/>
      </c>
      <c r="AB262" s="29">
        <f>IF(ISBLANK(Welcome!E288),"",Welcome!E288)</f>
        <v/>
      </c>
      <c r="AC262" s="29">
        <f>IF(N(AB262)&gt;0,N(AB262),N(AA262)*Y262)</f>
        <v/>
      </c>
      <c r="AD262" s="29">
        <f>IF(H262="yes",AC262,0)</f>
        <v/>
      </c>
      <c r="AE262" s="29">
        <f>AD262*N(M262)/100</f>
        <v/>
      </c>
      <c r="AF262" s="29">
        <f>AD262*N(O262)/100</f>
        <v/>
      </c>
      <c r="AG262" s="29">
        <f>AD262*N(P262)/100</f>
        <v/>
      </c>
      <c r="AH262" s="50">
        <f>IF(Q262="yes",AD262/1000,0)</f>
        <v/>
      </c>
      <c r="AI262" s="50">
        <f>IF(S262="FG2",AH262*X262,AH262)</f>
        <v/>
      </c>
    </row>
    <row r="263">
      <c r="A263" s="7" t="inlineStr">
        <is>
          <t>HM00240</t>
        </is>
      </c>
      <c r="B263" s="16" t="inlineStr">
        <is>
          <t>4012345037371</t>
        </is>
      </c>
      <c r="C263" s="7" t="inlineStr">
        <is>
          <t>HM SEA BASS FLT 4X125G</t>
        </is>
      </c>
      <c r="D263" s="7" t="inlineStr">
        <is>
          <t>Sea bass fillets, 4x125g</t>
        </is>
      </c>
      <c r="E263" s="7" t="inlineStr">
        <is>
          <t>Harbour Market</t>
        </is>
      </c>
      <c r="F263" s="7" t="inlineStr">
        <is>
          <t>Fish &amp; Seafood</t>
        </is>
      </c>
      <c r="G263" s="7" t="inlineStr">
        <is>
          <t>Fresh Fish</t>
        </is>
      </c>
      <c r="H263" s="7" t="inlineStr">
        <is>
          <t>yes</t>
        </is>
      </c>
      <c r="I263" s="7" t="inlineStr">
        <is>
          <t>Animal core</t>
        </is>
      </c>
      <c r="J263" s="7" t="inlineStr">
        <is>
          <t>Fish and seafood</t>
        </is>
      </c>
      <c r="K263" s="7" t="inlineStr">
        <is>
          <t>A</t>
        </is>
      </c>
      <c r="L263" s="7" t="inlineStr">
        <is>
          <t>All ingredients on one side</t>
        </is>
      </c>
      <c r="M263" s="51" t="n">
        <v>19.7</v>
      </c>
      <c r="N263" s="7" t="inlineStr">
        <is>
          <t>Open Food Facts and NEVO, by EAN</t>
        </is>
      </c>
      <c r="O263" s="54" t="n">
        <v>0</v>
      </c>
      <c r="P263" s="54" t="n">
        <v>19.7</v>
      </c>
      <c r="Q263" s="7" t="inlineStr">
        <is>
          <t>yes</t>
        </is>
      </c>
      <c r="R263" s="7" t="inlineStr">
        <is>
          <t>whole</t>
        </is>
      </c>
      <c r="S263" s="7" t="inlineStr">
        <is>
          <t>FG1</t>
        </is>
      </c>
      <c r="T263" s="7" t="inlineStr">
        <is>
          <t>Fish &amp; shellfish</t>
        </is>
      </c>
      <c r="U263" s="7" t="inlineStr">
        <is>
          <t>animal</t>
        </is>
      </c>
      <c r="V263" s="7" t="n"/>
      <c r="W263" s="7" t="n"/>
      <c r="X263" s="55" t="n">
        <v>1</v>
      </c>
      <c r="Y263" s="50" t="n">
        <v>0.5</v>
      </c>
      <c r="Z263" s="7" t="inlineStr">
        <is>
          <t>declared</t>
        </is>
      </c>
      <c r="AA263" s="19">
        <f>IF(ISBLANK(Welcome!D289),"",Welcome!D289)</f>
        <v/>
      </c>
      <c r="AB263" s="29">
        <f>IF(ISBLANK(Welcome!E289),"",Welcome!E289)</f>
        <v/>
      </c>
      <c r="AC263" s="29">
        <f>IF(N(AB263)&gt;0,N(AB263),N(AA263)*Y263)</f>
        <v/>
      </c>
      <c r="AD263" s="29">
        <f>IF(H263="yes",AC263,0)</f>
        <v/>
      </c>
      <c r="AE263" s="29">
        <f>AD263*N(M263)/100</f>
        <v/>
      </c>
      <c r="AF263" s="29">
        <f>AD263*N(O263)/100</f>
        <v/>
      </c>
      <c r="AG263" s="29">
        <f>AD263*N(P263)/100</f>
        <v/>
      </c>
      <c r="AH263" s="50">
        <f>IF(Q263="yes",AD263/1000,0)</f>
        <v/>
      </c>
      <c r="AI263" s="50">
        <f>IF(S263="FG2",AH263*X263,AH263)</f>
        <v/>
      </c>
    </row>
    <row r="264">
      <c r="A264" s="7" t="inlineStr">
        <is>
          <t>HM00075</t>
        </is>
      </c>
      <c r="B264" s="16" t="inlineStr">
        <is>
          <t>4012345645439</t>
        </is>
      </c>
      <c r="C264" s="7" t="inlineStr">
        <is>
          <t>HM CONFERENCE PEARS 1KG</t>
        </is>
      </c>
      <c r="D264" s="7" t="inlineStr">
        <is>
          <t>Conference pears, 1kg</t>
        </is>
      </c>
      <c r="E264" s="7" t="inlineStr">
        <is>
          <t>Harbour Market</t>
        </is>
      </c>
      <c r="F264" s="7" t="inlineStr">
        <is>
          <t>Fruit &amp; Vegetables</t>
        </is>
      </c>
      <c r="G264" s="7" t="inlineStr">
        <is>
          <t>Fruit</t>
        </is>
      </c>
      <c r="H264" s="7" t="inlineStr">
        <is>
          <t>yes</t>
        </is>
      </c>
      <c r="I264" s="7" t="inlineStr">
        <is>
          <t>Plant-based non-core</t>
        </is>
      </c>
      <c r="J264" s="7" t="inlineStr">
        <is>
          <t>Fruit and vegetables</t>
        </is>
      </c>
      <c r="K264" s="7" t="inlineStr">
        <is>
          <t>B</t>
        </is>
      </c>
      <c r="L264" s="7" t="inlineStr">
        <is>
          <t>Follows the class</t>
        </is>
      </c>
      <c r="M264" s="51" t="n">
        <v>0.41</v>
      </c>
      <c r="N264" s="7" t="inlineStr">
        <is>
          <t>Open Food Facts and NEVO, by EAN</t>
        </is>
      </c>
      <c r="O264" s="54" t="n">
        <v>0.41</v>
      </c>
      <c r="P264" s="54" t="n">
        <v>0</v>
      </c>
      <c r="Q264" s="7" t="inlineStr">
        <is>
          <t>yes</t>
        </is>
      </c>
      <c r="R264" s="7" t="inlineStr">
        <is>
          <t>whole</t>
        </is>
      </c>
      <c r="S264" s="7" t="inlineStr">
        <is>
          <t>FG4</t>
        </is>
      </c>
      <c r="T264" s="7" t="n"/>
      <c r="U264" s="7" t="inlineStr">
        <is>
          <t>plant</t>
        </is>
      </c>
      <c r="V264" s="7" t="n"/>
      <c r="W264" s="7" t="n"/>
      <c r="X264" s="55" t="n">
        <v>1</v>
      </c>
      <c r="Y264" s="50" t="n">
        <v>1</v>
      </c>
      <c r="Z264" s="7" t="inlineStr">
        <is>
          <t>declared</t>
        </is>
      </c>
      <c r="AA264" s="19">
        <f>IF(ISBLANK(Welcome!D290),"",Welcome!D290)</f>
        <v/>
      </c>
      <c r="AB264" s="29">
        <f>IF(ISBLANK(Welcome!E290),"",Welcome!E290)</f>
        <v/>
      </c>
      <c r="AC264" s="29">
        <f>IF(N(AB264)&gt;0,N(AB264),N(AA264)*Y264)</f>
        <v/>
      </c>
      <c r="AD264" s="29">
        <f>IF(H264="yes",AC264,0)</f>
        <v/>
      </c>
      <c r="AE264" s="29">
        <f>AD264*N(M264)/100</f>
        <v/>
      </c>
      <c r="AF264" s="29">
        <f>AD264*N(O264)/100</f>
        <v/>
      </c>
      <c r="AG264" s="29">
        <f>AD264*N(P264)/100</f>
        <v/>
      </c>
      <c r="AH264" s="50">
        <f>IF(Q264="yes",AD264/1000,0)</f>
        <v/>
      </c>
      <c r="AI264" s="50">
        <f>IF(S264="FG2",AH264*X264,AH264)</f>
        <v/>
      </c>
    </row>
    <row r="265">
      <c r="A265" s="7" t="inlineStr">
        <is>
          <t>HM00270</t>
        </is>
      </c>
      <c r="B265" s="16" t="inlineStr">
        <is>
          <t>8712345249564</t>
        </is>
      </c>
      <c r="C265" s="7" t="inlineStr">
        <is>
          <t>HM LEAF SPINACH 500G</t>
        </is>
      </c>
      <c r="D265" s="7" t="inlineStr">
        <is>
          <t>Leaf spinach, 500g</t>
        </is>
      </c>
      <c r="E265" s="7" t="inlineStr">
        <is>
          <t>Harbour Market</t>
        </is>
      </c>
      <c r="F265" s="7" t="inlineStr">
        <is>
          <t>Frozen</t>
        </is>
      </c>
      <c r="G265" s="7" t="inlineStr">
        <is>
          <t>Frozen Vegetables</t>
        </is>
      </c>
      <c r="H265" s="7" t="inlineStr">
        <is>
          <t>yes</t>
        </is>
      </c>
      <c r="I265" s="7" t="inlineStr">
        <is>
          <t>Plant-based non-core</t>
        </is>
      </c>
      <c r="J265" s="7" t="inlineStr">
        <is>
          <t>Fruit and vegetables</t>
        </is>
      </c>
      <c r="K265" s="7" t="inlineStr">
        <is>
          <t>A</t>
        </is>
      </c>
      <c r="L265" s="7" t="inlineStr">
        <is>
          <t>All ingredients on one side</t>
        </is>
      </c>
      <c r="M265" s="51" t="n">
        <v>2.8</v>
      </c>
      <c r="N265" s="7" t="inlineStr">
        <is>
          <t>Declared by the retailer</t>
        </is>
      </c>
      <c r="O265" s="54" t="n">
        <v>2.8</v>
      </c>
      <c r="P265" s="54" t="n">
        <v>0</v>
      </c>
      <c r="Q265" s="7" t="inlineStr">
        <is>
          <t>yes</t>
        </is>
      </c>
      <c r="R265" s="7" t="inlineStr">
        <is>
          <t>whole</t>
        </is>
      </c>
      <c r="S265" s="7" t="inlineStr">
        <is>
          <t>FG4</t>
        </is>
      </c>
      <c r="T265" s="7" t="n"/>
      <c r="U265" s="7" t="inlineStr">
        <is>
          <t>plant</t>
        </is>
      </c>
      <c r="V265" s="7" t="n"/>
      <c r="W265" s="7" t="n"/>
      <c r="X265" s="55" t="n">
        <v>1</v>
      </c>
      <c r="Y265" s="50" t="n">
        <v>0.5</v>
      </c>
      <c r="Z265" s="7" t="inlineStr">
        <is>
          <t>label</t>
        </is>
      </c>
      <c r="AA265" s="19">
        <f>IF(ISBLANK(Welcome!D291),"",Welcome!D291)</f>
        <v/>
      </c>
      <c r="AB265" s="29">
        <f>IF(ISBLANK(Welcome!E291),"",Welcome!E291)</f>
        <v/>
      </c>
      <c r="AC265" s="29">
        <f>IF(N(AB265)&gt;0,N(AB265),N(AA265)*Y265)</f>
        <v/>
      </c>
      <c r="AD265" s="29">
        <f>IF(H265="yes",AC265,0)</f>
        <v/>
      </c>
      <c r="AE265" s="29">
        <f>AD265*N(M265)/100</f>
        <v/>
      </c>
      <c r="AF265" s="29">
        <f>AD265*N(O265)/100</f>
        <v/>
      </c>
      <c r="AG265" s="29">
        <f>AD265*N(P265)/100</f>
        <v/>
      </c>
      <c r="AH265" s="50">
        <f>IF(Q265="yes",AD265/1000,0)</f>
        <v/>
      </c>
      <c r="AI265" s="50">
        <f>IF(S265="FG2",AH265*X265,AH265)</f>
        <v/>
      </c>
    </row>
    <row r="266">
      <c r="A266" s="7" t="inlineStr">
        <is>
          <t>HM00079</t>
        </is>
      </c>
      <c r="B266" s="16" t="inlineStr">
        <is>
          <t>5012345994147</t>
        </is>
      </c>
      <c r="C266" s="7" t="inlineStr">
        <is>
          <t>HM BLUEBERRIES 1KG</t>
        </is>
      </c>
      <c r="D266" s="7" t="inlineStr">
        <is>
          <t>Blueberries, 1kg</t>
        </is>
      </c>
      <c r="E266" s="7" t="inlineStr">
        <is>
          <t>Harbour Market</t>
        </is>
      </c>
      <c r="F266" s="7" t="inlineStr">
        <is>
          <t>Fruit &amp; Vegetables</t>
        </is>
      </c>
      <c r="G266" s="7" t="inlineStr">
        <is>
          <t>Fruit</t>
        </is>
      </c>
      <c r="H266" s="7" t="inlineStr">
        <is>
          <t>yes</t>
        </is>
      </c>
      <c r="I266" s="7" t="inlineStr">
        <is>
          <t>Plant-based non-core</t>
        </is>
      </c>
      <c r="J266" s="7" t="inlineStr">
        <is>
          <t>Fruit and vegetables</t>
        </is>
      </c>
      <c r="K266" s="7" t="inlineStr">
        <is>
          <t>B</t>
        </is>
      </c>
      <c r="L266" s="7" t="inlineStr">
        <is>
          <t>Follows the class</t>
        </is>
      </c>
      <c r="M266" s="51" t="n">
        <v>0.73</v>
      </c>
      <c r="N266" s="7" t="inlineStr">
        <is>
          <t>Declared by the retailer</t>
        </is>
      </c>
      <c r="O266" s="54" t="n">
        <v>0.73</v>
      </c>
      <c r="P266" s="54" t="n">
        <v>0</v>
      </c>
      <c r="Q266" s="7" t="inlineStr">
        <is>
          <t>yes</t>
        </is>
      </c>
      <c r="R266" s="7" t="inlineStr">
        <is>
          <t>whole</t>
        </is>
      </c>
      <c r="S266" s="7" t="inlineStr">
        <is>
          <t>FG4</t>
        </is>
      </c>
      <c r="T266" s="7" t="n"/>
      <c r="U266" s="7" t="inlineStr">
        <is>
          <t>plant</t>
        </is>
      </c>
      <c r="V266" s="7" t="n"/>
      <c r="W266" s="7" t="n"/>
      <c r="X266" s="55" t="n">
        <v>1</v>
      </c>
      <c r="Y266" s="50" t="n">
        <v>1</v>
      </c>
      <c r="Z266" s="7" t="inlineStr">
        <is>
          <t>declared</t>
        </is>
      </c>
      <c r="AA266" s="19">
        <f>IF(ISBLANK(Welcome!D292),"",Welcome!D292)</f>
        <v/>
      </c>
      <c r="AB266" s="29">
        <f>IF(ISBLANK(Welcome!E292),"",Welcome!E292)</f>
        <v/>
      </c>
      <c r="AC266" s="29">
        <f>IF(N(AB266)&gt;0,N(AB266),N(AA266)*Y266)</f>
        <v/>
      </c>
      <c r="AD266" s="29">
        <f>IF(H266="yes",AC266,0)</f>
        <v/>
      </c>
      <c r="AE266" s="29">
        <f>AD266*N(M266)/100</f>
        <v/>
      </c>
      <c r="AF266" s="29">
        <f>AD266*N(O266)/100</f>
        <v/>
      </c>
      <c r="AG266" s="29">
        <f>AD266*N(P266)/100</f>
        <v/>
      </c>
      <c r="AH266" s="50">
        <f>IF(Q266="yes",AD266/1000,0)</f>
        <v/>
      </c>
      <c r="AI266" s="50">
        <f>IF(S266="FG2",AH266*X266,AH266)</f>
        <v/>
      </c>
    </row>
    <row r="267">
      <c r="A267" s="7" t="inlineStr">
        <is>
          <t>HM00743</t>
        </is>
      </c>
      <c r="B267" s="16" t="inlineStr">
        <is>
          <t>8712345455699</t>
        </is>
      </c>
      <c r="C267" s="7" t="inlineStr">
        <is>
          <t>HM STRAWB ICE CREAM 900ML</t>
        </is>
      </c>
      <c r="D267" s="7" t="inlineStr">
        <is>
          <t>Strawberry ice cream, 900ml</t>
        </is>
      </c>
      <c r="E267" s="7" t="inlineStr">
        <is>
          <t>Harbour Market</t>
        </is>
      </c>
      <c r="F267" s="7" t="inlineStr">
        <is>
          <t>Frozen</t>
        </is>
      </c>
      <c r="G267" s="7" t="inlineStr">
        <is>
          <t>Ice Cream</t>
        </is>
      </c>
      <c r="H267" s="7" t="inlineStr">
        <is>
          <t>yes</t>
        </is>
      </c>
      <c r="I267" s="7" t="inlineStr">
        <is>
          <t>Animal core</t>
        </is>
      </c>
      <c r="J267" s="7" t="inlineStr">
        <is>
          <t>Discretionary products</t>
        </is>
      </c>
      <c r="K267" s="7" t="inlineStr">
        <is>
          <t>B</t>
        </is>
      </c>
      <c r="L267" s="7" t="inlineStr">
        <is>
          <t>First ingredient</t>
        </is>
      </c>
      <c r="M267" s="51" t="n">
        <v>3.3</v>
      </c>
      <c r="N267" s="7" t="inlineStr">
        <is>
          <t>Declared by the retailer</t>
        </is>
      </c>
      <c r="O267" s="54" t="n">
        <v>0</v>
      </c>
      <c r="P267" s="54" t="n">
        <v>3.3</v>
      </c>
      <c r="Q267" s="7" t="inlineStr">
        <is>
          <t>yes</t>
        </is>
      </c>
      <c r="R267" s="7" t="inlineStr">
        <is>
          <t>whole</t>
        </is>
      </c>
      <c r="S267" s="7" t="inlineStr">
        <is>
          <t>FG7</t>
        </is>
      </c>
      <c r="T267" s="7" t="n"/>
      <c r="U267" s="7" t="inlineStr">
        <is>
          <t>animal</t>
        </is>
      </c>
      <c r="V267" s="7" t="n"/>
      <c r="W267" s="7" t="n"/>
      <c r="X267" s="55" t="n">
        <v>1</v>
      </c>
      <c r="Y267" s="50" t="n">
        <v>0.5</v>
      </c>
      <c r="Z267" s="7" t="inlineStr">
        <is>
          <t>declared</t>
        </is>
      </c>
      <c r="AA267" s="19">
        <f>IF(ISBLANK(Welcome!D293),"",Welcome!D293)</f>
        <v/>
      </c>
      <c r="AB267" s="29">
        <f>IF(ISBLANK(Welcome!E293),"",Welcome!E293)</f>
        <v/>
      </c>
      <c r="AC267" s="29">
        <f>IF(N(AB267)&gt;0,N(AB267),N(AA267)*Y267)</f>
        <v/>
      </c>
      <c r="AD267" s="29">
        <f>IF(H267="yes",AC267,0)</f>
        <v/>
      </c>
      <c r="AE267" s="29">
        <f>AD267*N(M267)/100</f>
        <v/>
      </c>
      <c r="AF267" s="29">
        <f>AD267*N(O267)/100</f>
        <v/>
      </c>
      <c r="AG267" s="29">
        <f>AD267*N(P267)/100</f>
        <v/>
      </c>
      <c r="AH267" s="50">
        <f>IF(Q267="yes",AD267/1000,0)</f>
        <v/>
      </c>
      <c r="AI267" s="50">
        <f>IF(S267="FG2",AH267*X267,AH267)</f>
        <v/>
      </c>
    </row>
    <row r="268">
      <c r="A268" s="7" t="inlineStr">
        <is>
          <t>HM00029</t>
        </is>
      </c>
      <c r="B268" s="16" t="inlineStr">
        <is>
          <t>4012345849585</t>
        </is>
      </c>
      <c r="C268" s="7" t="inlineStr">
        <is>
          <t>HM BABY SPINACH 1KG</t>
        </is>
      </c>
      <c r="D268" s="7" t="inlineStr">
        <is>
          <t>Baby spinach, 1kg</t>
        </is>
      </c>
      <c r="E268" s="7" t="inlineStr">
        <is>
          <t>Harbour Market</t>
        </is>
      </c>
      <c r="F268" s="7" t="inlineStr">
        <is>
          <t>Fruit &amp; Vegetables</t>
        </is>
      </c>
      <c r="G268" s="7" t="inlineStr">
        <is>
          <t>Vegetables</t>
        </is>
      </c>
      <c r="H268" s="7" t="inlineStr">
        <is>
          <t>yes</t>
        </is>
      </c>
      <c r="I268" s="7" t="inlineStr">
        <is>
          <t>Plant-based non-core</t>
        </is>
      </c>
      <c r="J268" s="7" t="inlineStr">
        <is>
          <t>Fruit and vegetables</t>
        </is>
      </c>
      <c r="K268" s="7" t="inlineStr">
        <is>
          <t>B</t>
        </is>
      </c>
      <c r="L268" s="7" t="inlineStr">
        <is>
          <t>Follows the class</t>
        </is>
      </c>
      <c r="M268" s="51" t="n">
        <v>2.9</v>
      </c>
      <c r="N268" s="7" t="inlineStr">
        <is>
          <t>Declared by the retailer</t>
        </is>
      </c>
      <c r="O268" s="54" t="n">
        <v>2.9</v>
      </c>
      <c r="P268" s="54" t="n">
        <v>0</v>
      </c>
      <c r="Q268" s="7" t="inlineStr">
        <is>
          <t>yes</t>
        </is>
      </c>
      <c r="R268" s="7" t="inlineStr">
        <is>
          <t>whole</t>
        </is>
      </c>
      <c r="S268" s="7" t="inlineStr">
        <is>
          <t>FG4</t>
        </is>
      </c>
      <c r="T268" s="7" t="n"/>
      <c r="U268" s="7" t="inlineStr">
        <is>
          <t>plant</t>
        </is>
      </c>
      <c r="V268" s="7" t="n"/>
      <c r="W268" s="7" t="n"/>
      <c r="X268" s="55" t="n">
        <v>1</v>
      </c>
      <c r="Y268" s="50" t="n">
        <v>1</v>
      </c>
      <c r="Z268" s="7" t="inlineStr">
        <is>
          <t>declared</t>
        </is>
      </c>
      <c r="AA268" s="19">
        <f>IF(ISBLANK(Welcome!D294),"",Welcome!D294)</f>
        <v/>
      </c>
      <c r="AB268" s="29">
        <f>IF(ISBLANK(Welcome!E294),"",Welcome!E294)</f>
        <v/>
      </c>
      <c r="AC268" s="29">
        <f>IF(N(AB268)&gt;0,N(AB268),N(AA268)*Y268)</f>
        <v/>
      </c>
      <c r="AD268" s="29">
        <f>IF(H268="yes",AC268,0)</f>
        <v/>
      </c>
      <c r="AE268" s="29">
        <f>AD268*N(M268)/100</f>
        <v/>
      </c>
      <c r="AF268" s="29">
        <f>AD268*N(O268)/100</f>
        <v/>
      </c>
      <c r="AG268" s="29">
        <f>AD268*N(P268)/100</f>
        <v/>
      </c>
      <c r="AH268" s="50">
        <f>IF(Q268="yes",AD268/1000,0)</f>
        <v/>
      </c>
      <c r="AI268" s="50">
        <f>IF(S268="FG2",AH268*X268,AH268)</f>
        <v/>
      </c>
    </row>
    <row r="269">
      <c r="A269" s="7" t="inlineStr">
        <is>
          <t>HM00088</t>
        </is>
      </c>
      <c r="B269" s="16" t="inlineStr">
        <is>
          <t>4012345547153</t>
        </is>
      </c>
      <c r="C269" s="7" t="inlineStr">
        <is>
          <t>HM APPLE CIDER 4X440ML</t>
        </is>
      </c>
      <c r="D269" s="7" t="inlineStr">
        <is>
          <t>Apple cider, 4x440ml</t>
        </is>
      </c>
      <c r="E269" s="7" t="inlineStr">
        <is>
          <t>Harbour Market</t>
        </is>
      </c>
      <c r="F269" s="7" t="inlineStr">
        <is>
          <t>Beer, Wine &amp; Spirits</t>
        </is>
      </c>
      <c r="G269" s="7" t="inlineStr">
        <is>
          <t>Beer &amp; Cider</t>
        </is>
      </c>
      <c r="H269" s="7" t="inlineStr">
        <is>
          <t>yes</t>
        </is>
      </c>
      <c r="I269" s="7" t="inlineStr">
        <is>
          <t>Plant-based non-core</t>
        </is>
      </c>
      <c r="J269" s="7" t="inlineStr">
        <is>
          <t>Outside the WWF scope</t>
        </is>
      </c>
      <c r="K269" s="7" t="inlineStr">
        <is>
          <t>B</t>
        </is>
      </c>
      <c r="L269" s="7" t="inlineStr">
        <is>
          <t>Follows the class</t>
        </is>
      </c>
      <c r="M269" s="51" t="n">
        <v>0</v>
      </c>
      <c r="N269" s="7" t="inlineStr">
        <is>
          <t>Declared by the retailer</t>
        </is>
      </c>
      <c r="O269" s="54" t="n">
        <v>0</v>
      </c>
      <c r="P269" s="54" t="n">
        <v>0</v>
      </c>
      <c r="Q269" s="7" t="inlineStr">
        <is>
          <t>no</t>
        </is>
      </c>
      <c r="R269" s="7" t="n"/>
      <c r="S269" s="7" t="n"/>
      <c r="T269" s="7" t="n"/>
      <c r="U269" s="7" t="n"/>
      <c r="V269" s="7" t="n"/>
      <c r="W269" s="7" t="inlineStr">
        <is>
          <t>alcohol</t>
        </is>
      </c>
      <c r="X269" s="55" t="n">
        <v>1</v>
      </c>
      <c r="Y269" s="50" t="n">
        <v>1.76</v>
      </c>
      <c r="Z269" s="7" t="inlineStr">
        <is>
          <t>declared</t>
        </is>
      </c>
      <c r="AA269" s="19">
        <f>IF(ISBLANK(Welcome!D295),"",Welcome!D295)</f>
        <v/>
      </c>
      <c r="AB269" s="29">
        <f>IF(ISBLANK(Welcome!E295),"",Welcome!E295)</f>
        <v/>
      </c>
      <c r="AC269" s="29">
        <f>IF(N(AB269)&gt;0,N(AB269),N(AA269)*Y269)</f>
        <v/>
      </c>
      <c r="AD269" s="29">
        <f>IF(H269="yes",AC269,0)</f>
        <v/>
      </c>
      <c r="AE269" s="29">
        <f>AD269*N(M269)/100</f>
        <v/>
      </c>
      <c r="AF269" s="29">
        <f>AD269*N(O269)/100</f>
        <v/>
      </c>
      <c r="AG269" s="29">
        <f>AD269*N(P269)/100</f>
        <v/>
      </c>
      <c r="AH269" s="50">
        <f>IF(Q269="yes",AD269/1000,0)</f>
        <v/>
      </c>
      <c r="AI269" s="50">
        <f>IF(S269="FG2",AH269*X269,AH269)</f>
        <v/>
      </c>
    </row>
    <row r="270">
      <c r="A270" s="7" t="inlineStr">
        <is>
          <t>HM00737</t>
        </is>
      </c>
      <c r="B270" s="16" t="inlineStr">
        <is>
          <t>2615338650640</t>
        </is>
      </c>
      <c r="C270" s="7" t="inlineStr">
        <is>
          <t>HM CARROTS KG</t>
        </is>
      </c>
      <c r="D270" s="7" t="inlineStr">
        <is>
          <t>Carrots</t>
        </is>
      </c>
      <c r="E270" s="7" t="inlineStr">
        <is>
          <t>Harbour Market</t>
        </is>
      </c>
      <c r="F270" s="7" t="inlineStr">
        <is>
          <t>Fruit &amp; Vegetables</t>
        </is>
      </c>
      <c r="G270" s="7" t="inlineStr">
        <is>
          <t>Vegetables</t>
        </is>
      </c>
      <c r="H270" s="7" t="inlineStr">
        <is>
          <t>yes</t>
        </is>
      </c>
      <c r="I270" s="7" t="inlineStr">
        <is>
          <t>Plant-based non-core</t>
        </is>
      </c>
      <c r="J270" s="7" t="inlineStr">
        <is>
          <t>Fruit and vegetables</t>
        </is>
      </c>
      <c r="K270" s="7" t="inlineStr">
        <is>
          <t>B</t>
        </is>
      </c>
      <c r="L270" s="7" t="inlineStr">
        <is>
          <t>Follows the class</t>
        </is>
      </c>
      <c r="M270" s="51" t="n">
        <v>0.61</v>
      </c>
      <c r="N270" s="7" t="inlineStr">
        <is>
          <t>Declared by the retailer</t>
        </is>
      </c>
      <c r="O270" s="54" t="n">
        <v>0.61</v>
      </c>
      <c r="P270" s="54" t="n">
        <v>0</v>
      </c>
      <c r="Q270" s="7" t="inlineStr">
        <is>
          <t>yes</t>
        </is>
      </c>
      <c r="R270" s="7" t="inlineStr">
        <is>
          <t>whole</t>
        </is>
      </c>
      <c r="S270" s="7" t="inlineStr">
        <is>
          <t>FG4</t>
        </is>
      </c>
      <c r="T270" s="7" t="n"/>
      <c r="U270" s="7" t="inlineStr">
        <is>
          <t>plant</t>
        </is>
      </c>
      <c r="V270" s="7" t="n"/>
      <c r="W270" s="7" t="n"/>
      <c r="X270" s="55" t="n">
        <v>1</v>
      </c>
      <c r="Y270" s="50" t="n">
        <v>1</v>
      </c>
      <c r="Z270" s="7" t="inlineStr">
        <is>
          <t>variable</t>
        </is>
      </c>
      <c r="AA270" s="19">
        <f>IF(ISBLANK(Welcome!D296),"",Welcome!D296)</f>
        <v/>
      </c>
      <c r="AB270" s="29">
        <f>IF(ISBLANK(Welcome!E296),"",Welcome!E296)</f>
        <v/>
      </c>
      <c r="AC270" s="29">
        <f>IF(N(AB270)&gt;0,N(AB270),N(AA270)*Y270)</f>
        <v/>
      </c>
      <c r="AD270" s="29">
        <f>IF(H270="yes",AC270,0)</f>
        <v/>
      </c>
      <c r="AE270" s="29">
        <f>AD270*N(M270)/100</f>
        <v/>
      </c>
      <c r="AF270" s="29">
        <f>AD270*N(O270)/100</f>
        <v/>
      </c>
      <c r="AG270" s="29">
        <f>AD270*N(P270)/100</f>
        <v/>
      </c>
      <c r="AH270" s="50">
        <f>IF(Q270="yes",AD270/1000,0)</f>
        <v/>
      </c>
      <c r="AI270" s="50">
        <f>IF(S270="FG2",AH270*X270,AH270)</f>
        <v/>
      </c>
    </row>
    <row r="271">
      <c r="A271" s="7" t="inlineStr">
        <is>
          <t>HM00687</t>
        </is>
      </c>
      <c r="B271" s="16" t="inlineStr">
        <is>
          <t>5012345248189</t>
        </is>
      </c>
      <c r="C271" s="7" t="inlineStr">
        <is>
          <t>SMKD HAM 400G TARROW</t>
        </is>
      </c>
      <c r="D271" s="7" t="inlineStr">
        <is>
          <t>Smoked ham, 400g</t>
        </is>
      </c>
      <c r="E271" s="7" t="inlineStr">
        <is>
          <t>Tarrow Farm</t>
        </is>
      </c>
      <c r="F271" s="7" t="inlineStr">
        <is>
          <t>Deli</t>
        </is>
      </c>
      <c r="G271" s="7" t="inlineStr">
        <is>
          <t>Cooked Meats</t>
        </is>
      </c>
      <c r="H271" s="7" t="inlineStr">
        <is>
          <t>yes</t>
        </is>
      </c>
      <c r="I271" s="7" t="inlineStr">
        <is>
          <t>Animal core</t>
        </is>
      </c>
      <c r="J271" s="7" t="inlineStr">
        <is>
          <t>Dishes and processed products</t>
        </is>
      </c>
      <c r="K271" s="7" t="inlineStr">
        <is>
          <t>B</t>
        </is>
      </c>
      <c r="L271" s="7" t="inlineStr">
        <is>
          <t>Follows the class</t>
        </is>
      </c>
      <c r="M271" s="51" t="n">
        <v>18.7</v>
      </c>
      <c r="N271" s="7" t="inlineStr">
        <is>
          <t>Declared by the retailer</t>
        </is>
      </c>
      <c r="O271" s="54" t="n">
        <v>0</v>
      </c>
      <c r="P271" s="54" t="n">
        <v>18.7</v>
      </c>
      <c r="Q271" s="7" t="inlineStr">
        <is>
          <t>yes</t>
        </is>
      </c>
      <c r="R271" s="7" t="inlineStr">
        <is>
          <t>whole</t>
        </is>
      </c>
      <c r="S271" s="7" t="inlineStr">
        <is>
          <t>FG1</t>
        </is>
      </c>
      <c r="T271" s="7" t="inlineStr">
        <is>
          <t>Red meat</t>
        </is>
      </c>
      <c r="U271" s="7" t="inlineStr">
        <is>
          <t>animal</t>
        </is>
      </c>
      <c r="V271" s="7" t="n"/>
      <c r="W271" s="7" t="n"/>
      <c r="X271" s="55" t="n">
        <v>1</v>
      </c>
      <c r="Y271" s="50" t="n">
        <v>0.4</v>
      </c>
      <c r="Z271" s="7" t="inlineStr">
        <is>
          <t>declared</t>
        </is>
      </c>
      <c r="AA271" s="19">
        <f>IF(ISBLANK(Welcome!D297),"",Welcome!D297)</f>
        <v/>
      </c>
      <c r="AB271" s="29">
        <f>IF(ISBLANK(Welcome!E297),"",Welcome!E297)</f>
        <v/>
      </c>
      <c r="AC271" s="29">
        <f>IF(N(AB271)&gt;0,N(AB271),N(AA271)*Y271)</f>
        <v/>
      </c>
      <c r="AD271" s="29">
        <f>IF(H271="yes",AC271,0)</f>
        <v/>
      </c>
      <c r="AE271" s="29">
        <f>AD271*N(M271)/100</f>
        <v/>
      </c>
      <c r="AF271" s="29">
        <f>AD271*N(O271)/100</f>
        <v/>
      </c>
      <c r="AG271" s="29">
        <f>AD271*N(P271)/100</f>
        <v/>
      </c>
      <c r="AH271" s="50">
        <f>IF(Q271="yes",AD271/1000,0)</f>
        <v/>
      </c>
      <c r="AI271" s="50">
        <f>IF(S271="FG2",AH271*X271,AH271)</f>
        <v/>
      </c>
    </row>
    <row r="272">
      <c r="A272" s="7" t="inlineStr">
        <is>
          <t>HM00438</t>
        </is>
      </c>
      <c r="B272" s="16" t="inlineStr">
        <is>
          <t>3012345963664</t>
        </is>
      </c>
      <c r="C272" s="7" t="inlineStr">
        <is>
          <t>NUVELLE LEMONADE 24X330ML</t>
        </is>
      </c>
      <c r="D272" s="7" t="inlineStr">
        <is>
          <t>Cloudy lemonade, 24x330ml</t>
        </is>
      </c>
      <c r="E272" s="7" t="inlineStr">
        <is>
          <t>Nuvelle</t>
        </is>
      </c>
      <c r="F272" s="7" t="inlineStr">
        <is>
          <t>Soft Drinks &amp; Water</t>
        </is>
      </c>
      <c r="G272" s="7" t="inlineStr">
        <is>
          <t>Soft Drinks</t>
        </is>
      </c>
      <c r="H272" s="7" t="inlineStr">
        <is>
          <t>yes</t>
        </is>
      </c>
      <c r="I272" s="7" t="inlineStr">
        <is>
          <t>Plant-based non-core</t>
        </is>
      </c>
      <c r="J272" s="7" t="inlineStr">
        <is>
          <t>Outside the WWF scope</t>
        </is>
      </c>
      <c r="K272" s="7" t="inlineStr">
        <is>
          <t>A</t>
        </is>
      </c>
      <c r="L272" s="7" t="inlineStr">
        <is>
          <t>All ingredients on one side</t>
        </is>
      </c>
      <c r="M272" s="51" t="n">
        <v>0</v>
      </c>
      <c r="N272" s="7" t="inlineStr">
        <is>
          <t>Declared by the retailer</t>
        </is>
      </c>
      <c r="O272" s="54" t="n">
        <v>0</v>
      </c>
      <c r="P272" s="54" t="n">
        <v>0</v>
      </c>
      <c r="Q272" s="7" t="inlineStr">
        <is>
          <t>no</t>
        </is>
      </c>
      <c r="R272" s="7" t="n"/>
      <c r="S272" s="7" t="n"/>
      <c r="T272" s="7" t="n"/>
      <c r="U272" s="7" t="n"/>
      <c r="V272" s="7" t="n"/>
      <c r="W272" s="7" t="inlineStr">
        <is>
          <t>beverage</t>
        </is>
      </c>
      <c r="X272" s="55" t="n">
        <v>1</v>
      </c>
      <c r="Y272" s="50" t="n">
        <v>7.92</v>
      </c>
      <c r="Z272" s="7" t="inlineStr">
        <is>
          <t>declared</t>
        </is>
      </c>
      <c r="AA272" s="19">
        <f>IF(ISBLANK(Welcome!D298),"",Welcome!D298)</f>
        <v/>
      </c>
      <c r="AB272" s="29">
        <f>IF(ISBLANK(Welcome!E298),"",Welcome!E298)</f>
        <v/>
      </c>
      <c r="AC272" s="29">
        <f>IF(N(AB272)&gt;0,N(AB272),N(AA272)*Y272)</f>
        <v/>
      </c>
      <c r="AD272" s="29">
        <f>IF(H272="yes",AC272,0)</f>
        <v/>
      </c>
      <c r="AE272" s="29">
        <f>AD272*N(M272)/100</f>
        <v/>
      </c>
      <c r="AF272" s="29">
        <f>AD272*N(O272)/100</f>
        <v/>
      </c>
      <c r="AG272" s="29">
        <f>AD272*N(P272)/100</f>
        <v/>
      </c>
      <c r="AH272" s="50">
        <f>IF(Q272="yes",AD272/1000,0)</f>
        <v/>
      </c>
      <c r="AI272" s="50">
        <f>IF(S272="FG2",AH272*X272,AH272)</f>
        <v/>
      </c>
    </row>
    <row r="273">
      <c r="A273" s="7" t="inlineStr">
        <is>
          <t>HM00061</t>
        </is>
      </c>
      <c r="B273" s="16" t="inlineStr">
        <is>
          <t>4012345484847</t>
        </is>
      </c>
      <c r="C273" s="7" t="inlineStr">
        <is>
          <t>HM CHOC RICE POPS 750G</t>
        </is>
      </c>
      <c r="D273" s="7" t="inlineStr">
        <is>
          <t>Chocolate rice pops, 750g</t>
        </is>
      </c>
      <c r="E273" s="7" t="inlineStr">
        <is>
          <t>Harbour Market</t>
        </is>
      </c>
      <c r="F273" s="7" t="inlineStr">
        <is>
          <t>Breakfast &amp; Snacks</t>
        </is>
      </c>
      <c r="G273" s="7" t="inlineStr">
        <is>
          <t>Cereals</t>
        </is>
      </c>
      <c r="H273" s="7" t="inlineStr">
        <is>
          <t>yes</t>
        </is>
      </c>
      <c r="I273" s="7" t="inlineStr">
        <is>
          <t>Plant-based non-core</t>
        </is>
      </c>
      <c r="J273" s="7" t="inlineStr">
        <is>
          <t>Refined grains</t>
        </is>
      </c>
      <c r="K273" s="7" t="inlineStr">
        <is>
          <t>A</t>
        </is>
      </c>
      <c r="L273" s="7" t="inlineStr">
        <is>
          <t>All ingredients on one side</t>
        </is>
      </c>
      <c r="M273" s="51" t="n">
        <v>4.7</v>
      </c>
      <c r="N273" s="7" t="inlineStr">
        <is>
          <t>Declared by the retailer</t>
        </is>
      </c>
      <c r="O273" s="54" t="n">
        <v>4.7</v>
      </c>
      <c r="P273" s="54" t="n">
        <v>0</v>
      </c>
      <c r="Q273" s="7" t="inlineStr">
        <is>
          <t>yes</t>
        </is>
      </c>
      <c r="R273" s="7" t="inlineStr">
        <is>
          <t>whole</t>
        </is>
      </c>
      <c r="S273" s="7" t="inlineStr">
        <is>
          <t>FG5</t>
        </is>
      </c>
      <c r="T273" s="7" t="inlineStr">
        <is>
          <t>Refined grain</t>
        </is>
      </c>
      <c r="U273" s="7" t="inlineStr">
        <is>
          <t>plant</t>
        </is>
      </c>
      <c r="V273" s="7" t="n"/>
      <c r="W273" s="7" t="n"/>
      <c r="X273" s="55" t="n">
        <v>1</v>
      </c>
      <c r="Y273" s="50" t="n">
        <v>0.75</v>
      </c>
      <c r="Z273" s="7" t="inlineStr">
        <is>
          <t>declared</t>
        </is>
      </c>
      <c r="AA273" s="19">
        <f>IF(ISBLANK(Welcome!D299),"",Welcome!D299)</f>
        <v/>
      </c>
      <c r="AB273" s="29">
        <f>IF(ISBLANK(Welcome!E299),"",Welcome!E299)</f>
        <v/>
      </c>
      <c r="AC273" s="29">
        <f>IF(N(AB273)&gt;0,N(AB273),N(AA273)*Y273)</f>
        <v/>
      </c>
      <c r="AD273" s="29">
        <f>IF(H273="yes",AC273,0)</f>
        <v/>
      </c>
      <c r="AE273" s="29">
        <f>AD273*N(M273)/100</f>
        <v/>
      </c>
      <c r="AF273" s="29">
        <f>AD273*N(O273)/100</f>
        <v/>
      </c>
      <c r="AG273" s="29">
        <f>AD273*N(P273)/100</f>
        <v/>
      </c>
      <c r="AH273" s="50">
        <f>IF(Q273="yes",AD273/1000,0)</f>
        <v/>
      </c>
      <c r="AI273" s="50">
        <f>IF(S273="FG2",AH273*X273,AH273)</f>
        <v/>
      </c>
    </row>
    <row r="274">
      <c r="A274" s="7" t="inlineStr">
        <is>
          <t>HM00517</t>
        </is>
      </c>
      <c r="B274" s="16" t="inlineStr">
        <is>
          <t>8712345349790</t>
        </is>
      </c>
      <c r="C274" s="7" t="inlineStr">
        <is>
          <t>HM PASSATA 400G</t>
        </is>
      </c>
      <c r="D274" s="7" t="inlineStr">
        <is>
          <t>Sieved tomatoes (passata), 400g</t>
        </is>
      </c>
      <c r="E274" s="7" t="inlineStr">
        <is>
          <t>Harbour Market</t>
        </is>
      </c>
      <c r="F274" s="7" t="inlineStr">
        <is>
          <t>Grocery</t>
        </is>
      </c>
      <c r="G274" s="7" t="inlineStr">
        <is>
          <t>Canned Vegetables</t>
        </is>
      </c>
      <c r="H274" s="7" t="inlineStr">
        <is>
          <t>yes</t>
        </is>
      </c>
      <c r="I274" s="7" t="inlineStr">
        <is>
          <t>Plant-based non-core</t>
        </is>
      </c>
      <c r="J274" s="7" t="inlineStr">
        <is>
          <t>Fruit and vegetables</t>
        </is>
      </c>
      <c r="K274" s="7" t="inlineStr">
        <is>
          <t>B</t>
        </is>
      </c>
      <c r="L274" s="7" t="inlineStr">
        <is>
          <t>Follows the class</t>
        </is>
      </c>
      <c r="M274" s="51" t="n">
        <v>1.1</v>
      </c>
      <c r="N274" s="7" t="inlineStr">
        <is>
          <t>Declared by the retailer</t>
        </is>
      </c>
      <c r="O274" s="54" t="n">
        <v>1.1</v>
      </c>
      <c r="P274" s="54" t="n">
        <v>0</v>
      </c>
      <c r="Q274" s="7" t="inlineStr">
        <is>
          <t>yes</t>
        </is>
      </c>
      <c r="R274" s="7" t="inlineStr">
        <is>
          <t>whole</t>
        </is>
      </c>
      <c r="S274" s="7" t="inlineStr">
        <is>
          <t>FG4</t>
        </is>
      </c>
      <c r="T274" s="7" t="n"/>
      <c r="U274" s="7" t="inlineStr">
        <is>
          <t>plant</t>
        </is>
      </c>
      <c r="V274" s="7" t="n"/>
      <c r="W274" s="7" t="n"/>
      <c r="X274" s="55" t="n">
        <v>1</v>
      </c>
      <c r="Y274" s="50" t="n">
        <v>0.4</v>
      </c>
      <c r="Z274" s="7" t="inlineStr">
        <is>
          <t>declared</t>
        </is>
      </c>
      <c r="AA274" s="19">
        <f>IF(ISBLANK(Welcome!D300),"",Welcome!D300)</f>
        <v/>
      </c>
      <c r="AB274" s="29">
        <f>IF(ISBLANK(Welcome!E300),"",Welcome!E300)</f>
        <v/>
      </c>
      <c r="AC274" s="29">
        <f>IF(N(AB274)&gt;0,N(AB274),N(AA274)*Y274)</f>
        <v/>
      </c>
      <c r="AD274" s="29">
        <f>IF(H274="yes",AC274,0)</f>
        <v/>
      </c>
      <c r="AE274" s="29">
        <f>AD274*N(M274)/100</f>
        <v/>
      </c>
      <c r="AF274" s="29">
        <f>AD274*N(O274)/100</f>
        <v/>
      </c>
      <c r="AG274" s="29">
        <f>AD274*N(P274)/100</f>
        <v/>
      </c>
      <c r="AH274" s="50">
        <f>IF(Q274="yes",AD274/1000,0)</f>
        <v/>
      </c>
      <c r="AI274" s="50">
        <f>IF(S274="FG2",AH274*X274,AH274)</f>
        <v/>
      </c>
    </row>
    <row r="275">
      <c r="A275" s="7" t="inlineStr">
        <is>
          <t>HM00406</t>
        </is>
      </c>
      <c r="B275" s="16" t="inlineStr">
        <is>
          <t>4012345975185</t>
        </is>
      </c>
      <c r="C275" s="7" t="inlineStr">
        <is>
          <t>ORVALIS CORN FLAKES 1KG</t>
        </is>
      </c>
      <c r="D275" s="7" t="inlineStr">
        <is>
          <t>Corn flakes, 1kg</t>
        </is>
      </c>
      <c r="E275" s="7" t="inlineStr">
        <is>
          <t>Orvalis</t>
        </is>
      </c>
      <c r="F275" s="7" t="inlineStr">
        <is>
          <t>Breakfast &amp; Snacks</t>
        </is>
      </c>
      <c r="G275" s="7" t="inlineStr">
        <is>
          <t>Cereals</t>
        </is>
      </c>
      <c r="H275" s="7" t="inlineStr">
        <is>
          <t>yes</t>
        </is>
      </c>
      <c r="I275" s="7" t="inlineStr">
        <is>
          <t>Plant-based non-core</t>
        </is>
      </c>
      <c r="J275" s="7" t="inlineStr">
        <is>
          <t>Refined grains</t>
        </is>
      </c>
      <c r="K275" s="7" t="inlineStr">
        <is>
          <t>A</t>
        </is>
      </c>
      <c r="L275" s="7" t="inlineStr">
        <is>
          <t>All ingredients on one side</t>
        </is>
      </c>
      <c r="M275" s="51" t="n">
        <v>7.2</v>
      </c>
      <c r="N275" s="7" t="inlineStr">
        <is>
          <t>Open Food Facts and NEVO, by EAN</t>
        </is>
      </c>
      <c r="O275" s="54" t="n">
        <v>7.2</v>
      </c>
      <c r="P275" s="54" t="n">
        <v>0</v>
      </c>
      <c r="Q275" s="7" t="inlineStr">
        <is>
          <t>yes</t>
        </is>
      </c>
      <c r="R275" s="7" t="inlineStr">
        <is>
          <t>whole</t>
        </is>
      </c>
      <c r="S275" s="7" t="inlineStr">
        <is>
          <t>FG5</t>
        </is>
      </c>
      <c r="T275" s="7" t="inlineStr">
        <is>
          <t>Refined grain</t>
        </is>
      </c>
      <c r="U275" s="7" t="inlineStr">
        <is>
          <t>plant</t>
        </is>
      </c>
      <c r="V275" s="7" t="n"/>
      <c r="W275" s="7" t="n"/>
      <c r="X275" s="55" t="n">
        <v>1</v>
      </c>
      <c r="Y275" s="50" t="n">
        <v>1</v>
      </c>
      <c r="Z275" s="7" t="inlineStr">
        <is>
          <t>label</t>
        </is>
      </c>
      <c r="AA275" s="19">
        <f>IF(ISBLANK(Welcome!D301),"",Welcome!D301)</f>
        <v/>
      </c>
      <c r="AB275" s="29">
        <f>IF(ISBLANK(Welcome!E301),"",Welcome!E301)</f>
        <v/>
      </c>
      <c r="AC275" s="29">
        <f>IF(N(AB275)&gt;0,N(AB275),N(AA275)*Y275)</f>
        <v/>
      </c>
      <c r="AD275" s="29">
        <f>IF(H275="yes",AC275,0)</f>
        <v/>
      </c>
      <c r="AE275" s="29">
        <f>AD275*N(M275)/100</f>
        <v/>
      </c>
      <c r="AF275" s="29">
        <f>AD275*N(O275)/100</f>
        <v/>
      </c>
      <c r="AG275" s="29">
        <f>AD275*N(P275)/100</f>
        <v/>
      </c>
      <c r="AH275" s="50">
        <f>IF(Q275="yes",AD275/1000,0)</f>
        <v/>
      </c>
      <c r="AI275" s="50">
        <f>IF(S275="FG2",AH275*X275,AH275)</f>
        <v/>
      </c>
    </row>
    <row r="276">
      <c r="A276" s="7" t="inlineStr">
        <is>
          <t>HM00478</t>
        </is>
      </c>
      <c r="B276" s="16" t="inlineStr">
        <is>
          <t>4012345869095</t>
        </is>
      </c>
      <c r="C276" s="7" t="inlineStr">
        <is>
          <t>CHKN MINI FLT 650G TARROW</t>
        </is>
      </c>
      <c r="D276" s="7" t="inlineStr">
        <is>
          <t>Chicken mini fillets, 650g</t>
        </is>
      </c>
      <c r="E276" s="7" t="inlineStr">
        <is>
          <t>Tarrow Farm</t>
        </is>
      </c>
      <c r="F276" s="7" t="inlineStr">
        <is>
          <t>Fresh Meat &amp; Poultry</t>
        </is>
      </c>
      <c r="G276" s="7" t="inlineStr">
        <is>
          <t>Poultry</t>
        </is>
      </c>
      <c r="H276" s="7" t="inlineStr">
        <is>
          <t>yes</t>
        </is>
      </c>
      <c r="I276" s="7" t="inlineStr">
        <is>
          <t>Animal core</t>
        </is>
      </c>
      <c r="J276" s="7" t="inlineStr">
        <is>
          <t>Poultry</t>
        </is>
      </c>
      <c r="K276" s="7" t="inlineStr">
        <is>
          <t>B</t>
        </is>
      </c>
      <c r="L276" s="7" t="inlineStr">
        <is>
          <t>Follows the class</t>
        </is>
      </c>
      <c r="M276" s="51" t="n">
        <v>23</v>
      </c>
      <c r="N276" s="7" t="inlineStr">
        <is>
          <t>Declared by the retailer</t>
        </is>
      </c>
      <c r="O276" s="54" t="n">
        <v>0</v>
      </c>
      <c r="P276" s="54" t="n">
        <v>23</v>
      </c>
      <c r="Q276" s="7" t="inlineStr">
        <is>
          <t>yes</t>
        </is>
      </c>
      <c r="R276" s="7" t="inlineStr">
        <is>
          <t>whole</t>
        </is>
      </c>
      <c r="S276" s="7" t="inlineStr">
        <is>
          <t>FG1</t>
        </is>
      </c>
      <c r="T276" s="7" t="inlineStr">
        <is>
          <t>Poultry</t>
        </is>
      </c>
      <c r="U276" s="7" t="inlineStr">
        <is>
          <t>animal</t>
        </is>
      </c>
      <c r="V276" s="7" t="n"/>
      <c r="W276" s="7" t="n"/>
      <c r="X276" s="55" t="n">
        <v>1</v>
      </c>
      <c r="Y276" s="50" t="n">
        <v>0.65</v>
      </c>
      <c r="Z276" s="7" t="inlineStr">
        <is>
          <t>declared</t>
        </is>
      </c>
      <c r="AA276" s="19">
        <f>IF(ISBLANK(Welcome!D302),"",Welcome!D302)</f>
        <v/>
      </c>
      <c r="AB276" s="29">
        <f>IF(ISBLANK(Welcome!E302),"",Welcome!E302)</f>
        <v/>
      </c>
      <c r="AC276" s="29">
        <f>IF(N(AB276)&gt;0,N(AB276),N(AA276)*Y276)</f>
        <v/>
      </c>
      <c r="AD276" s="29">
        <f>IF(H276="yes",AC276,0)</f>
        <v/>
      </c>
      <c r="AE276" s="29">
        <f>AD276*N(M276)/100</f>
        <v/>
      </c>
      <c r="AF276" s="29">
        <f>AD276*N(O276)/100</f>
        <v/>
      </c>
      <c r="AG276" s="29">
        <f>AD276*N(P276)/100</f>
        <v/>
      </c>
      <c r="AH276" s="50">
        <f>IF(Q276="yes",AD276/1000,0)</f>
        <v/>
      </c>
      <c r="AI276" s="50">
        <f>IF(S276="FG2",AH276*X276,AH276)</f>
        <v/>
      </c>
    </row>
    <row r="277">
      <c r="A277" s="7" t="inlineStr">
        <is>
          <t>HM00615</t>
        </is>
      </c>
      <c r="B277" s="16" t="inlineStr">
        <is>
          <t>5012345266114</t>
        </is>
      </c>
      <c r="C277" s="7" t="inlineStr">
        <is>
          <t>ROSE WINE 75CL CASTELNA</t>
        </is>
      </c>
      <c r="D277" s="7" t="inlineStr">
        <is>
          <t>Rosé wine, 75cl</t>
        </is>
      </c>
      <c r="E277" s="7" t="inlineStr">
        <is>
          <t>Castelna</t>
        </is>
      </c>
      <c r="F277" s="7" t="inlineStr">
        <is>
          <t>Beer, Wine &amp; Spirits</t>
        </is>
      </c>
      <c r="G277" s="7" t="inlineStr">
        <is>
          <t>Wine</t>
        </is>
      </c>
      <c r="H277" s="7" t="inlineStr">
        <is>
          <t>yes</t>
        </is>
      </c>
      <c r="I277" s="7" t="inlineStr">
        <is>
          <t>Plant-based non-core</t>
        </is>
      </c>
      <c r="J277" s="7" t="inlineStr">
        <is>
          <t>Outside the WWF scope</t>
        </is>
      </c>
      <c r="K277" s="7" t="inlineStr">
        <is>
          <t>A</t>
        </is>
      </c>
      <c r="L277" s="7" t="inlineStr">
        <is>
          <t>All ingredients on one side</t>
        </is>
      </c>
      <c r="M277" s="51" t="n">
        <v>0.1</v>
      </c>
      <c r="N277" s="7" t="inlineStr">
        <is>
          <t>Altera reference base</t>
        </is>
      </c>
      <c r="O277" s="54" t="n">
        <v>0.1</v>
      </c>
      <c r="P277" s="54" t="n">
        <v>0</v>
      </c>
      <c r="Q277" s="7" t="inlineStr">
        <is>
          <t>no</t>
        </is>
      </c>
      <c r="R277" s="7" t="n"/>
      <c r="S277" s="7" t="n"/>
      <c r="T277" s="7" t="n"/>
      <c r="U277" s="7" t="n"/>
      <c r="V277" s="7" t="n"/>
      <c r="W277" s="7" t="inlineStr">
        <is>
          <t>alcohol</t>
        </is>
      </c>
      <c r="X277" s="55" t="n">
        <v>1</v>
      </c>
      <c r="Y277" s="50" t="n">
        <v>0.75</v>
      </c>
      <c r="Z277" s="7" t="inlineStr">
        <is>
          <t>declared</t>
        </is>
      </c>
      <c r="AA277" s="19">
        <f>IF(ISBLANK(Welcome!D303),"",Welcome!D303)</f>
        <v/>
      </c>
      <c r="AB277" s="29">
        <f>IF(ISBLANK(Welcome!E303),"",Welcome!E303)</f>
        <v/>
      </c>
      <c r="AC277" s="29">
        <f>IF(N(AB277)&gt;0,N(AB277),N(AA277)*Y277)</f>
        <v/>
      </c>
      <c r="AD277" s="29">
        <f>IF(H277="yes",AC277,0)</f>
        <v/>
      </c>
      <c r="AE277" s="29">
        <f>AD277*N(M277)/100</f>
        <v/>
      </c>
      <c r="AF277" s="29">
        <f>AD277*N(O277)/100</f>
        <v/>
      </c>
      <c r="AG277" s="29">
        <f>AD277*N(P277)/100</f>
        <v/>
      </c>
      <c r="AH277" s="50">
        <f>IF(Q277="yes",AD277/1000,0)</f>
        <v/>
      </c>
      <c r="AI277" s="50">
        <f>IF(S277="FG2",AH277*X277,AH277)</f>
        <v/>
      </c>
    </row>
    <row r="278">
      <c r="A278" s="7" t="inlineStr">
        <is>
          <t>HM00754</t>
        </is>
      </c>
      <c r="B278" s="16" t="inlineStr">
        <is>
          <t>5012345121406</t>
        </is>
      </c>
      <c r="C278" s="7" t="inlineStr">
        <is>
          <t>QUILLAN PIZZA 4 CHEESE 400G</t>
        </is>
      </c>
      <c r="D278" s="7" t="inlineStr">
        <is>
          <t>Four cheese pizza, 400g</t>
        </is>
      </c>
      <c r="E278" s="7" t="inlineStr">
        <is>
          <t>Quillan</t>
        </is>
      </c>
      <c r="F278" s="7" t="inlineStr">
        <is>
          <t>Frozen</t>
        </is>
      </c>
      <c r="G278" s="7" t="inlineStr">
        <is>
          <t>Pizza</t>
        </is>
      </c>
      <c r="H278" s="7" t="inlineStr">
        <is>
          <t>yes</t>
        </is>
      </c>
      <c r="I278" s="7" t="inlineStr">
        <is>
          <t>Animal &amp; plant composite</t>
        </is>
      </c>
      <c r="J278" s="7" t="inlineStr">
        <is>
          <t>Vegetarian dishes</t>
        </is>
      </c>
      <c r="K278" s="7" t="inlineStr">
        <is>
          <t>B</t>
        </is>
      </c>
      <c r="L278" s="7" t="inlineStr">
        <is>
          <t>50/50 convention</t>
        </is>
      </c>
      <c r="M278" s="51" t="n">
        <v>9.5</v>
      </c>
      <c r="N278" s="7" t="inlineStr">
        <is>
          <t>Declared by the retailer</t>
        </is>
      </c>
      <c r="O278" s="54" t="n">
        <v>4.75</v>
      </c>
      <c r="P278" s="54" t="n">
        <v>4.75</v>
      </c>
      <c r="Q278" s="7" t="inlineStr">
        <is>
          <t>yes</t>
        </is>
      </c>
      <c r="R278" s="7" t="inlineStr">
        <is>
          <t>composite</t>
        </is>
      </c>
      <c r="S278" s="7" t="n"/>
      <c r="T278" s="7" t="n"/>
      <c r="U278" s="7" t="n"/>
      <c r="V278" s="7" t="inlineStr">
        <is>
          <t>vegetarian</t>
        </is>
      </c>
      <c r="W278" s="7" t="n"/>
      <c r="X278" s="55" t="n">
        <v>1</v>
      </c>
      <c r="Y278" s="50" t="n">
        <v>0.4</v>
      </c>
      <c r="Z278" s="7" t="inlineStr">
        <is>
          <t>declared</t>
        </is>
      </c>
      <c r="AA278" s="19">
        <f>IF(ISBLANK(Welcome!D304),"",Welcome!D304)</f>
        <v/>
      </c>
      <c r="AB278" s="29">
        <f>IF(ISBLANK(Welcome!E304),"",Welcome!E304)</f>
        <v/>
      </c>
      <c r="AC278" s="29">
        <f>IF(N(AB278)&gt;0,N(AB278),N(AA278)*Y278)</f>
        <v/>
      </c>
      <c r="AD278" s="29">
        <f>IF(H278="yes",AC278,0)</f>
        <v/>
      </c>
      <c r="AE278" s="29">
        <f>AD278*N(M278)/100</f>
        <v/>
      </c>
      <c r="AF278" s="29">
        <f>AD278*N(O278)/100</f>
        <v/>
      </c>
      <c r="AG278" s="29">
        <f>AD278*N(P278)/100</f>
        <v/>
      </c>
      <c r="AH278" s="50">
        <f>IF(Q278="yes",AD278/1000,0)</f>
        <v/>
      </c>
      <c r="AI278" s="50">
        <f>IF(S278="FG2",AH278*X278,AH278)</f>
        <v/>
      </c>
    </row>
    <row r="279">
      <c r="A279" s="7" t="inlineStr">
        <is>
          <t>HM00506</t>
        </is>
      </c>
      <c r="B279" s="16" t="inlineStr">
        <is>
          <t>8712345411404</t>
        </is>
      </c>
      <c r="C279" s="7" t="inlineStr">
        <is>
          <t>HM COOKED MUSSELS 225G</t>
        </is>
      </c>
      <c r="D279" s="7" t="inlineStr">
        <is>
          <t>Cooked mussels, 225g</t>
        </is>
      </c>
      <c r="E279" s="7" t="inlineStr">
        <is>
          <t>Harbour Market</t>
        </is>
      </c>
      <c r="F279" s="7" t="inlineStr">
        <is>
          <t>Fish &amp; Seafood</t>
        </is>
      </c>
      <c r="G279" s="7" t="inlineStr">
        <is>
          <t>Shellfish</t>
        </is>
      </c>
      <c r="H279" s="7" t="inlineStr">
        <is>
          <t>yes</t>
        </is>
      </c>
      <c r="I279" s="7" t="inlineStr">
        <is>
          <t>Animal core</t>
        </is>
      </c>
      <c r="J279" s="7" t="inlineStr">
        <is>
          <t>Fish and seafood</t>
        </is>
      </c>
      <c r="K279" s="7" t="inlineStr">
        <is>
          <t>B</t>
        </is>
      </c>
      <c r="L279" s="7" t="inlineStr">
        <is>
          <t>Follows the class</t>
        </is>
      </c>
      <c r="M279" s="51" t="n">
        <v>11.4</v>
      </c>
      <c r="N279" s="7" t="inlineStr">
        <is>
          <t>Altera reference base</t>
        </is>
      </c>
      <c r="O279" s="54" t="n">
        <v>0</v>
      </c>
      <c r="P279" s="54" t="n">
        <v>11.4</v>
      </c>
      <c r="Q279" s="7" t="inlineStr">
        <is>
          <t>yes</t>
        </is>
      </c>
      <c r="R279" s="7" t="inlineStr">
        <is>
          <t>whole</t>
        </is>
      </c>
      <c r="S279" s="7" t="inlineStr">
        <is>
          <t>FG1</t>
        </is>
      </c>
      <c r="T279" s="7" t="inlineStr">
        <is>
          <t>Fish &amp; shellfish</t>
        </is>
      </c>
      <c r="U279" s="7" t="inlineStr">
        <is>
          <t>animal</t>
        </is>
      </c>
      <c r="V279" s="7" t="n"/>
      <c r="W279" s="7" t="n"/>
      <c r="X279" s="55" t="n">
        <v>1</v>
      </c>
      <c r="Y279" s="50" t="n">
        <v>0.225</v>
      </c>
      <c r="Z279" s="7" t="inlineStr">
        <is>
          <t>declared</t>
        </is>
      </c>
      <c r="AA279" s="19">
        <f>IF(ISBLANK(Welcome!D305),"",Welcome!D305)</f>
        <v/>
      </c>
      <c r="AB279" s="29">
        <f>IF(ISBLANK(Welcome!E305),"",Welcome!E305)</f>
        <v/>
      </c>
      <c r="AC279" s="29">
        <f>IF(N(AB279)&gt;0,N(AB279),N(AA279)*Y279)</f>
        <v/>
      </c>
      <c r="AD279" s="29">
        <f>IF(H279="yes",AC279,0)</f>
        <v/>
      </c>
      <c r="AE279" s="29">
        <f>AD279*N(M279)/100</f>
        <v/>
      </c>
      <c r="AF279" s="29">
        <f>AD279*N(O279)/100</f>
        <v/>
      </c>
      <c r="AG279" s="29">
        <f>AD279*N(P279)/100</f>
        <v/>
      </c>
      <c r="AH279" s="50">
        <f>IF(Q279="yes",AD279/1000,0)</f>
        <v/>
      </c>
      <c r="AI279" s="50">
        <f>IF(S279="FG2",AH279*X279,AH279)</f>
        <v/>
      </c>
    </row>
    <row r="280">
      <c r="A280" s="7" t="inlineStr">
        <is>
          <t>HM00668</t>
        </is>
      </c>
      <c r="B280" s="16" t="inlineStr">
        <is>
          <t>2088868832090</t>
        </is>
      </c>
      <c r="C280" s="7" t="inlineStr">
        <is>
          <t>HM CLEMENTINES LOOSE</t>
        </is>
      </c>
      <c r="D280" s="7" t="inlineStr">
        <is>
          <t>Clementines</t>
        </is>
      </c>
      <c r="E280" s="7" t="inlineStr">
        <is>
          <t>Harbour Market</t>
        </is>
      </c>
      <c r="F280" s="7" t="inlineStr">
        <is>
          <t>Fruit &amp; Vegetables</t>
        </is>
      </c>
      <c r="G280" s="7" t="inlineStr">
        <is>
          <t>Fruit</t>
        </is>
      </c>
      <c r="H280" s="7" t="inlineStr">
        <is>
          <t>yes</t>
        </is>
      </c>
      <c r="I280" s="7" t="inlineStr">
        <is>
          <t>Plant-based non-core</t>
        </is>
      </c>
      <c r="J280" s="7" t="inlineStr">
        <is>
          <t>Fruit and vegetables</t>
        </is>
      </c>
      <c r="K280" s="7" t="inlineStr">
        <is>
          <t>B</t>
        </is>
      </c>
      <c r="L280" s="7" t="inlineStr">
        <is>
          <t>Follows the class</t>
        </is>
      </c>
      <c r="M280" s="51" t="n">
        <v>0.78</v>
      </c>
      <c r="N280" s="7" t="inlineStr">
        <is>
          <t>Declared by the retailer</t>
        </is>
      </c>
      <c r="O280" s="54" t="n">
        <v>0.78</v>
      </c>
      <c r="P280" s="54" t="n">
        <v>0</v>
      </c>
      <c r="Q280" s="7" t="inlineStr">
        <is>
          <t>yes</t>
        </is>
      </c>
      <c r="R280" s="7" t="inlineStr">
        <is>
          <t>whole</t>
        </is>
      </c>
      <c r="S280" s="7" t="inlineStr">
        <is>
          <t>FG4</t>
        </is>
      </c>
      <c r="T280" s="7" t="n"/>
      <c r="U280" s="7" t="inlineStr">
        <is>
          <t>plant</t>
        </is>
      </c>
      <c r="V280" s="7" t="n"/>
      <c r="W280" s="7" t="n"/>
      <c r="X280" s="55" t="n">
        <v>1</v>
      </c>
      <c r="Y280" s="50" t="n">
        <v>1</v>
      </c>
      <c r="Z280" s="7" t="inlineStr">
        <is>
          <t>variable</t>
        </is>
      </c>
      <c r="AA280" s="19">
        <f>IF(ISBLANK(Welcome!D306),"",Welcome!D306)</f>
        <v/>
      </c>
      <c r="AB280" s="29">
        <f>IF(ISBLANK(Welcome!E306),"",Welcome!E306)</f>
        <v/>
      </c>
      <c r="AC280" s="29">
        <f>IF(N(AB280)&gt;0,N(AB280),N(AA280)*Y280)</f>
        <v/>
      </c>
      <c r="AD280" s="29">
        <f>IF(H280="yes",AC280,0)</f>
        <v/>
      </c>
      <c r="AE280" s="29">
        <f>AD280*N(M280)/100</f>
        <v/>
      </c>
      <c r="AF280" s="29">
        <f>AD280*N(O280)/100</f>
        <v/>
      </c>
      <c r="AG280" s="29">
        <f>AD280*N(P280)/100</f>
        <v/>
      </c>
      <c r="AH280" s="50">
        <f>IF(Q280="yes",AD280/1000,0)</f>
        <v/>
      </c>
      <c r="AI280" s="50">
        <f>IF(S280="FG2",AH280*X280,AH280)</f>
        <v/>
      </c>
    </row>
    <row r="281">
      <c r="A281" s="7" t="inlineStr">
        <is>
          <t>HM00366</t>
        </is>
      </c>
      <c r="B281" s="16" t="inlineStr">
        <is>
          <t>8712345151058</t>
        </is>
      </c>
      <c r="C281" s="7" t="inlineStr">
        <is>
          <t>LARGE EGGS 6PK TARROW</t>
        </is>
      </c>
      <c r="D281" s="7" t="inlineStr">
        <is>
          <t>Large eggs, 6pk</t>
        </is>
      </c>
      <c r="E281" s="7" t="inlineStr">
        <is>
          <t>Tarrow Farm</t>
        </is>
      </c>
      <c r="F281" s="7" t="inlineStr">
        <is>
          <t>Dairy &amp; Eggs</t>
        </is>
      </c>
      <c r="G281" s="7" t="inlineStr">
        <is>
          <t>Eggs</t>
        </is>
      </c>
      <c r="H281" s="7" t="inlineStr">
        <is>
          <t>yes</t>
        </is>
      </c>
      <c r="I281" s="7" t="inlineStr">
        <is>
          <t>Animal core</t>
        </is>
      </c>
      <c r="J281" s="7" t="inlineStr">
        <is>
          <t>Eggs</t>
        </is>
      </c>
      <c r="K281" s="7" t="inlineStr">
        <is>
          <t>B</t>
        </is>
      </c>
      <c r="L281" s="7" t="inlineStr">
        <is>
          <t>Follows the class</t>
        </is>
      </c>
      <c r="M281" s="51" t="n">
        <v>12.7</v>
      </c>
      <c r="N281" s="7" t="inlineStr">
        <is>
          <t>National food table (CIQUAL in France)</t>
        </is>
      </c>
      <c r="O281" s="54" t="n">
        <v>0</v>
      </c>
      <c r="P281" s="54" t="n">
        <v>12.7</v>
      </c>
      <c r="Q281" s="7" t="inlineStr">
        <is>
          <t>yes</t>
        </is>
      </c>
      <c r="R281" s="7" t="inlineStr">
        <is>
          <t>whole</t>
        </is>
      </c>
      <c r="S281" s="7" t="inlineStr">
        <is>
          <t>FG1</t>
        </is>
      </c>
      <c r="T281" s="7" t="inlineStr">
        <is>
          <t>Eggs</t>
        </is>
      </c>
      <c r="U281" s="7" t="inlineStr">
        <is>
          <t>animal</t>
        </is>
      </c>
      <c r="V281" s="7" t="n"/>
      <c r="W281" s="7" t="n"/>
      <c r="X281" s="55" t="n">
        <v>1</v>
      </c>
      <c r="Y281" s="50" t="n">
        <v>0.36</v>
      </c>
      <c r="Z281" s="7" t="inlineStr">
        <is>
          <t>declared</t>
        </is>
      </c>
      <c r="AA281" s="19">
        <f>IF(ISBLANK(Welcome!D307),"",Welcome!D307)</f>
        <v/>
      </c>
      <c r="AB281" s="29">
        <f>IF(ISBLANK(Welcome!E307),"",Welcome!E307)</f>
        <v/>
      </c>
      <c r="AC281" s="29">
        <f>IF(N(AB281)&gt;0,N(AB281),N(AA281)*Y281)</f>
        <v/>
      </c>
      <c r="AD281" s="29">
        <f>IF(H281="yes",AC281,0)</f>
        <v/>
      </c>
      <c r="AE281" s="29">
        <f>AD281*N(M281)/100</f>
        <v/>
      </c>
      <c r="AF281" s="29">
        <f>AD281*N(O281)/100</f>
        <v/>
      </c>
      <c r="AG281" s="29">
        <f>AD281*N(P281)/100</f>
        <v/>
      </c>
      <c r="AH281" s="50">
        <f>IF(Q281="yes",AD281/1000,0)</f>
        <v/>
      </c>
      <c r="AI281" s="50">
        <f>IF(S281="FG2",AH281*X281,AH281)</f>
        <v/>
      </c>
    </row>
    <row r="282">
      <c r="A282" s="7" t="inlineStr">
        <is>
          <t>HM00602</t>
        </is>
      </c>
      <c r="B282" s="16" t="inlineStr">
        <is>
          <t>4012345346947</t>
        </is>
      </c>
      <c r="C282" s="7" t="inlineStr">
        <is>
          <t>HM SWEETCORN 750G</t>
        </is>
      </c>
      <c r="D282" s="7" t="inlineStr">
        <is>
          <t>Sweetcorn, 750g</t>
        </is>
      </c>
      <c r="E282" s="7" t="inlineStr">
        <is>
          <t>Harbour Market</t>
        </is>
      </c>
      <c r="F282" s="7" t="inlineStr">
        <is>
          <t>Frozen</t>
        </is>
      </c>
      <c r="G282" s="7" t="inlineStr">
        <is>
          <t>Frozen Vegetables</t>
        </is>
      </c>
      <c r="H282" s="7" t="inlineStr">
        <is>
          <t>yes</t>
        </is>
      </c>
      <c r="I282" s="7" t="inlineStr">
        <is>
          <t>Plant-based non-core</t>
        </is>
      </c>
      <c r="J282" s="7" t="inlineStr">
        <is>
          <t>Fruit and vegetables</t>
        </is>
      </c>
      <c r="K282" s="7" t="inlineStr">
        <is>
          <t>A</t>
        </is>
      </c>
      <c r="L282" s="7" t="inlineStr">
        <is>
          <t>All ingredients on one side</t>
        </is>
      </c>
      <c r="M282" s="51" t="n">
        <v>2.9</v>
      </c>
      <c r="N282" s="7" t="inlineStr">
        <is>
          <t>Declared by the retailer</t>
        </is>
      </c>
      <c r="O282" s="54" t="n">
        <v>2.9</v>
      </c>
      <c r="P282" s="54" t="n">
        <v>0</v>
      </c>
      <c r="Q282" s="7" t="inlineStr">
        <is>
          <t>yes</t>
        </is>
      </c>
      <c r="R282" s="7" t="inlineStr">
        <is>
          <t>whole</t>
        </is>
      </c>
      <c r="S282" s="7" t="inlineStr">
        <is>
          <t>FG4</t>
        </is>
      </c>
      <c r="T282" s="7" t="n"/>
      <c r="U282" s="7" t="inlineStr">
        <is>
          <t>plant</t>
        </is>
      </c>
      <c r="V282" s="7" t="n"/>
      <c r="W282" s="7" t="n"/>
      <c r="X282" s="55" t="n">
        <v>1</v>
      </c>
      <c r="Y282" s="50" t="n">
        <v>0.75</v>
      </c>
      <c r="Z282" s="7" t="inlineStr">
        <is>
          <t>declared</t>
        </is>
      </c>
      <c r="AA282" s="19">
        <f>IF(ISBLANK(Welcome!D308),"",Welcome!D308)</f>
        <v/>
      </c>
      <c r="AB282" s="29">
        <f>IF(ISBLANK(Welcome!E308),"",Welcome!E308)</f>
        <v/>
      </c>
      <c r="AC282" s="29">
        <f>IF(N(AB282)&gt;0,N(AB282),N(AA282)*Y282)</f>
        <v/>
      </c>
      <c r="AD282" s="29">
        <f>IF(H282="yes",AC282,0)</f>
        <v/>
      </c>
      <c r="AE282" s="29">
        <f>AD282*N(M282)/100</f>
        <v/>
      </c>
      <c r="AF282" s="29">
        <f>AD282*N(O282)/100</f>
        <v/>
      </c>
      <c r="AG282" s="29">
        <f>AD282*N(P282)/100</f>
        <v/>
      </c>
      <c r="AH282" s="50">
        <f>IF(Q282="yes",AD282/1000,0)</f>
        <v/>
      </c>
      <c r="AI282" s="50">
        <f>IF(S282="FG2",AH282*X282,AH282)</f>
        <v/>
      </c>
    </row>
    <row r="283">
      <c r="A283" s="7" t="inlineStr">
        <is>
          <t>HM00499</t>
        </is>
      </c>
      <c r="B283" s="16" t="inlineStr">
        <is>
          <t>4012345375947</t>
        </is>
      </c>
      <c r="C283" s="7" t="inlineStr">
        <is>
          <t>PENROCK TORTILLA CHIPS 200G</t>
        </is>
      </c>
      <c r="D283" s="7" t="inlineStr">
        <is>
          <t>Tortilla chips, 200g</t>
        </is>
      </c>
      <c r="E283" s="7" t="inlineStr">
        <is>
          <t>Penrock</t>
        </is>
      </c>
      <c r="F283" s="7" t="inlineStr">
        <is>
          <t>Breakfast &amp; Snacks</t>
        </is>
      </c>
      <c r="G283" s="7" t="inlineStr">
        <is>
          <t>Crisps</t>
        </is>
      </c>
      <c r="H283" s="7" t="inlineStr">
        <is>
          <t>yes</t>
        </is>
      </c>
      <c r="I283" s="7" t="inlineStr">
        <is>
          <t>Plant-based non-core</t>
        </is>
      </c>
      <c r="J283" s="7" t="inlineStr">
        <is>
          <t>Discretionary products</t>
        </is>
      </c>
      <c r="K283" s="7" t="inlineStr">
        <is>
          <t>B</t>
        </is>
      </c>
      <c r="L283" s="7" t="inlineStr">
        <is>
          <t>Follows the class</t>
        </is>
      </c>
      <c r="M283" s="51" t="n">
        <v>6.8</v>
      </c>
      <c r="N283" s="7" t="inlineStr">
        <is>
          <t>Declared by the retailer</t>
        </is>
      </c>
      <c r="O283" s="54" t="n">
        <v>6.8</v>
      </c>
      <c r="P283" s="54" t="n">
        <v>0</v>
      </c>
      <c r="Q283" s="7" t="inlineStr">
        <is>
          <t>yes</t>
        </is>
      </c>
      <c r="R283" s="7" t="inlineStr">
        <is>
          <t>whole</t>
        </is>
      </c>
      <c r="S283" s="7" t="inlineStr">
        <is>
          <t>FG7</t>
        </is>
      </c>
      <c r="T283" s="7" t="n"/>
      <c r="U283" s="7" t="inlineStr">
        <is>
          <t>plant</t>
        </is>
      </c>
      <c r="V283" s="7" t="n"/>
      <c r="W283" s="7" t="n"/>
      <c r="X283" s="55" t="n">
        <v>1</v>
      </c>
      <c r="Y283" s="50" t="n">
        <v>0.2</v>
      </c>
      <c r="Z283" s="7" t="inlineStr">
        <is>
          <t>declared</t>
        </is>
      </c>
      <c r="AA283" s="19">
        <f>IF(ISBLANK(Welcome!D309),"",Welcome!D309)</f>
        <v/>
      </c>
      <c r="AB283" s="29">
        <f>IF(ISBLANK(Welcome!E309),"",Welcome!E309)</f>
        <v/>
      </c>
      <c r="AC283" s="29">
        <f>IF(N(AB283)&gt;0,N(AB283),N(AA283)*Y283)</f>
        <v/>
      </c>
      <c r="AD283" s="29">
        <f>IF(H283="yes",AC283,0)</f>
        <v/>
      </c>
      <c r="AE283" s="29">
        <f>AD283*N(M283)/100</f>
        <v/>
      </c>
      <c r="AF283" s="29">
        <f>AD283*N(O283)/100</f>
        <v/>
      </c>
      <c r="AG283" s="29">
        <f>AD283*N(P283)/100</f>
        <v/>
      </c>
      <c r="AH283" s="50">
        <f>IF(Q283="yes",AD283/1000,0)</f>
        <v/>
      </c>
      <c r="AI283" s="50">
        <f>IF(S283="FG2",AH283*X283,AH283)</f>
        <v/>
      </c>
    </row>
    <row r="284">
      <c r="A284" s="7" t="inlineStr">
        <is>
          <t>HM00399</t>
        </is>
      </c>
      <c r="B284" s="16" t="inlineStr">
        <is>
          <t>5012345408040</t>
        </is>
      </c>
      <c r="C284" s="7" t="inlineStr">
        <is>
          <t>KESTREL RAW KING PRAWNS 225G</t>
        </is>
      </c>
      <c r="D284" s="7" t="inlineStr">
        <is>
          <t>Raw king prawns, 225g</t>
        </is>
      </c>
      <c r="E284" s="7" t="inlineStr">
        <is>
          <t>Kestrel Bay</t>
        </is>
      </c>
      <c r="F284" s="7" t="inlineStr">
        <is>
          <t>Fish &amp; Seafood</t>
        </is>
      </c>
      <c r="G284" s="7" t="inlineStr">
        <is>
          <t>Shellfish</t>
        </is>
      </c>
      <c r="H284" s="7" t="inlineStr">
        <is>
          <t>yes</t>
        </is>
      </c>
      <c r="I284" s="7" t="inlineStr">
        <is>
          <t>Animal core</t>
        </is>
      </c>
      <c r="J284" s="7" t="inlineStr">
        <is>
          <t>Fish and seafood</t>
        </is>
      </c>
      <c r="K284" s="7" t="inlineStr">
        <is>
          <t>B</t>
        </is>
      </c>
      <c r="L284" s="7" t="inlineStr">
        <is>
          <t>Follows the class</t>
        </is>
      </c>
      <c r="M284" s="51" t="n">
        <v>17.9</v>
      </c>
      <c r="N284" s="7" t="inlineStr">
        <is>
          <t>National food table (CIQUAL in France)</t>
        </is>
      </c>
      <c r="O284" s="54" t="n">
        <v>0</v>
      </c>
      <c r="P284" s="54" t="n">
        <v>17.9</v>
      </c>
      <c r="Q284" s="7" t="inlineStr">
        <is>
          <t>yes</t>
        </is>
      </c>
      <c r="R284" s="7" t="inlineStr">
        <is>
          <t>whole</t>
        </is>
      </c>
      <c r="S284" s="7" t="inlineStr">
        <is>
          <t>FG1</t>
        </is>
      </c>
      <c r="T284" s="7" t="inlineStr">
        <is>
          <t>Fish &amp; shellfish</t>
        </is>
      </c>
      <c r="U284" s="7" t="inlineStr">
        <is>
          <t>animal</t>
        </is>
      </c>
      <c r="V284" s="7" t="n"/>
      <c r="W284" s="7" t="n"/>
      <c r="X284" s="55" t="n">
        <v>1</v>
      </c>
      <c r="Y284" s="50" t="n">
        <v>0.225</v>
      </c>
      <c r="Z284" s="7" t="inlineStr">
        <is>
          <t>declared</t>
        </is>
      </c>
      <c r="AA284" s="19">
        <f>IF(ISBLANK(Welcome!D310),"",Welcome!D310)</f>
        <v/>
      </c>
      <c r="AB284" s="29">
        <f>IF(ISBLANK(Welcome!E310),"",Welcome!E310)</f>
        <v/>
      </c>
      <c r="AC284" s="29">
        <f>IF(N(AB284)&gt;0,N(AB284),N(AA284)*Y284)</f>
        <v/>
      </c>
      <c r="AD284" s="29">
        <f>IF(H284="yes",AC284,0)</f>
        <v/>
      </c>
      <c r="AE284" s="29">
        <f>AD284*N(M284)/100</f>
        <v/>
      </c>
      <c r="AF284" s="29">
        <f>AD284*N(O284)/100</f>
        <v/>
      </c>
      <c r="AG284" s="29">
        <f>AD284*N(P284)/100</f>
        <v/>
      </c>
      <c r="AH284" s="50">
        <f>IF(Q284="yes",AD284/1000,0)</f>
        <v/>
      </c>
      <c r="AI284" s="50">
        <f>IF(S284="FG2",AH284*X284,AH284)</f>
        <v/>
      </c>
    </row>
    <row r="285">
      <c r="A285" s="7" t="inlineStr">
        <is>
          <t>HM00442</t>
        </is>
      </c>
      <c r="B285" s="16" t="inlineStr">
        <is>
          <t>4012345217834</t>
        </is>
      </c>
      <c r="C285" s="7" t="inlineStr">
        <is>
          <t>HM CARROTS 500G</t>
        </is>
      </c>
      <c r="D285" s="7" t="inlineStr">
        <is>
          <t>Carrots, 500g</t>
        </is>
      </c>
      <c r="E285" s="7" t="inlineStr">
        <is>
          <t>Harbour Market</t>
        </is>
      </c>
      <c r="F285" s="7" t="inlineStr">
        <is>
          <t>Fruit &amp; Vegetables</t>
        </is>
      </c>
      <c r="G285" s="7" t="inlineStr">
        <is>
          <t>Vegetables</t>
        </is>
      </c>
      <c r="H285" s="7" t="inlineStr">
        <is>
          <t>yes</t>
        </is>
      </c>
      <c r="I285" s="7" t="inlineStr">
        <is>
          <t>Plant-based non-core</t>
        </is>
      </c>
      <c r="J285" s="7" t="inlineStr">
        <is>
          <t>Fruit and vegetables</t>
        </is>
      </c>
      <c r="K285" s="7" t="inlineStr">
        <is>
          <t>B</t>
        </is>
      </c>
      <c r="L285" s="7" t="inlineStr">
        <is>
          <t>Follows the class</t>
        </is>
      </c>
      <c r="M285" s="51" t="n">
        <v>0.62</v>
      </c>
      <c r="N285" s="7" t="inlineStr">
        <is>
          <t>Declared by the retailer</t>
        </is>
      </c>
      <c r="O285" s="54" t="n">
        <v>0.62</v>
      </c>
      <c r="P285" s="54" t="n">
        <v>0</v>
      </c>
      <c r="Q285" s="7" t="inlineStr">
        <is>
          <t>yes</t>
        </is>
      </c>
      <c r="R285" s="7" t="inlineStr">
        <is>
          <t>whole</t>
        </is>
      </c>
      <c r="S285" s="7" t="inlineStr">
        <is>
          <t>FG4</t>
        </is>
      </c>
      <c r="T285" s="7" t="n"/>
      <c r="U285" s="7" t="inlineStr">
        <is>
          <t>plant</t>
        </is>
      </c>
      <c r="V285" s="7" t="n"/>
      <c r="W285" s="7" t="n"/>
      <c r="X285" s="55" t="n">
        <v>1</v>
      </c>
      <c r="Y285" s="50" t="n">
        <v>0.5</v>
      </c>
      <c r="Z285" s="7" t="inlineStr">
        <is>
          <t>declared</t>
        </is>
      </c>
      <c r="AA285" s="19">
        <f>IF(ISBLANK(Welcome!D311),"",Welcome!D311)</f>
        <v/>
      </c>
      <c r="AB285" s="29">
        <f>IF(ISBLANK(Welcome!E311),"",Welcome!E311)</f>
        <v/>
      </c>
      <c r="AC285" s="29">
        <f>IF(N(AB285)&gt;0,N(AB285),N(AA285)*Y285)</f>
        <v/>
      </c>
      <c r="AD285" s="29">
        <f>IF(H285="yes",AC285,0)</f>
        <v/>
      </c>
      <c r="AE285" s="29">
        <f>AD285*N(M285)/100</f>
        <v/>
      </c>
      <c r="AF285" s="29">
        <f>AD285*N(O285)/100</f>
        <v/>
      </c>
      <c r="AG285" s="29">
        <f>AD285*N(P285)/100</f>
        <v/>
      </c>
      <c r="AH285" s="50">
        <f>IF(Q285="yes",AD285/1000,0)</f>
        <v/>
      </c>
      <c r="AI285" s="50">
        <f>IF(S285="FG2",AH285*X285,AH285)</f>
        <v/>
      </c>
    </row>
    <row r="286">
      <c r="A286" s="7" t="inlineStr">
        <is>
          <t>HM00418</t>
        </is>
      </c>
      <c r="B286" s="16" t="inlineStr">
        <is>
          <t>8712345939659</t>
        </is>
      </c>
      <c r="C286" s="7" t="inlineStr">
        <is>
          <t>HM FREE RANGE EGGS 15PK</t>
        </is>
      </c>
      <c r="D286" s="7" t="inlineStr">
        <is>
          <t>Free-range eggs, 15pk</t>
        </is>
      </c>
      <c r="E286" s="7" t="inlineStr">
        <is>
          <t>Harbour Market</t>
        </is>
      </c>
      <c r="F286" s="7" t="inlineStr">
        <is>
          <t>Dairy &amp; Eggs</t>
        </is>
      </c>
      <c r="G286" s="7" t="inlineStr">
        <is>
          <t>Eggs</t>
        </is>
      </c>
      <c r="H286" s="7" t="inlineStr">
        <is>
          <t>yes</t>
        </is>
      </c>
      <c r="I286" s="7" t="inlineStr">
        <is>
          <t>Animal core</t>
        </is>
      </c>
      <c r="J286" s="7" t="inlineStr">
        <is>
          <t>Eggs</t>
        </is>
      </c>
      <c r="K286" s="7" t="inlineStr">
        <is>
          <t>B</t>
        </is>
      </c>
      <c r="L286" s="7" t="inlineStr">
        <is>
          <t>Follows the class</t>
        </is>
      </c>
      <c r="M286" s="51" t="n">
        <v>12.9</v>
      </c>
      <c r="N286" s="7" t="inlineStr">
        <is>
          <t>Declared by the retailer</t>
        </is>
      </c>
      <c r="O286" s="54" t="n">
        <v>0</v>
      </c>
      <c r="P286" s="54" t="n">
        <v>12.9</v>
      </c>
      <c r="Q286" s="7" t="inlineStr">
        <is>
          <t>yes</t>
        </is>
      </c>
      <c r="R286" s="7" t="inlineStr">
        <is>
          <t>whole</t>
        </is>
      </c>
      <c r="S286" s="7" t="inlineStr">
        <is>
          <t>FG1</t>
        </is>
      </c>
      <c r="T286" s="7" t="inlineStr">
        <is>
          <t>Eggs</t>
        </is>
      </c>
      <c r="U286" s="7" t="inlineStr">
        <is>
          <t>animal</t>
        </is>
      </c>
      <c r="V286" s="7" t="n"/>
      <c r="W286" s="7" t="n"/>
      <c r="X286" s="55" t="n">
        <v>1</v>
      </c>
      <c r="Y286" s="50" t="n">
        <v>0.9</v>
      </c>
      <c r="Z286" s="7" t="inlineStr">
        <is>
          <t>declared</t>
        </is>
      </c>
      <c r="AA286" s="19">
        <f>IF(ISBLANK(Welcome!D312),"",Welcome!D312)</f>
        <v/>
      </c>
      <c r="AB286" s="29">
        <f>IF(ISBLANK(Welcome!E312),"",Welcome!E312)</f>
        <v/>
      </c>
      <c r="AC286" s="29">
        <f>IF(N(AB286)&gt;0,N(AB286),N(AA286)*Y286)</f>
        <v/>
      </c>
      <c r="AD286" s="29">
        <f>IF(H286="yes",AC286,0)</f>
        <v/>
      </c>
      <c r="AE286" s="29">
        <f>AD286*N(M286)/100</f>
        <v/>
      </c>
      <c r="AF286" s="29">
        <f>AD286*N(O286)/100</f>
        <v/>
      </c>
      <c r="AG286" s="29">
        <f>AD286*N(P286)/100</f>
        <v/>
      </c>
      <c r="AH286" s="50">
        <f>IF(Q286="yes",AD286/1000,0)</f>
        <v/>
      </c>
      <c r="AI286" s="50">
        <f>IF(S286="FG2",AH286*X286,AH286)</f>
        <v/>
      </c>
    </row>
    <row r="287">
      <c r="A287" s="7" t="inlineStr">
        <is>
          <t>HM00357</t>
        </is>
      </c>
      <c r="B287" s="16" t="inlineStr">
        <is>
          <t>4012345068481</t>
        </is>
      </c>
      <c r="C287" s="7" t="inlineStr">
        <is>
          <t>HM STRAWBERRIES 6PK</t>
        </is>
      </c>
      <c r="D287" s="7" t="inlineStr">
        <is>
          <t>Strawberries, 6pk</t>
        </is>
      </c>
      <c r="E287" s="7" t="inlineStr">
        <is>
          <t>Harbour Market</t>
        </is>
      </c>
      <c r="F287" s="7" t="inlineStr">
        <is>
          <t>Fruit &amp; Vegetables</t>
        </is>
      </c>
      <c r="G287" s="7" t="inlineStr">
        <is>
          <t>Fruit</t>
        </is>
      </c>
      <c r="H287" s="7" t="inlineStr">
        <is>
          <t>yes</t>
        </is>
      </c>
      <c r="I287" s="7" t="inlineStr">
        <is>
          <t>Plant-based non-core</t>
        </is>
      </c>
      <c r="J287" s="7" t="inlineStr">
        <is>
          <t>Fruit and vegetables</t>
        </is>
      </c>
      <c r="K287" s="7" t="inlineStr">
        <is>
          <t>B</t>
        </is>
      </c>
      <c r="L287" s="7" t="inlineStr">
        <is>
          <t>Follows the class</t>
        </is>
      </c>
      <c r="M287" s="51" t="n">
        <v>0.68</v>
      </c>
      <c r="N287" s="7" t="inlineStr">
        <is>
          <t>Median of the family</t>
        </is>
      </c>
      <c r="O287" s="54" t="n">
        <v>0.68</v>
      </c>
      <c r="P287" s="54" t="n">
        <v>0</v>
      </c>
      <c r="Q287" s="7" t="inlineStr">
        <is>
          <t>yes</t>
        </is>
      </c>
      <c r="R287" s="7" t="inlineStr">
        <is>
          <t>whole</t>
        </is>
      </c>
      <c r="S287" s="7" t="inlineStr">
        <is>
          <t>FG4</t>
        </is>
      </c>
      <c r="T287" s="7" t="n"/>
      <c r="U287" s="7" t="inlineStr">
        <is>
          <t>plant</t>
        </is>
      </c>
      <c r="V287" s="7" t="n"/>
      <c r="W287" s="7" t="n"/>
      <c r="X287" s="55" t="n">
        <v>1</v>
      </c>
      <c r="Y287" s="50" t="n">
        <v>0.9</v>
      </c>
      <c r="Z287" s="7" t="inlineStr">
        <is>
          <t>declared</t>
        </is>
      </c>
      <c r="AA287" s="19">
        <f>IF(ISBLANK(Welcome!D313),"",Welcome!D313)</f>
        <v/>
      </c>
      <c r="AB287" s="29">
        <f>IF(ISBLANK(Welcome!E313),"",Welcome!E313)</f>
        <v/>
      </c>
      <c r="AC287" s="29">
        <f>IF(N(AB287)&gt;0,N(AB287),N(AA287)*Y287)</f>
        <v/>
      </c>
      <c r="AD287" s="29">
        <f>IF(H287="yes",AC287,0)</f>
        <v/>
      </c>
      <c r="AE287" s="29">
        <f>AD287*N(M287)/100</f>
        <v/>
      </c>
      <c r="AF287" s="29">
        <f>AD287*N(O287)/100</f>
        <v/>
      </c>
      <c r="AG287" s="29">
        <f>AD287*N(P287)/100</f>
        <v/>
      </c>
      <c r="AH287" s="50">
        <f>IF(Q287="yes",AD287/1000,0)</f>
        <v/>
      </c>
      <c r="AI287" s="50">
        <f>IF(S287="FG2",AH287*X287,AH287)</f>
        <v/>
      </c>
    </row>
    <row r="288">
      <c r="A288" s="7" t="inlineStr">
        <is>
          <t>HM00764</t>
        </is>
      </c>
      <c r="B288" s="16" t="inlineStr">
        <is>
          <t>5012345804736</t>
        </is>
      </c>
      <c r="C288" s="7" t="inlineStr">
        <is>
          <t>SMKD HAM 8SL 200G TARROW</t>
        </is>
      </c>
      <c r="D288" s="7" t="inlineStr">
        <is>
          <t>Smoked ham, 8sl 200g</t>
        </is>
      </c>
      <c r="E288" s="7" t="inlineStr">
        <is>
          <t>Tarrow Farm</t>
        </is>
      </c>
      <c r="F288" s="7" t="inlineStr">
        <is>
          <t>Deli</t>
        </is>
      </c>
      <c r="G288" s="7" t="inlineStr">
        <is>
          <t>Cooked Meats</t>
        </is>
      </c>
      <c r="H288" s="7" t="inlineStr">
        <is>
          <t>yes</t>
        </is>
      </c>
      <c r="I288" s="7" t="inlineStr">
        <is>
          <t>Animal core</t>
        </is>
      </c>
      <c r="J288" s="7" t="inlineStr">
        <is>
          <t>Dishes and processed products</t>
        </is>
      </c>
      <c r="K288" s="7" t="inlineStr">
        <is>
          <t>A</t>
        </is>
      </c>
      <c r="L288" s="7" t="inlineStr">
        <is>
          <t>All ingredients on one side</t>
        </is>
      </c>
      <c r="M288" s="51" t="n">
        <v>19</v>
      </c>
      <c r="N288" s="7" t="inlineStr">
        <is>
          <t>Declared by the retailer</t>
        </is>
      </c>
      <c r="O288" s="54" t="n">
        <v>0</v>
      </c>
      <c r="P288" s="54" t="n">
        <v>19</v>
      </c>
      <c r="Q288" s="7" t="inlineStr">
        <is>
          <t>yes</t>
        </is>
      </c>
      <c r="R288" s="7" t="inlineStr">
        <is>
          <t>whole</t>
        </is>
      </c>
      <c r="S288" s="7" t="inlineStr">
        <is>
          <t>FG1</t>
        </is>
      </c>
      <c r="T288" s="7" t="inlineStr">
        <is>
          <t>Red meat</t>
        </is>
      </c>
      <c r="U288" s="7" t="inlineStr">
        <is>
          <t>animal</t>
        </is>
      </c>
      <c r="V288" s="7" t="n"/>
      <c r="W288" s="7" t="n"/>
      <c r="X288" s="55" t="n">
        <v>1</v>
      </c>
      <c r="Y288" s="50" t="n">
        <v>0.2</v>
      </c>
      <c r="Z288" s="7" t="inlineStr">
        <is>
          <t>declared</t>
        </is>
      </c>
      <c r="AA288" s="19">
        <f>IF(ISBLANK(Welcome!D314),"",Welcome!D314)</f>
        <v/>
      </c>
      <c r="AB288" s="29">
        <f>IF(ISBLANK(Welcome!E314),"",Welcome!E314)</f>
        <v/>
      </c>
      <c r="AC288" s="29">
        <f>IF(N(AB288)&gt;0,N(AB288),N(AA288)*Y288)</f>
        <v/>
      </c>
      <c r="AD288" s="29">
        <f>IF(H288="yes",AC288,0)</f>
        <v/>
      </c>
      <c r="AE288" s="29">
        <f>AD288*N(M288)/100</f>
        <v/>
      </c>
      <c r="AF288" s="29">
        <f>AD288*N(O288)/100</f>
        <v/>
      </c>
      <c r="AG288" s="29">
        <f>AD288*N(P288)/100</f>
        <v/>
      </c>
      <c r="AH288" s="50">
        <f>IF(Q288="yes",AD288/1000,0)</f>
        <v/>
      </c>
      <c r="AI288" s="50">
        <f>IF(S288="FG2",AH288*X288,AH288)</f>
        <v/>
      </c>
    </row>
    <row r="289">
      <c r="A289" s="7" t="inlineStr">
        <is>
          <t>HM00097</t>
        </is>
      </c>
      <c r="B289" s="16" t="inlineStr">
        <is>
          <t>8712345157722</t>
        </is>
      </c>
      <c r="C289" s="7" t="inlineStr">
        <is>
          <t>TARROW CHKN DRUMSTICKS 1KG</t>
        </is>
      </c>
      <c r="D289" s="7" t="inlineStr">
        <is>
          <t>Chicken drumsticks, 1kg</t>
        </is>
      </c>
      <c r="E289" s="7" t="inlineStr">
        <is>
          <t>Tarrow Farm</t>
        </is>
      </c>
      <c r="F289" s="7" t="inlineStr">
        <is>
          <t>Fresh Meat &amp; Poultry</t>
        </is>
      </c>
      <c r="G289" s="7" t="inlineStr">
        <is>
          <t>Poultry</t>
        </is>
      </c>
      <c r="H289" s="7" t="inlineStr">
        <is>
          <t>yes</t>
        </is>
      </c>
      <c r="I289" s="7" t="inlineStr">
        <is>
          <t>Animal core</t>
        </is>
      </c>
      <c r="J289" s="7" t="inlineStr">
        <is>
          <t>Poultry</t>
        </is>
      </c>
      <c r="K289" s="7" t="inlineStr">
        <is>
          <t>A</t>
        </is>
      </c>
      <c r="L289" s="7" t="inlineStr">
        <is>
          <t>All ingredients on one side</t>
        </is>
      </c>
      <c r="M289" s="51" t="n">
        <v>19.8</v>
      </c>
      <c r="N289" s="7" t="inlineStr">
        <is>
          <t>Altera reference base</t>
        </is>
      </c>
      <c r="O289" s="54" t="n">
        <v>0</v>
      </c>
      <c r="P289" s="54" t="n">
        <v>19.8</v>
      </c>
      <c r="Q289" s="7" t="inlineStr">
        <is>
          <t>yes</t>
        </is>
      </c>
      <c r="R289" s="7" t="inlineStr">
        <is>
          <t>whole</t>
        </is>
      </c>
      <c r="S289" s="7" t="inlineStr">
        <is>
          <t>FG1</t>
        </is>
      </c>
      <c r="T289" s="7" t="inlineStr">
        <is>
          <t>Poultry</t>
        </is>
      </c>
      <c r="U289" s="7" t="inlineStr">
        <is>
          <t>animal</t>
        </is>
      </c>
      <c r="V289" s="7" t="n"/>
      <c r="W289" s="7" t="n"/>
      <c r="X289" s="55" t="n">
        <v>1</v>
      </c>
      <c r="Y289" s="50" t="n">
        <v>1</v>
      </c>
      <c r="Z289" s="7" t="inlineStr">
        <is>
          <t>declared</t>
        </is>
      </c>
      <c r="AA289" s="19">
        <f>IF(ISBLANK(Welcome!D315),"",Welcome!D315)</f>
        <v/>
      </c>
      <c r="AB289" s="29">
        <f>IF(ISBLANK(Welcome!E315),"",Welcome!E315)</f>
        <v/>
      </c>
      <c r="AC289" s="29">
        <f>IF(N(AB289)&gt;0,N(AB289),N(AA289)*Y289)</f>
        <v/>
      </c>
      <c r="AD289" s="29">
        <f>IF(H289="yes",AC289,0)</f>
        <v/>
      </c>
      <c r="AE289" s="29">
        <f>AD289*N(M289)/100</f>
        <v/>
      </c>
      <c r="AF289" s="29">
        <f>AD289*N(O289)/100</f>
        <v/>
      </c>
      <c r="AG289" s="29">
        <f>AD289*N(P289)/100</f>
        <v/>
      </c>
      <c r="AH289" s="50">
        <f>IF(Q289="yes",AD289/1000,0)</f>
        <v/>
      </c>
      <c r="AI289" s="50">
        <f>IF(S289="FG2",AH289*X289,AH289)</f>
        <v/>
      </c>
    </row>
    <row r="290">
      <c r="A290" s="7" t="inlineStr">
        <is>
          <t>HM00280</t>
        </is>
      </c>
      <c r="B290" s="16" t="inlineStr">
        <is>
          <t>4012345051568</t>
        </is>
      </c>
      <c r="C290" s="7" t="inlineStr">
        <is>
          <t>HM FUSILLI 1KG</t>
        </is>
      </c>
      <c r="D290" s="7" t="inlineStr">
        <is>
          <t>Fusilli, 1kg</t>
        </is>
      </c>
      <c r="E290" s="7" t="inlineStr">
        <is>
          <t>Harbour Market</t>
        </is>
      </c>
      <c r="F290" s="7" t="inlineStr">
        <is>
          <t>Grocery</t>
        </is>
      </c>
      <c r="G290" s="7" t="inlineStr">
        <is>
          <t>Pasta</t>
        </is>
      </c>
      <c r="H290" s="7" t="inlineStr">
        <is>
          <t>yes</t>
        </is>
      </c>
      <c r="I290" s="7" t="inlineStr">
        <is>
          <t>Plant-based non-core</t>
        </is>
      </c>
      <c r="J290" s="7" t="inlineStr">
        <is>
          <t>Refined grains</t>
        </is>
      </c>
      <c r="K290" s="7" t="inlineStr">
        <is>
          <t>A</t>
        </is>
      </c>
      <c r="L290" s="7" t="inlineStr">
        <is>
          <t>All ingredients on one side</t>
        </is>
      </c>
      <c r="M290" s="51" t="n">
        <v>13.1</v>
      </c>
      <c r="N290" s="7" t="inlineStr">
        <is>
          <t>Declared by the retailer</t>
        </is>
      </c>
      <c r="O290" s="54" t="n">
        <v>13.1</v>
      </c>
      <c r="P290" s="54" t="n">
        <v>0</v>
      </c>
      <c r="Q290" s="7" t="inlineStr">
        <is>
          <t>yes</t>
        </is>
      </c>
      <c r="R290" s="7" t="inlineStr">
        <is>
          <t>whole</t>
        </is>
      </c>
      <c r="S290" s="7" t="inlineStr">
        <is>
          <t>FG5</t>
        </is>
      </c>
      <c r="T290" s="7" t="inlineStr">
        <is>
          <t>Refined grain</t>
        </is>
      </c>
      <c r="U290" s="7" t="inlineStr">
        <is>
          <t>plant</t>
        </is>
      </c>
      <c r="V290" s="7" t="n"/>
      <c r="W290" s="7" t="n"/>
      <c r="X290" s="55" t="n">
        <v>1</v>
      </c>
      <c r="Y290" s="50" t="n">
        <v>1</v>
      </c>
      <c r="Z290" s="7" t="inlineStr">
        <is>
          <t>label</t>
        </is>
      </c>
      <c r="AA290" s="19">
        <f>IF(ISBLANK(Welcome!D316),"",Welcome!D316)</f>
        <v/>
      </c>
      <c r="AB290" s="29">
        <f>IF(ISBLANK(Welcome!E316),"",Welcome!E316)</f>
        <v/>
      </c>
      <c r="AC290" s="29">
        <f>IF(N(AB290)&gt;0,N(AB290),N(AA290)*Y290)</f>
        <v/>
      </c>
      <c r="AD290" s="29">
        <f>IF(H290="yes",AC290,0)</f>
        <v/>
      </c>
      <c r="AE290" s="29">
        <f>AD290*N(M290)/100</f>
        <v/>
      </c>
      <c r="AF290" s="29">
        <f>AD290*N(O290)/100</f>
        <v/>
      </c>
      <c r="AG290" s="29">
        <f>AD290*N(P290)/100</f>
        <v/>
      </c>
      <c r="AH290" s="50">
        <f>IF(Q290="yes",AD290/1000,0)</f>
        <v/>
      </c>
      <c r="AI290" s="50">
        <f>IF(S290="FG2",AH290*X290,AH290)</f>
        <v/>
      </c>
    </row>
    <row r="291">
      <c r="A291" s="7" t="inlineStr">
        <is>
          <t>HM00427</t>
        </is>
      </c>
      <c r="B291" s="16" t="inlineStr">
        <is>
          <t>8712345720889</t>
        </is>
      </c>
      <c r="C291" s="7" t="inlineStr">
        <is>
          <t>BF DICED STEW 300G TARROW</t>
        </is>
      </c>
      <c r="D291" s="7" t="inlineStr">
        <is>
          <t>Diced beef for stewing, 300g</t>
        </is>
      </c>
      <c r="E291" s="7" t="inlineStr">
        <is>
          <t>Tarrow Farm</t>
        </is>
      </c>
      <c r="F291" s="7" t="inlineStr">
        <is>
          <t>Fresh Meat &amp; Poultry</t>
        </is>
      </c>
      <c r="G291" s="7" t="inlineStr">
        <is>
          <t>Beef</t>
        </is>
      </c>
      <c r="H291" s="7" t="inlineStr">
        <is>
          <t>yes</t>
        </is>
      </c>
      <c r="I291" s="7" t="inlineStr">
        <is>
          <t>Animal core</t>
        </is>
      </c>
      <c r="J291" s="7" t="inlineStr">
        <is>
          <t>Red meat</t>
        </is>
      </c>
      <c r="K291" s="7" t="inlineStr">
        <is>
          <t>B</t>
        </is>
      </c>
      <c r="L291" s="7" t="inlineStr">
        <is>
          <t>Follows the class</t>
        </is>
      </c>
      <c r="M291" s="51" t="n">
        <v>22.7</v>
      </c>
      <c r="N291" s="7" t="inlineStr">
        <is>
          <t>Open Food Facts and NEVO, by EAN</t>
        </is>
      </c>
      <c r="O291" s="54" t="n">
        <v>0</v>
      </c>
      <c r="P291" s="54" t="n">
        <v>22.7</v>
      </c>
      <c r="Q291" s="7" t="inlineStr">
        <is>
          <t>yes</t>
        </is>
      </c>
      <c r="R291" s="7" t="inlineStr">
        <is>
          <t>whole</t>
        </is>
      </c>
      <c r="S291" s="7" t="inlineStr">
        <is>
          <t>FG1</t>
        </is>
      </c>
      <c r="T291" s="7" t="inlineStr">
        <is>
          <t>Red meat</t>
        </is>
      </c>
      <c r="U291" s="7" t="inlineStr">
        <is>
          <t>animal</t>
        </is>
      </c>
      <c r="V291" s="7" t="n"/>
      <c r="W291" s="7" t="n"/>
      <c r="X291" s="55" t="n">
        <v>1</v>
      </c>
      <c r="Y291" s="50" t="n">
        <v>0.3</v>
      </c>
      <c r="Z291" s="7" t="inlineStr">
        <is>
          <t>declared</t>
        </is>
      </c>
      <c r="AA291" s="19">
        <f>IF(ISBLANK(Welcome!D317),"",Welcome!D317)</f>
        <v/>
      </c>
      <c r="AB291" s="29">
        <f>IF(ISBLANK(Welcome!E317),"",Welcome!E317)</f>
        <v/>
      </c>
      <c r="AC291" s="29">
        <f>IF(N(AB291)&gt;0,N(AB291),N(AA291)*Y291)</f>
        <v/>
      </c>
      <c r="AD291" s="29">
        <f>IF(H291="yes",AC291,0)</f>
        <v/>
      </c>
      <c r="AE291" s="29">
        <f>AD291*N(M291)/100</f>
        <v/>
      </c>
      <c r="AF291" s="29">
        <f>AD291*N(O291)/100</f>
        <v/>
      </c>
      <c r="AG291" s="29">
        <f>AD291*N(P291)/100</f>
        <v/>
      </c>
      <c r="AH291" s="50">
        <f>IF(Q291="yes",AD291/1000,0)</f>
        <v/>
      </c>
      <c r="AI291" s="50">
        <f>IF(S291="FG2",AH291*X291,AH291)</f>
        <v/>
      </c>
    </row>
    <row r="292">
      <c r="A292" s="7" t="inlineStr">
        <is>
          <t>HM00126</t>
        </is>
      </c>
      <c r="B292" s="16" t="inlineStr">
        <is>
          <t>3012345495011</t>
        </is>
      </c>
      <c r="C292" s="7" t="inlineStr">
        <is>
          <t>TARROW PORK SAUSAGES 12PK</t>
        </is>
      </c>
      <c r="D292" s="7" t="inlineStr">
        <is>
          <t>Pork sausages, 12pk</t>
        </is>
      </c>
      <c r="E292" s="7" t="inlineStr">
        <is>
          <t>Tarrow Farm</t>
        </is>
      </c>
      <c r="F292" s="7" t="inlineStr">
        <is>
          <t>Fresh Meat &amp; Poultry</t>
        </is>
      </c>
      <c r="G292" s="7" t="inlineStr">
        <is>
          <t>Sausages &amp; Burgers</t>
        </is>
      </c>
      <c r="H292" s="7" t="inlineStr">
        <is>
          <t>yes</t>
        </is>
      </c>
      <c r="I292" s="7" t="inlineStr">
        <is>
          <t>Animal core</t>
        </is>
      </c>
      <c r="J292" s="7" t="inlineStr">
        <is>
          <t>Dishes and processed products</t>
        </is>
      </c>
      <c r="K292" s="7" t="inlineStr">
        <is>
          <t>B</t>
        </is>
      </c>
      <c r="L292" s="7" t="inlineStr">
        <is>
          <t>First ingredient</t>
        </is>
      </c>
      <c r="M292" s="51" t="n">
        <v>13.7</v>
      </c>
      <c r="N292" s="7" t="inlineStr">
        <is>
          <t>Declared by the retailer</t>
        </is>
      </c>
      <c r="O292" s="54" t="n">
        <v>0</v>
      </c>
      <c r="P292" s="54" t="n">
        <v>13.7</v>
      </c>
      <c r="Q292" s="7" t="inlineStr">
        <is>
          <t>yes</t>
        </is>
      </c>
      <c r="R292" s="7" t="inlineStr">
        <is>
          <t>whole</t>
        </is>
      </c>
      <c r="S292" s="7" t="inlineStr">
        <is>
          <t>FG1</t>
        </is>
      </c>
      <c r="T292" s="7" t="inlineStr">
        <is>
          <t>Red meat</t>
        </is>
      </c>
      <c r="U292" s="7" t="inlineStr">
        <is>
          <t>animal</t>
        </is>
      </c>
      <c r="V292" s="7" t="n"/>
      <c r="W292" s="7" t="n"/>
      <c r="X292" s="55" t="n">
        <v>1</v>
      </c>
      <c r="Y292" s="50" t="n">
        <v>0.8</v>
      </c>
      <c r="Z292" s="7" t="inlineStr">
        <is>
          <t>label</t>
        </is>
      </c>
      <c r="AA292" s="19">
        <f>IF(ISBLANK(Welcome!D318),"",Welcome!D318)</f>
        <v/>
      </c>
      <c r="AB292" s="29">
        <f>IF(ISBLANK(Welcome!E318),"",Welcome!E318)</f>
        <v/>
      </c>
      <c r="AC292" s="29">
        <f>IF(N(AB292)&gt;0,N(AB292),N(AA292)*Y292)</f>
        <v/>
      </c>
      <c r="AD292" s="29">
        <f>IF(H292="yes",AC292,0)</f>
        <v/>
      </c>
      <c r="AE292" s="29">
        <f>AD292*N(M292)/100</f>
        <v/>
      </c>
      <c r="AF292" s="29">
        <f>AD292*N(O292)/100</f>
        <v/>
      </c>
      <c r="AG292" s="29">
        <f>AD292*N(P292)/100</f>
        <v/>
      </c>
      <c r="AH292" s="50">
        <f>IF(Q292="yes",AD292/1000,0)</f>
        <v/>
      </c>
      <c r="AI292" s="50">
        <f>IF(S292="FG2",AH292*X292,AH292)</f>
        <v/>
      </c>
    </row>
    <row r="293">
      <c r="A293" s="7" t="inlineStr">
        <is>
          <t>HM00781</t>
        </is>
      </c>
      <c r="B293" s="16" t="inlineStr">
        <is>
          <t>3012345190367</t>
        </is>
      </c>
      <c r="C293" s="7" t="inlineStr">
        <is>
          <t>HM BF BURGERS 4PK 12PK</t>
        </is>
      </c>
      <c r="D293" s="7" t="inlineStr">
        <is>
          <t>Beef burgers, 4 pack, 12pk</t>
        </is>
      </c>
      <c r="E293" s="7" t="inlineStr">
        <is>
          <t>Harbour Market</t>
        </is>
      </c>
      <c r="F293" s="7" t="inlineStr">
        <is>
          <t>Fresh Meat &amp; Poultry</t>
        </is>
      </c>
      <c r="G293" s="7" t="inlineStr">
        <is>
          <t>Sausages &amp; Burgers</t>
        </is>
      </c>
      <c r="H293" s="7" t="inlineStr">
        <is>
          <t>yes</t>
        </is>
      </c>
      <c r="I293" s="7" t="inlineStr">
        <is>
          <t>Animal core</t>
        </is>
      </c>
      <c r="J293" s="7" t="inlineStr">
        <is>
          <t>Dishes and processed products</t>
        </is>
      </c>
      <c r="K293" s="7" t="inlineStr">
        <is>
          <t>B</t>
        </is>
      </c>
      <c r="L293" s="7" t="inlineStr">
        <is>
          <t>First ingredient</t>
        </is>
      </c>
      <c r="M293" s="51" t="n">
        <v>14.2</v>
      </c>
      <c r="N293" s="7" t="inlineStr">
        <is>
          <t>Open Food Facts and NEVO, by EAN</t>
        </is>
      </c>
      <c r="O293" s="54" t="n">
        <v>0</v>
      </c>
      <c r="P293" s="54" t="n">
        <v>14.2</v>
      </c>
      <c r="Q293" s="7" t="inlineStr">
        <is>
          <t>yes</t>
        </is>
      </c>
      <c r="R293" s="7" t="inlineStr">
        <is>
          <t>whole</t>
        </is>
      </c>
      <c r="S293" s="7" t="inlineStr">
        <is>
          <t>FG1</t>
        </is>
      </c>
      <c r="T293" s="7" t="inlineStr">
        <is>
          <t>Red meat</t>
        </is>
      </c>
      <c r="U293" s="7" t="inlineStr">
        <is>
          <t>animal</t>
        </is>
      </c>
      <c r="V293" s="7" t="n"/>
      <c r="W293" s="7" t="n"/>
      <c r="X293" s="55" t="n">
        <v>1</v>
      </c>
      <c r="Y293" s="50" t="n">
        <v>0.8</v>
      </c>
      <c r="Z293" s="7" t="inlineStr">
        <is>
          <t>declared</t>
        </is>
      </c>
      <c r="AA293" s="19">
        <f>IF(ISBLANK(Welcome!D319),"",Welcome!D319)</f>
        <v/>
      </c>
      <c r="AB293" s="29">
        <f>IF(ISBLANK(Welcome!E319),"",Welcome!E319)</f>
        <v/>
      </c>
      <c r="AC293" s="29">
        <f>IF(N(AB293)&gt;0,N(AB293),N(AA293)*Y293)</f>
        <v/>
      </c>
      <c r="AD293" s="29">
        <f>IF(H293="yes",AC293,0)</f>
        <v/>
      </c>
      <c r="AE293" s="29">
        <f>AD293*N(M293)/100</f>
        <v/>
      </c>
      <c r="AF293" s="29">
        <f>AD293*N(O293)/100</f>
        <v/>
      </c>
      <c r="AG293" s="29">
        <f>AD293*N(P293)/100</f>
        <v/>
      </c>
      <c r="AH293" s="50">
        <f>IF(Q293="yes",AD293/1000,0)</f>
        <v/>
      </c>
      <c r="AI293" s="50">
        <f>IF(S293="FG2",AH293*X293,AH293)</f>
        <v/>
      </c>
    </row>
    <row r="294">
      <c r="A294" s="7" t="inlineStr">
        <is>
          <t>HM00354</t>
        </is>
      </c>
      <c r="B294" s="16" t="inlineStr">
        <is>
          <t>4012345831306</t>
        </is>
      </c>
      <c r="C294" s="7" t="inlineStr">
        <is>
          <t>ORVALIS ARBORIO RICE 500G</t>
        </is>
      </c>
      <c r="D294" s="7" t="inlineStr">
        <is>
          <t>Arborio rice, 500g</t>
        </is>
      </c>
      <c r="E294" s="7" t="inlineStr">
        <is>
          <t>Orvalis</t>
        </is>
      </c>
      <c r="F294" s="7" t="inlineStr">
        <is>
          <t>Grocery</t>
        </is>
      </c>
      <c r="G294" s="7" t="inlineStr">
        <is>
          <t>Rice &amp; Grains</t>
        </is>
      </c>
      <c r="H294" s="7" t="inlineStr">
        <is>
          <t>yes</t>
        </is>
      </c>
      <c r="I294" s="7" t="inlineStr">
        <is>
          <t>Plant-based non-core</t>
        </is>
      </c>
      <c r="J294" s="7" t="inlineStr">
        <is>
          <t>Refined grains</t>
        </is>
      </c>
      <c r="K294" s="7" t="inlineStr">
        <is>
          <t>A</t>
        </is>
      </c>
      <c r="L294" s="7" t="inlineStr">
        <is>
          <t>All ingredients on one side</t>
        </is>
      </c>
      <c r="M294" s="51" t="n">
        <v>7.8</v>
      </c>
      <c r="N294" s="7" t="inlineStr">
        <is>
          <t>Altera reference base</t>
        </is>
      </c>
      <c r="O294" s="54" t="n">
        <v>7.8</v>
      </c>
      <c r="P294" s="54" t="n">
        <v>0</v>
      </c>
      <c r="Q294" s="7" t="inlineStr">
        <is>
          <t>yes</t>
        </is>
      </c>
      <c r="R294" s="7" t="inlineStr">
        <is>
          <t>whole</t>
        </is>
      </c>
      <c r="S294" s="7" t="inlineStr">
        <is>
          <t>FG5</t>
        </is>
      </c>
      <c r="T294" s="7" t="inlineStr">
        <is>
          <t>Refined grain</t>
        </is>
      </c>
      <c r="U294" s="7" t="inlineStr">
        <is>
          <t>plant</t>
        </is>
      </c>
      <c r="V294" s="7" t="n"/>
      <c r="W294" s="7" t="n"/>
      <c r="X294" s="55" t="n">
        <v>1</v>
      </c>
      <c r="Y294" s="50" t="n">
        <v>0.5</v>
      </c>
      <c r="Z294" s="7" t="inlineStr">
        <is>
          <t>declared</t>
        </is>
      </c>
      <c r="AA294" s="19">
        <f>IF(ISBLANK(Welcome!D320),"",Welcome!D320)</f>
        <v/>
      </c>
      <c r="AB294" s="29">
        <f>IF(ISBLANK(Welcome!E320),"",Welcome!E320)</f>
        <v/>
      </c>
      <c r="AC294" s="29">
        <f>IF(N(AB294)&gt;0,N(AB294),N(AA294)*Y294)</f>
        <v/>
      </c>
      <c r="AD294" s="29">
        <f>IF(H294="yes",AC294,0)</f>
        <v/>
      </c>
      <c r="AE294" s="29">
        <f>AD294*N(M294)/100</f>
        <v/>
      </c>
      <c r="AF294" s="29">
        <f>AD294*N(O294)/100</f>
        <v/>
      </c>
      <c r="AG294" s="29">
        <f>AD294*N(P294)/100</f>
        <v/>
      </c>
      <c r="AH294" s="50">
        <f>IF(Q294="yes",AD294/1000,0)</f>
        <v/>
      </c>
      <c r="AI294" s="50">
        <f>IF(S294="FG2",AH294*X294,AH294)</f>
        <v/>
      </c>
    </row>
    <row r="295">
      <c r="A295" s="7" t="inlineStr">
        <is>
          <t>HM00462</t>
        </is>
      </c>
      <c r="B295" s="16" t="inlineStr">
        <is>
          <t>5012345414423</t>
        </is>
      </c>
      <c r="C295" s="7" t="inlineStr">
        <is>
          <t>HM CHKN TIKKA MASALA RICE 2X400G</t>
        </is>
      </c>
      <c r="D295" s="7" t="inlineStr">
        <is>
          <t>Chicken tikka masala with rice, 2x400g</t>
        </is>
      </c>
      <c r="E295" s="7" t="inlineStr">
        <is>
          <t>Harbour Market</t>
        </is>
      </c>
      <c r="F295" s="7" t="inlineStr">
        <is>
          <t>Ready Meals</t>
        </is>
      </c>
      <c r="G295" s="7" t="inlineStr">
        <is>
          <t>Ready Meals</t>
        </is>
      </c>
      <c r="H295" s="7" t="inlineStr">
        <is>
          <t>yes</t>
        </is>
      </c>
      <c r="I295" s="7" t="inlineStr">
        <is>
          <t>Animal &amp; plant composite</t>
        </is>
      </c>
      <c r="J295" s="7" t="inlineStr">
        <is>
          <t>Meat-based dishes</t>
        </is>
      </c>
      <c r="K295" s="7" t="inlineStr">
        <is>
          <t>A</t>
        </is>
      </c>
      <c r="L295" s="7" t="inlineStr">
        <is>
          <t>NEVO food table (ratio only)</t>
        </is>
      </c>
      <c r="M295" s="51" t="n">
        <v>6.9</v>
      </c>
      <c r="N295" s="7" t="inlineStr">
        <is>
          <t>Declared by the retailer</t>
        </is>
      </c>
      <c r="O295" s="54" t="n">
        <v>2.42</v>
      </c>
      <c r="P295" s="54" t="n">
        <v>4.48</v>
      </c>
      <c r="Q295" s="7" t="inlineStr">
        <is>
          <t>yes</t>
        </is>
      </c>
      <c r="R295" s="7" t="inlineStr">
        <is>
          <t>composite</t>
        </is>
      </c>
      <c r="S295" s="7" t="n"/>
      <c r="T295" s="7" t="n"/>
      <c r="U295" s="7" t="n"/>
      <c r="V295" s="7" t="inlineStr">
        <is>
          <t>meat-based</t>
        </is>
      </c>
      <c r="W295" s="7" t="n"/>
      <c r="X295" s="55" t="n">
        <v>1</v>
      </c>
      <c r="Y295" s="50" t="n">
        <v>0.8</v>
      </c>
      <c r="Z295" s="7" t="inlineStr">
        <is>
          <t>declared</t>
        </is>
      </c>
      <c r="AA295" s="19">
        <f>IF(ISBLANK(Welcome!D321),"",Welcome!D321)</f>
        <v/>
      </c>
      <c r="AB295" s="29">
        <f>IF(ISBLANK(Welcome!E321),"",Welcome!E321)</f>
        <v/>
      </c>
      <c r="AC295" s="29">
        <f>IF(N(AB295)&gt;0,N(AB295),N(AA295)*Y295)</f>
        <v/>
      </c>
      <c r="AD295" s="29">
        <f>IF(H295="yes",AC295,0)</f>
        <v/>
      </c>
      <c r="AE295" s="29">
        <f>AD295*N(M295)/100</f>
        <v/>
      </c>
      <c r="AF295" s="29">
        <f>AD295*N(O295)/100</f>
        <v/>
      </c>
      <c r="AG295" s="29">
        <f>AD295*N(P295)/100</f>
        <v/>
      </c>
      <c r="AH295" s="50">
        <f>IF(Q295="yes",AD295/1000,0)</f>
        <v/>
      </c>
      <c r="AI295" s="50">
        <f>IF(S295="FG2",AH295*X295,AH295)</f>
        <v/>
      </c>
    </row>
    <row r="296">
      <c r="A296" s="7" t="inlineStr">
        <is>
          <t>HM00605</t>
        </is>
      </c>
      <c r="B296" s="16" t="inlineStr">
        <is>
          <t>2614945632240</t>
        </is>
      </c>
      <c r="C296" s="7" t="inlineStr">
        <is>
          <t>HM BLUEBERRIES KG</t>
        </is>
      </c>
      <c r="D296" s="7" t="inlineStr">
        <is>
          <t>Blueberries</t>
        </is>
      </c>
      <c r="E296" s="7" t="inlineStr">
        <is>
          <t>Harbour Market</t>
        </is>
      </c>
      <c r="F296" s="7" t="inlineStr">
        <is>
          <t>Fruit &amp; Vegetables</t>
        </is>
      </c>
      <c r="G296" s="7" t="inlineStr">
        <is>
          <t>Fruit</t>
        </is>
      </c>
      <c r="H296" s="7" t="inlineStr">
        <is>
          <t>yes</t>
        </is>
      </c>
      <c r="I296" s="7" t="inlineStr">
        <is>
          <t>Plant-based non-core</t>
        </is>
      </c>
      <c r="J296" s="7" t="inlineStr">
        <is>
          <t>Fruit and vegetables</t>
        </is>
      </c>
      <c r="K296" s="7" t="inlineStr">
        <is>
          <t>B</t>
        </is>
      </c>
      <c r="L296" s="7" t="inlineStr">
        <is>
          <t>Follows the class</t>
        </is>
      </c>
      <c r="M296" s="51" t="n">
        <v>0.71</v>
      </c>
      <c r="N296" s="7" t="inlineStr">
        <is>
          <t>Declared by the retailer</t>
        </is>
      </c>
      <c r="O296" s="54" t="n">
        <v>0.71</v>
      </c>
      <c r="P296" s="54" t="n">
        <v>0</v>
      </c>
      <c r="Q296" s="7" t="inlineStr">
        <is>
          <t>yes</t>
        </is>
      </c>
      <c r="R296" s="7" t="inlineStr">
        <is>
          <t>whole</t>
        </is>
      </c>
      <c r="S296" s="7" t="inlineStr">
        <is>
          <t>FG4</t>
        </is>
      </c>
      <c r="T296" s="7" t="n"/>
      <c r="U296" s="7" t="inlineStr">
        <is>
          <t>plant</t>
        </is>
      </c>
      <c r="V296" s="7" t="n"/>
      <c r="W296" s="7" t="n"/>
      <c r="X296" s="55" t="n">
        <v>1</v>
      </c>
      <c r="Y296" s="50" t="n">
        <v>1</v>
      </c>
      <c r="Z296" s="7" t="inlineStr">
        <is>
          <t>variable</t>
        </is>
      </c>
      <c r="AA296" s="19">
        <f>IF(ISBLANK(Welcome!D322),"",Welcome!D322)</f>
        <v/>
      </c>
      <c r="AB296" s="29">
        <f>IF(ISBLANK(Welcome!E322),"",Welcome!E322)</f>
        <v/>
      </c>
      <c r="AC296" s="29">
        <f>IF(N(AB296)&gt;0,N(AB296),N(AA296)*Y296)</f>
        <v/>
      </c>
      <c r="AD296" s="29">
        <f>IF(H296="yes",AC296,0)</f>
        <v/>
      </c>
      <c r="AE296" s="29">
        <f>AD296*N(M296)/100</f>
        <v/>
      </c>
      <c r="AF296" s="29">
        <f>AD296*N(O296)/100</f>
        <v/>
      </c>
      <c r="AG296" s="29">
        <f>AD296*N(P296)/100</f>
        <v/>
      </c>
      <c r="AH296" s="50">
        <f>IF(Q296="yes",AD296/1000,0)</f>
        <v/>
      </c>
      <c r="AI296" s="50">
        <f>IF(S296="FG2",AH296*X296,AH296)</f>
        <v/>
      </c>
    </row>
    <row r="297">
      <c r="A297" s="7" t="inlineStr">
        <is>
          <t>HM00004</t>
        </is>
      </c>
      <c r="B297" s="16" t="inlineStr">
        <is>
          <t>4012345136876</t>
        </is>
      </c>
      <c r="C297" s="7" t="inlineStr">
        <is>
          <t>HM CUCUMBER EACH</t>
        </is>
      </c>
      <c r="D297" s="7" t="inlineStr">
        <is>
          <t>Cucumber</t>
        </is>
      </c>
      <c r="E297" s="7" t="inlineStr">
        <is>
          <t>Harbour Market</t>
        </is>
      </c>
      <c r="F297" s="7" t="inlineStr">
        <is>
          <t>Fruit &amp; Vegetables</t>
        </is>
      </c>
      <c r="G297" s="7" t="inlineStr">
        <is>
          <t>Vegetables</t>
        </is>
      </c>
      <c r="H297" s="7" t="inlineStr">
        <is>
          <t>yes</t>
        </is>
      </c>
      <c r="I297" s="7" t="inlineStr">
        <is>
          <t>Plant-based non-core</t>
        </is>
      </c>
      <c r="J297" s="7" t="inlineStr">
        <is>
          <t>Fruit and vegetables</t>
        </is>
      </c>
      <c r="K297" s="7" t="inlineStr">
        <is>
          <t>B</t>
        </is>
      </c>
      <c r="L297" s="7" t="inlineStr">
        <is>
          <t>Follows the class</t>
        </is>
      </c>
      <c r="M297" s="51" t="n">
        <v>0.59</v>
      </c>
      <c r="N297" s="7" t="inlineStr">
        <is>
          <t>Median of the family</t>
        </is>
      </c>
      <c r="O297" s="54" t="n">
        <v>0.59</v>
      </c>
      <c r="P297" s="54" t="n">
        <v>0</v>
      </c>
      <c r="Q297" s="7" t="inlineStr">
        <is>
          <t>yes</t>
        </is>
      </c>
      <c r="R297" s="7" t="inlineStr">
        <is>
          <t>whole</t>
        </is>
      </c>
      <c r="S297" s="7" t="inlineStr">
        <is>
          <t>FG4</t>
        </is>
      </c>
      <c r="T297" s="7" t="n"/>
      <c r="U297" s="7" t="inlineStr">
        <is>
          <t>plant</t>
        </is>
      </c>
      <c r="V297" s="7" t="n"/>
      <c r="W297" s="7" t="n"/>
      <c r="X297" s="55" t="n">
        <v>1</v>
      </c>
      <c r="Y297" s="50" t="n">
        <v>0.35</v>
      </c>
      <c r="Z297" s="7" t="inlineStr">
        <is>
          <t>typical_piece</t>
        </is>
      </c>
      <c r="AA297" s="19">
        <f>IF(ISBLANK(Welcome!D323),"",Welcome!D323)</f>
        <v/>
      </c>
      <c r="AB297" s="29">
        <f>IF(ISBLANK(Welcome!E323),"",Welcome!E323)</f>
        <v/>
      </c>
      <c r="AC297" s="29">
        <f>IF(N(AB297)&gt;0,N(AB297),N(AA297)*Y297)</f>
        <v/>
      </c>
      <c r="AD297" s="29">
        <f>IF(H297="yes",AC297,0)</f>
        <v/>
      </c>
      <c r="AE297" s="29">
        <f>AD297*N(M297)/100</f>
        <v/>
      </c>
      <c r="AF297" s="29">
        <f>AD297*N(O297)/100</f>
        <v/>
      </c>
      <c r="AG297" s="29">
        <f>AD297*N(P297)/100</f>
        <v/>
      </c>
      <c r="AH297" s="50">
        <f>IF(Q297="yes",AD297/1000,0)</f>
        <v/>
      </c>
      <c r="AI297" s="50">
        <f>IF(S297="FG2",AH297*X297,AH297)</f>
        <v/>
      </c>
    </row>
    <row r="298">
      <c r="A298" s="7" t="inlineStr">
        <is>
          <t>HM00304</t>
        </is>
      </c>
      <c r="B298" s="16" t="inlineStr">
        <is>
          <t>8712345605230</t>
        </is>
      </c>
      <c r="C298" s="7" t="inlineStr">
        <is>
          <t>TARROW CHKN WINGS 650G</t>
        </is>
      </c>
      <c r="D298" s="7" t="inlineStr">
        <is>
          <t>Chicken wings, 650g</t>
        </is>
      </c>
      <c r="E298" s="7" t="inlineStr">
        <is>
          <t>Tarrow Farm</t>
        </is>
      </c>
      <c r="F298" s="7" t="inlineStr">
        <is>
          <t>Fresh Meat &amp; Poultry</t>
        </is>
      </c>
      <c r="G298" s="7" t="inlineStr">
        <is>
          <t>Poultry</t>
        </is>
      </c>
      <c r="H298" s="7" t="inlineStr">
        <is>
          <t>yes</t>
        </is>
      </c>
      <c r="I298" s="7" t="inlineStr">
        <is>
          <t>Animal core</t>
        </is>
      </c>
      <c r="J298" s="7" t="inlineStr">
        <is>
          <t>Poultry</t>
        </is>
      </c>
      <c r="K298" s="7" t="inlineStr">
        <is>
          <t>A</t>
        </is>
      </c>
      <c r="L298" s="7" t="inlineStr">
        <is>
          <t>All ingredients on one side</t>
        </is>
      </c>
      <c r="M298" s="51" t="n">
        <v>17.7</v>
      </c>
      <c r="N298" s="7" t="inlineStr">
        <is>
          <t>Open Food Facts and NEVO, by EAN</t>
        </is>
      </c>
      <c r="O298" s="54" t="n">
        <v>0</v>
      </c>
      <c r="P298" s="54" t="n">
        <v>17.7</v>
      </c>
      <c r="Q298" s="7" t="inlineStr">
        <is>
          <t>yes</t>
        </is>
      </c>
      <c r="R298" s="7" t="inlineStr">
        <is>
          <t>whole</t>
        </is>
      </c>
      <c r="S298" s="7" t="inlineStr">
        <is>
          <t>FG1</t>
        </is>
      </c>
      <c r="T298" s="7" t="inlineStr">
        <is>
          <t>Poultry</t>
        </is>
      </c>
      <c r="U298" s="7" t="inlineStr">
        <is>
          <t>animal</t>
        </is>
      </c>
      <c r="V298" s="7" t="n"/>
      <c r="W298" s="7" t="n"/>
      <c r="X298" s="55" t="n">
        <v>1</v>
      </c>
      <c r="Y298" s="50" t="n">
        <v>0.65</v>
      </c>
      <c r="Z298" s="7" t="inlineStr">
        <is>
          <t>declared</t>
        </is>
      </c>
      <c r="AA298" s="19">
        <f>IF(ISBLANK(Welcome!D324),"",Welcome!D324)</f>
        <v/>
      </c>
      <c r="AB298" s="29">
        <f>IF(ISBLANK(Welcome!E324),"",Welcome!E324)</f>
        <v/>
      </c>
      <c r="AC298" s="29">
        <f>IF(N(AB298)&gt;0,N(AB298),N(AA298)*Y298)</f>
        <v/>
      </c>
      <c r="AD298" s="29">
        <f>IF(H298="yes",AC298,0)</f>
        <v/>
      </c>
      <c r="AE298" s="29">
        <f>AD298*N(M298)/100</f>
        <v/>
      </c>
      <c r="AF298" s="29">
        <f>AD298*N(O298)/100</f>
        <v/>
      </c>
      <c r="AG298" s="29">
        <f>AD298*N(P298)/100</f>
        <v/>
      </c>
      <c r="AH298" s="50">
        <f>IF(Q298="yes",AD298/1000,0)</f>
        <v/>
      </c>
      <c r="AI298" s="50">
        <f>IF(S298="FG2",AH298*X298,AH298)</f>
        <v/>
      </c>
    </row>
    <row r="299">
      <c r="A299" s="7" t="inlineStr">
        <is>
          <t>HM00191</t>
        </is>
      </c>
      <c r="B299" s="16" t="inlineStr">
        <is>
          <t>4012345503616</t>
        </is>
      </c>
      <c r="C299" s="7" t="inlineStr">
        <is>
          <t>MILK CHOC DIGESTIVES 300G MARLOWE</t>
        </is>
      </c>
      <c r="D299" s="7" t="inlineStr">
        <is>
          <t>Milk chocolate digestives, 300g</t>
        </is>
      </c>
      <c r="E299" s="7" t="inlineStr">
        <is>
          <t>Marlowe</t>
        </is>
      </c>
      <c r="F299" s="7" t="inlineStr">
        <is>
          <t>Breakfast &amp; Snacks</t>
        </is>
      </c>
      <c r="G299" s="7" t="inlineStr">
        <is>
          <t>Biscuits</t>
        </is>
      </c>
      <c r="H299" s="7" t="inlineStr">
        <is>
          <t>yes</t>
        </is>
      </c>
      <c r="I299" s="7" t="inlineStr">
        <is>
          <t>Animal &amp; plant composite</t>
        </is>
      </c>
      <c r="J299" s="7" t="inlineStr">
        <is>
          <t>Discretionary products</t>
        </is>
      </c>
      <c r="K299" s="7" t="inlineStr">
        <is>
          <t>B</t>
        </is>
      </c>
      <c r="L299" s="7" t="inlineStr">
        <is>
          <t>50/50 convention</t>
        </is>
      </c>
      <c r="M299" s="51" t="n">
        <v>6.5</v>
      </c>
      <c r="N299" s="7" t="inlineStr">
        <is>
          <t>Declared by the retailer</t>
        </is>
      </c>
      <c r="O299" s="54" t="n">
        <v>3.25</v>
      </c>
      <c r="P299" s="54" t="n">
        <v>3.25</v>
      </c>
      <c r="Q299" s="7" t="inlineStr">
        <is>
          <t>yes</t>
        </is>
      </c>
      <c r="R299" s="7" t="inlineStr">
        <is>
          <t>whole</t>
        </is>
      </c>
      <c r="S299" s="7" t="inlineStr">
        <is>
          <t>FG7</t>
        </is>
      </c>
      <c r="T299" s="7" t="n"/>
      <c r="U299" s="7" t="inlineStr">
        <is>
          <t>plant</t>
        </is>
      </c>
      <c r="V299" s="7" t="n"/>
      <c r="W299" s="7" t="n"/>
      <c r="X299" s="55" t="n">
        <v>1</v>
      </c>
      <c r="Y299" s="50" t="n">
        <v>0.3</v>
      </c>
      <c r="Z299" s="7" t="inlineStr">
        <is>
          <t>declared</t>
        </is>
      </c>
      <c r="AA299" s="19">
        <f>IF(ISBLANK(Welcome!D325),"",Welcome!D325)</f>
        <v/>
      </c>
      <c r="AB299" s="29">
        <f>IF(ISBLANK(Welcome!E325),"",Welcome!E325)</f>
        <v/>
      </c>
      <c r="AC299" s="29">
        <f>IF(N(AB299)&gt;0,N(AB299),N(AA299)*Y299)</f>
        <v/>
      </c>
      <c r="AD299" s="29">
        <f>IF(H299="yes",AC299,0)</f>
        <v/>
      </c>
      <c r="AE299" s="29">
        <f>AD299*N(M299)/100</f>
        <v/>
      </c>
      <c r="AF299" s="29">
        <f>AD299*N(O299)/100</f>
        <v/>
      </c>
      <c r="AG299" s="29">
        <f>AD299*N(P299)/100</f>
        <v/>
      </c>
      <c r="AH299" s="50">
        <f>IF(Q299="yes",AD299/1000,0)</f>
        <v/>
      </c>
      <c r="AI299" s="50">
        <f>IF(S299="FG2",AH299*X299,AH299)</f>
        <v/>
      </c>
    </row>
    <row r="300">
      <c r="A300" s="7" t="inlineStr">
        <is>
          <t>HM00468</t>
        </is>
      </c>
      <c r="B300" s="16" t="inlineStr">
        <is>
          <t>8712345257156</t>
        </is>
      </c>
      <c r="C300" s="7" t="inlineStr">
        <is>
          <t>HM TOM BASIL PASTA SCE 690G</t>
        </is>
      </c>
      <c r="D300" s="7" t="inlineStr">
        <is>
          <t>Tomato &amp; basil pasta sauce, 690g</t>
        </is>
      </c>
      <c r="E300" s="7" t="inlineStr">
        <is>
          <t>Harbour Market</t>
        </is>
      </c>
      <c r="F300" s="7" t="inlineStr">
        <is>
          <t>Grocery</t>
        </is>
      </c>
      <c r="G300" s="7" t="inlineStr">
        <is>
          <t>Canned Vegetables</t>
        </is>
      </c>
      <c r="H300" s="7" t="inlineStr">
        <is>
          <t>yes</t>
        </is>
      </c>
      <c r="I300" s="7" t="inlineStr">
        <is>
          <t>Plant-based non-core</t>
        </is>
      </c>
      <c r="J300" s="7" t="inlineStr">
        <is>
          <t>Fruit and vegetables</t>
        </is>
      </c>
      <c r="K300" s="7" t="inlineStr">
        <is>
          <t>A</t>
        </is>
      </c>
      <c r="L300" s="7" t="inlineStr">
        <is>
          <t>All ingredients on one side</t>
        </is>
      </c>
      <c r="M300" s="51" t="n">
        <v>1.6</v>
      </c>
      <c r="N300" s="7" t="inlineStr">
        <is>
          <t>Declared by the retailer</t>
        </is>
      </c>
      <c r="O300" s="54" t="n">
        <v>1.6</v>
      </c>
      <c r="P300" s="54" t="n">
        <v>0</v>
      </c>
      <c r="Q300" s="7" t="inlineStr">
        <is>
          <t>yes</t>
        </is>
      </c>
      <c r="R300" s="7" t="inlineStr">
        <is>
          <t>whole</t>
        </is>
      </c>
      <c r="S300" s="7" t="inlineStr">
        <is>
          <t>FG4</t>
        </is>
      </c>
      <c r="T300" s="7" t="n"/>
      <c r="U300" s="7" t="inlineStr">
        <is>
          <t>plant</t>
        </is>
      </c>
      <c r="V300" s="7" t="n"/>
      <c r="W300" s="7" t="n"/>
      <c r="X300" s="55" t="n">
        <v>1</v>
      </c>
      <c r="Y300" s="50" t="n">
        <v>0.6899999999999999</v>
      </c>
      <c r="Z300" s="7" t="inlineStr">
        <is>
          <t>declared</t>
        </is>
      </c>
      <c r="AA300" s="19">
        <f>IF(ISBLANK(Welcome!D326),"",Welcome!D326)</f>
        <v/>
      </c>
      <c r="AB300" s="29">
        <f>IF(ISBLANK(Welcome!E326),"",Welcome!E326)</f>
        <v/>
      </c>
      <c r="AC300" s="29">
        <f>IF(N(AB300)&gt;0,N(AB300),N(AA300)*Y300)</f>
        <v/>
      </c>
      <c r="AD300" s="29">
        <f>IF(H300="yes",AC300,0)</f>
        <v/>
      </c>
      <c r="AE300" s="29">
        <f>AD300*N(M300)/100</f>
        <v/>
      </c>
      <c r="AF300" s="29">
        <f>AD300*N(O300)/100</f>
        <v/>
      </c>
      <c r="AG300" s="29">
        <f>AD300*N(P300)/100</f>
        <v/>
      </c>
      <c r="AH300" s="50">
        <f>IF(Q300="yes",AD300/1000,0)</f>
        <v/>
      </c>
      <c r="AI300" s="50">
        <f>IF(S300="FG2",AH300*X300,AH300)</f>
        <v/>
      </c>
    </row>
    <row r="301">
      <c r="A301" s="7" t="inlineStr">
        <is>
          <t>HM00645</t>
        </is>
      </c>
      <c r="B301" s="16" t="inlineStr">
        <is>
          <t>4012345133400</t>
        </is>
      </c>
      <c r="C301" s="7" t="inlineStr">
        <is>
          <t>HM TKY BREAST STEAKS 500G</t>
        </is>
      </c>
      <c r="D301" s="7" t="inlineStr">
        <is>
          <t>Turkey breast steaks, 500g</t>
        </is>
      </c>
      <c r="E301" s="7" t="inlineStr">
        <is>
          <t>Harbour Market</t>
        </is>
      </c>
      <c r="F301" s="7" t="inlineStr">
        <is>
          <t>Fresh Meat &amp; Poultry</t>
        </is>
      </c>
      <c r="G301" s="7" t="inlineStr">
        <is>
          <t>Turkey &amp; Lamb</t>
        </is>
      </c>
      <c r="H301" s="7" t="inlineStr">
        <is>
          <t>yes</t>
        </is>
      </c>
      <c r="I301" s="7" t="inlineStr">
        <is>
          <t>Animal core</t>
        </is>
      </c>
      <c r="J301" s="7" t="inlineStr">
        <is>
          <t>Poultry</t>
        </is>
      </c>
      <c r="K301" s="7" t="inlineStr">
        <is>
          <t>B</t>
        </is>
      </c>
      <c r="L301" s="7" t="inlineStr">
        <is>
          <t>Follows the class</t>
        </is>
      </c>
      <c r="M301" s="51" t="n">
        <v>19.8</v>
      </c>
      <c r="N301" s="7" t="inlineStr">
        <is>
          <t>National food table (CIQUAL in France)</t>
        </is>
      </c>
      <c r="O301" s="54" t="n">
        <v>0</v>
      </c>
      <c r="P301" s="54" t="n">
        <v>19.8</v>
      </c>
      <c r="Q301" s="7" t="inlineStr">
        <is>
          <t>yes</t>
        </is>
      </c>
      <c r="R301" s="7" t="inlineStr">
        <is>
          <t>whole</t>
        </is>
      </c>
      <c r="S301" s="7" t="inlineStr">
        <is>
          <t>FG1</t>
        </is>
      </c>
      <c r="T301" s="7" t="inlineStr">
        <is>
          <t>Poultry</t>
        </is>
      </c>
      <c r="U301" s="7" t="inlineStr">
        <is>
          <t>animal</t>
        </is>
      </c>
      <c r="V301" s="7" t="n"/>
      <c r="W301" s="7" t="n"/>
      <c r="X301" s="55" t="n">
        <v>1</v>
      </c>
      <c r="Y301" s="50" t="n">
        <v>0.5</v>
      </c>
      <c r="Z301" s="7" t="inlineStr">
        <is>
          <t>declared</t>
        </is>
      </c>
      <c r="AA301" s="19">
        <f>IF(ISBLANK(Welcome!D327),"",Welcome!D327)</f>
        <v/>
      </c>
      <c r="AB301" s="29">
        <f>IF(ISBLANK(Welcome!E327),"",Welcome!E327)</f>
        <v/>
      </c>
      <c r="AC301" s="29">
        <f>IF(N(AB301)&gt;0,N(AB301),N(AA301)*Y301)</f>
        <v/>
      </c>
      <c r="AD301" s="29">
        <f>IF(H301="yes",AC301,0)</f>
        <v/>
      </c>
      <c r="AE301" s="29">
        <f>AD301*N(M301)/100</f>
        <v/>
      </c>
      <c r="AF301" s="29">
        <f>AD301*N(O301)/100</f>
        <v/>
      </c>
      <c r="AG301" s="29">
        <f>AD301*N(P301)/100</f>
        <v/>
      </c>
      <c r="AH301" s="50">
        <f>IF(Q301="yes",AD301/1000,0)</f>
        <v/>
      </c>
      <c r="AI301" s="50">
        <f>IF(S301="FG2",AH301*X301,AH301)</f>
        <v/>
      </c>
    </row>
    <row r="302">
      <c r="A302" s="7" t="inlineStr">
        <is>
          <t>HM00308</t>
        </is>
      </c>
      <c r="B302" s="16" t="inlineStr">
        <is>
          <t>4012345180213</t>
        </is>
      </c>
      <c r="C302" s="7" t="inlineStr">
        <is>
          <t>BRAMBLECOTE WHITE PITTA 800G</t>
        </is>
      </c>
      <c r="D302" s="7" t="inlineStr">
        <is>
          <t>White pitta bread, 800g</t>
        </is>
      </c>
      <c r="E302" s="7" t="inlineStr">
        <is>
          <t>Bramblecote</t>
        </is>
      </c>
      <c r="F302" s="7" t="inlineStr">
        <is>
          <t>Bakery</t>
        </is>
      </c>
      <c r="G302" s="7" t="inlineStr">
        <is>
          <t>Bread</t>
        </is>
      </c>
      <c r="H302" s="7" t="inlineStr">
        <is>
          <t>yes</t>
        </is>
      </c>
      <c r="I302" s="7" t="inlineStr">
        <is>
          <t>Plant-based non-core</t>
        </is>
      </c>
      <c r="J302" s="7" t="inlineStr">
        <is>
          <t>Refined grains</t>
        </is>
      </c>
      <c r="K302" s="7" t="inlineStr">
        <is>
          <t>A</t>
        </is>
      </c>
      <c r="L302" s="7" t="inlineStr">
        <is>
          <t>All ingredients on one side</t>
        </is>
      </c>
      <c r="M302" s="51" t="n">
        <v>8.199999999999999</v>
      </c>
      <c r="N302" s="7" t="inlineStr">
        <is>
          <t>Declared by the retailer</t>
        </is>
      </c>
      <c r="O302" s="54" t="n">
        <v>8.199999999999999</v>
      </c>
      <c r="P302" s="54" t="n">
        <v>0</v>
      </c>
      <c r="Q302" s="7" t="inlineStr">
        <is>
          <t>yes</t>
        </is>
      </c>
      <c r="R302" s="7" t="inlineStr">
        <is>
          <t>whole</t>
        </is>
      </c>
      <c r="S302" s="7" t="inlineStr">
        <is>
          <t>FG5</t>
        </is>
      </c>
      <c r="T302" s="7" t="inlineStr">
        <is>
          <t>Refined grain</t>
        </is>
      </c>
      <c r="U302" s="7" t="inlineStr">
        <is>
          <t>plant</t>
        </is>
      </c>
      <c r="V302" s="7" t="n"/>
      <c r="W302" s="7" t="n"/>
      <c r="X302" s="55" t="n">
        <v>1</v>
      </c>
      <c r="Y302" s="50" t="n">
        <v>0.8</v>
      </c>
      <c r="Z302" s="7" t="inlineStr">
        <is>
          <t>declared</t>
        </is>
      </c>
      <c r="AA302" s="19">
        <f>IF(ISBLANK(Welcome!D328),"",Welcome!D328)</f>
        <v/>
      </c>
      <c r="AB302" s="29">
        <f>IF(ISBLANK(Welcome!E328),"",Welcome!E328)</f>
        <v/>
      </c>
      <c r="AC302" s="29">
        <f>IF(N(AB302)&gt;0,N(AB302),N(AA302)*Y302)</f>
        <v/>
      </c>
      <c r="AD302" s="29">
        <f>IF(H302="yes",AC302,0)</f>
        <v/>
      </c>
      <c r="AE302" s="29">
        <f>AD302*N(M302)/100</f>
        <v/>
      </c>
      <c r="AF302" s="29">
        <f>AD302*N(O302)/100</f>
        <v/>
      </c>
      <c r="AG302" s="29">
        <f>AD302*N(P302)/100</f>
        <v/>
      </c>
      <c r="AH302" s="50">
        <f>IF(Q302="yes",AD302/1000,0)</f>
        <v/>
      </c>
      <c r="AI302" s="50">
        <f>IF(S302="FG2",AH302*X302,AH302)</f>
        <v/>
      </c>
    </row>
    <row r="303">
      <c r="A303" s="7" t="inlineStr">
        <is>
          <t>HM00715</t>
        </is>
      </c>
      <c r="B303" s="16" t="inlineStr">
        <is>
          <t>4012345145069</t>
        </is>
      </c>
      <c r="C303" s="7" t="inlineStr">
        <is>
          <t>HM CHOC ICE CREAM 1.8L</t>
        </is>
      </c>
      <c r="D303" s="7" t="inlineStr">
        <is>
          <t>Chocolate ice cream, 1.8l</t>
        </is>
      </c>
      <c r="E303" s="7" t="inlineStr">
        <is>
          <t>Harbour Market</t>
        </is>
      </c>
      <c r="F303" s="7" t="inlineStr">
        <is>
          <t>Frozen</t>
        </is>
      </c>
      <c r="G303" s="7" t="inlineStr">
        <is>
          <t>Ice Cream</t>
        </is>
      </c>
      <c r="H303" s="7" t="inlineStr">
        <is>
          <t>yes</t>
        </is>
      </c>
      <c r="I303" s="7" t="inlineStr">
        <is>
          <t>Animal core</t>
        </is>
      </c>
      <c r="J303" s="7" t="inlineStr">
        <is>
          <t>Discretionary products</t>
        </is>
      </c>
      <c r="K303" s="7" t="inlineStr">
        <is>
          <t>B</t>
        </is>
      </c>
      <c r="L303" s="7" t="inlineStr">
        <is>
          <t>First ingredient</t>
        </is>
      </c>
      <c r="M303" s="51" t="n">
        <v>3.6</v>
      </c>
      <c r="N303" s="7" t="inlineStr">
        <is>
          <t>Declared by the retailer</t>
        </is>
      </c>
      <c r="O303" s="54" t="n">
        <v>0</v>
      </c>
      <c r="P303" s="54" t="n">
        <v>3.6</v>
      </c>
      <c r="Q303" s="7" t="inlineStr">
        <is>
          <t>yes</t>
        </is>
      </c>
      <c r="R303" s="7" t="inlineStr">
        <is>
          <t>whole</t>
        </is>
      </c>
      <c r="S303" s="7" t="inlineStr">
        <is>
          <t>FG7</t>
        </is>
      </c>
      <c r="T303" s="7" t="n"/>
      <c r="U303" s="7" t="inlineStr">
        <is>
          <t>animal</t>
        </is>
      </c>
      <c r="V303" s="7" t="n"/>
      <c r="W303" s="7" t="n"/>
      <c r="X303" s="55" t="n">
        <v>1</v>
      </c>
      <c r="Y303" s="50" t="n">
        <v>1</v>
      </c>
      <c r="Z303" s="7" t="inlineStr">
        <is>
          <t>declared</t>
        </is>
      </c>
      <c r="AA303" s="19">
        <f>IF(ISBLANK(Welcome!D329),"",Welcome!D329)</f>
        <v/>
      </c>
      <c r="AB303" s="29">
        <f>IF(ISBLANK(Welcome!E329),"",Welcome!E329)</f>
        <v/>
      </c>
      <c r="AC303" s="29">
        <f>IF(N(AB303)&gt;0,N(AB303),N(AA303)*Y303)</f>
        <v/>
      </c>
      <c r="AD303" s="29">
        <f>IF(H303="yes",AC303,0)</f>
        <v/>
      </c>
      <c r="AE303" s="29">
        <f>AD303*N(M303)/100</f>
        <v/>
      </c>
      <c r="AF303" s="29">
        <f>AD303*N(O303)/100</f>
        <v/>
      </c>
      <c r="AG303" s="29">
        <f>AD303*N(P303)/100</f>
        <v/>
      </c>
      <c r="AH303" s="50">
        <f>IF(Q303="yes",AD303/1000,0)</f>
        <v/>
      </c>
      <c r="AI303" s="50">
        <f>IF(S303="FG2",AH303*X303,AH303)</f>
        <v/>
      </c>
    </row>
    <row r="304">
      <c r="A304" s="7" t="inlineStr">
        <is>
          <t>HM00339</t>
        </is>
      </c>
      <c r="B304" s="16" t="inlineStr">
        <is>
          <t>3012345084055</t>
        </is>
      </c>
      <c r="C304" s="7" t="inlineStr">
        <is>
          <t>GREEK STYLE YOG 450G FJELDA</t>
        </is>
      </c>
      <c r="D304" s="7" t="inlineStr">
        <is>
          <t>Greek-style yoghurt, 450g</t>
        </is>
      </c>
      <c r="E304" s="7" t="inlineStr">
        <is>
          <t>Fjelda</t>
        </is>
      </c>
      <c r="F304" s="7" t="inlineStr">
        <is>
          <t>Dairy &amp; Eggs</t>
        </is>
      </c>
      <c r="G304" s="7" t="inlineStr">
        <is>
          <t>Yoghurt</t>
        </is>
      </c>
      <c r="H304" s="7" t="inlineStr">
        <is>
          <t>yes</t>
        </is>
      </c>
      <c r="I304" s="7" t="inlineStr">
        <is>
          <t>Animal core</t>
        </is>
      </c>
      <c r="J304" s="7" t="inlineStr">
        <is>
          <t>Milk, yoghurt and cream</t>
        </is>
      </c>
      <c r="K304" s="7" t="inlineStr">
        <is>
          <t>B</t>
        </is>
      </c>
      <c r="L304" s="7" t="inlineStr">
        <is>
          <t>Follows the class</t>
        </is>
      </c>
      <c r="M304" s="51" t="n">
        <v>6.1</v>
      </c>
      <c r="N304" s="7" t="inlineStr">
        <is>
          <t>Median of the family</t>
        </is>
      </c>
      <c r="O304" s="54" t="n">
        <v>0</v>
      </c>
      <c r="P304" s="54" t="n">
        <v>6.1</v>
      </c>
      <c r="Q304" s="7" t="inlineStr">
        <is>
          <t>yes</t>
        </is>
      </c>
      <c r="R304" s="7" t="inlineStr">
        <is>
          <t>whole</t>
        </is>
      </c>
      <c r="S304" s="7" t="inlineStr">
        <is>
          <t>FG2</t>
        </is>
      </c>
      <c r="T304" s="7" t="inlineStr">
        <is>
          <t>Dairy</t>
        </is>
      </c>
      <c r="U304" s="7" t="inlineStr">
        <is>
          <t>animal</t>
        </is>
      </c>
      <c r="V304" s="7" t="n"/>
      <c r="W304" s="7" t="n"/>
      <c r="X304" s="55" t="n">
        <v>1</v>
      </c>
      <c r="Y304" s="50" t="n">
        <v>0.45</v>
      </c>
      <c r="Z304" s="7" t="inlineStr">
        <is>
          <t>declared</t>
        </is>
      </c>
      <c r="AA304" s="19">
        <f>IF(ISBLANK(Welcome!D330),"",Welcome!D330)</f>
        <v/>
      </c>
      <c r="AB304" s="29">
        <f>IF(ISBLANK(Welcome!E330),"",Welcome!E330)</f>
        <v/>
      </c>
      <c r="AC304" s="29">
        <f>IF(N(AB304)&gt;0,N(AB304),N(AA304)*Y304)</f>
        <v/>
      </c>
      <c r="AD304" s="29">
        <f>IF(H304="yes",AC304,0)</f>
        <v/>
      </c>
      <c r="AE304" s="29">
        <f>AD304*N(M304)/100</f>
        <v/>
      </c>
      <c r="AF304" s="29">
        <f>AD304*N(O304)/100</f>
        <v/>
      </c>
      <c r="AG304" s="29">
        <f>AD304*N(P304)/100</f>
        <v/>
      </c>
      <c r="AH304" s="50">
        <f>IF(Q304="yes",AD304/1000,0)</f>
        <v/>
      </c>
      <c r="AI304" s="50">
        <f>IF(S304="FG2",AH304*X304,AH304)</f>
        <v/>
      </c>
    </row>
    <row r="305">
      <c r="A305" s="7" t="inlineStr">
        <is>
          <t>HM00580</t>
        </is>
      </c>
      <c r="B305" s="16" t="inlineStr">
        <is>
          <t>3012345640213</t>
        </is>
      </c>
      <c r="C305" s="7" t="inlineStr">
        <is>
          <t>RED KIDNEY BEANS 410G ORVALIS</t>
        </is>
      </c>
      <c r="D305" s="7" t="inlineStr">
        <is>
          <t>Red kidney beans in water, 410g</t>
        </is>
      </c>
      <c r="E305" s="7" t="inlineStr">
        <is>
          <t>Orvalis</t>
        </is>
      </c>
      <c r="F305" s="7" t="inlineStr">
        <is>
          <t>Grocery</t>
        </is>
      </c>
      <c r="G305" s="7" t="inlineStr">
        <is>
          <t>Pulses</t>
        </is>
      </c>
      <c r="H305" s="7" t="inlineStr">
        <is>
          <t>yes</t>
        </is>
      </c>
      <c r="I305" s="7" t="inlineStr">
        <is>
          <t>Plant-based core</t>
        </is>
      </c>
      <c r="J305" s="7" t="inlineStr">
        <is>
          <t>Pulses</t>
        </is>
      </c>
      <c r="K305" s="7" t="inlineStr">
        <is>
          <t>B</t>
        </is>
      </c>
      <c r="L305" s="7" t="inlineStr">
        <is>
          <t>Follows the class</t>
        </is>
      </c>
      <c r="M305" s="51" t="n">
        <v>7.1</v>
      </c>
      <c r="N305" s="7" t="inlineStr">
        <is>
          <t>Altera reference base</t>
        </is>
      </c>
      <c r="O305" s="54" t="n">
        <v>7.1</v>
      </c>
      <c r="P305" s="54" t="n">
        <v>0</v>
      </c>
      <c r="Q305" s="7" t="inlineStr">
        <is>
          <t>yes</t>
        </is>
      </c>
      <c r="R305" s="7" t="inlineStr">
        <is>
          <t>whole</t>
        </is>
      </c>
      <c r="S305" s="7" t="inlineStr">
        <is>
          <t>FG1</t>
        </is>
      </c>
      <c r="T305" s="7" t="inlineStr">
        <is>
          <t>Pulses</t>
        </is>
      </c>
      <c r="U305" s="7" t="inlineStr">
        <is>
          <t>plant</t>
        </is>
      </c>
      <c r="V305" s="7" t="n"/>
      <c r="W305" s="7" t="n"/>
      <c r="X305" s="55" t="n">
        <v>1</v>
      </c>
      <c r="Y305" s="50" t="n">
        <v>0.41</v>
      </c>
      <c r="Z305" s="7" t="inlineStr">
        <is>
          <t>declared</t>
        </is>
      </c>
      <c r="AA305" s="19">
        <f>IF(ISBLANK(Welcome!D331),"",Welcome!D331)</f>
        <v/>
      </c>
      <c r="AB305" s="29">
        <f>IF(ISBLANK(Welcome!E331),"",Welcome!E331)</f>
        <v/>
      </c>
      <c r="AC305" s="29">
        <f>IF(N(AB305)&gt;0,N(AB305),N(AA305)*Y305)</f>
        <v/>
      </c>
      <c r="AD305" s="29">
        <f>IF(H305="yes",AC305,0)</f>
        <v/>
      </c>
      <c r="AE305" s="29">
        <f>AD305*N(M305)/100</f>
        <v/>
      </c>
      <c r="AF305" s="29">
        <f>AD305*N(O305)/100</f>
        <v/>
      </c>
      <c r="AG305" s="29">
        <f>AD305*N(P305)/100</f>
        <v/>
      </c>
      <c r="AH305" s="50">
        <f>IF(Q305="yes",AD305/1000,0)</f>
        <v/>
      </c>
      <c r="AI305" s="50">
        <f>IF(S305="FG2",AH305*X305,AH305)</f>
        <v/>
      </c>
    </row>
    <row r="306">
      <c r="A306" s="7" t="inlineStr">
        <is>
          <t>HM00444</t>
        </is>
      </c>
      <c r="B306" s="16" t="inlineStr">
        <is>
          <t>3012345880879</t>
        </is>
      </c>
      <c r="C306" s="7" t="inlineStr">
        <is>
          <t>HM MIXED PEPPERS 500G</t>
        </is>
      </c>
      <c r="D306" s="7" t="inlineStr">
        <is>
          <t>Mixed peppers, 500g</t>
        </is>
      </c>
      <c r="E306" s="7" t="inlineStr">
        <is>
          <t>Harbour Market</t>
        </is>
      </c>
      <c r="F306" s="7" t="inlineStr">
        <is>
          <t>Fruit &amp; Vegetables</t>
        </is>
      </c>
      <c r="G306" s="7" t="inlineStr">
        <is>
          <t>Vegetables</t>
        </is>
      </c>
      <c r="H306" s="7" t="inlineStr">
        <is>
          <t>yes</t>
        </is>
      </c>
      <c r="I306" s="7" t="inlineStr">
        <is>
          <t>Plant-based non-core</t>
        </is>
      </c>
      <c r="J306" s="7" t="inlineStr">
        <is>
          <t>Fruit and vegetables</t>
        </is>
      </c>
      <c r="K306" s="7" t="inlineStr">
        <is>
          <t>B</t>
        </is>
      </c>
      <c r="L306" s="7" t="inlineStr">
        <is>
          <t>Follows the class</t>
        </is>
      </c>
      <c r="M306" s="51" t="n">
        <v>0.92</v>
      </c>
      <c r="N306" s="7" t="inlineStr">
        <is>
          <t>Declared by the retailer</t>
        </is>
      </c>
      <c r="O306" s="54" t="n">
        <v>0.92</v>
      </c>
      <c r="P306" s="54" t="n">
        <v>0</v>
      </c>
      <c r="Q306" s="7" t="inlineStr">
        <is>
          <t>yes</t>
        </is>
      </c>
      <c r="R306" s="7" t="inlineStr">
        <is>
          <t>whole</t>
        </is>
      </c>
      <c r="S306" s="7" t="inlineStr">
        <is>
          <t>FG4</t>
        </is>
      </c>
      <c r="T306" s="7" t="n"/>
      <c r="U306" s="7" t="inlineStr">
        <is>
          <t>plant</t>
        </is>
      </c>
      <c r="V306" s="7" t="n"/>
      <c r="W306" s="7" t="n"/>
      <c r="X306" s="55" t="n">
        <v>1</v>
      </c>
      <c r="Y306" s="50" t="n">
        <v>0.5</v>
      </c>
      <c r="Z306" s="7" t="inlineStr">
        <is>
          <t>declared</t>
        </is>
      </c>
      <c r="AA306" s="19">
        <f>IF(ISBLANK(Welcome!D332),"",Welcome!D332)</f>
        <v/>
      </c>
      <c r="AB306" s="29">
        <f>IF(ISBLANK(Welcome!E332),"",Welcome!E332)</f>
        <v/>
      </c>
      <c r="AC306" s="29">
        <f>IF(N(AB306)&gt;0,N(AB306),N(AA306)*Y306)</f>
        <v/>
      </c>
      <c r="AD306" s="29">
        <f>IF(H306="yes",AC306,0)</f>
        <v/>
      </c>
      <c r="AE306" s="29">
        <f>AD306*N(M306)/100</f>
        <v/>
      </c>
      <c r="AF306" s="29">
        <f>AD306*N(O306)/100</f>
        <v/>
      </c>
      <c r="AG306" s="29">
        <f>AD306*N(P306)/100</f>
        <v/>
      </c>
      <c r="AH306" s="50">
        <f>IF(Q306="yes",AD306/1000,0)</f>
        <v/>
      </c>
      <c r="AI306" s="50">
        <f>IF(S306="FG2",AH306*X306,AH306)</f>
        <v/>
      </c>
    </row>
    <row r="307">
      <c r="A307" s="7" t="inlineStr">
        <is>
          <t>HM00585</t>
        </is>
      </c>
      <c r="B307" s="16" t="inlineStr">
        <is>
          <t>5012345606514</t>
        </is>
      </c>
      <c r="C307" s="7" t="inlineStr">
        <is>
          <t>BF SIRLOIN STK 2X200G TARROW</t>
        </is>
      </c>
      <c r="D307" s="7" t="inlineStr">
        <is>
          <t>Beef sirloin steak, 2x200g</t>
        </is>
      </c>
      <c r="E307" s="7" t="inlineStr">
        <is>
          <t>Tarrow Farm</t>
        </is>
      </c>
      <c r="F307" s="7" t="inlineStr">
        <is>
          <t>Fresh Meat &amp; Poultry</t>
        </is>
      </c>
      <c r="G307" s="7" t="inlineStr">
        <is>
          <t>Beef</t>
        </is>
      </c>
      <c r="H307" s="7" t="inlineStr">
        <is>
          <t>yes</t>
        </is>
      </c>
      <c r="I307" s="7" t="inlineStr">
        <is>
          <t>Animal core</t>
        </is>
      </c>
      <c r="J307" s="7" t="inlineStr">
        <is>
          <t>Red meat</t>
        </is>
      </c>
      <c r="K307" s="7" t="inlineStr">
        <is>
          <t>B</t>
        </is>
      </c>
      <c r="L307" s="7" t="inlineStr">
        <is>
          <t>Follows the class</t>
        </is>
      </c>
      <c r="M307" s="51" t="n">
        <v>20.8</v>
      </c>
      <c r="N307" s="7" t="inlineStr">
        <is>
          <t>Declared by the retailer</t>
        </is>
      </c>
      <c r="O307" s="54" t="n">
        <v>0</v>
      </c>
      <c r="P307" s="54" t="n">
        <v>20.8</v>
      </c>
      <c r="Q307" s="7" t="inlineStr">
        <is>
          <t>yes</t>
        </is>
      </c>
      <c r="R307" s="7" t="inlineStr">
        <is>
          <t>whole</t>
        </is>
      </c>
      <c r="S307" s="7" t="inlineStr">
        <is>
          <t>FG1</t>
        </is>
      </c>
      <c r="T307" s="7" t="inlineStr">
        <is>
          <t>Red meat</t>
        </is>
      </c>
      <c r="U307" s="7" t="inlineStr">
        <is>
          <t>animal</t>
        </is>
      </c>
      <c r="V307" s="7" t="n"/>
      <c r="W307" s="7" t="n"/>
      <c r="X307" s="55" t="n">
        <v>1</v>
      </c>
      <c r="Y307" s="50" t="n">
        <v>0.4</v>
      </c>
      <c r="Z307" s="7" t="inlineStr">
        <is>
          <t>declared</t>
        </is>
      </c>
      <c r="AA307" s="19">
        <f>IF(ISBLANK(Welcome!D333),"",Welcome!D333)</f>
        <v/>
      </c>
      <c r="AB307" s="29">
        <f>IF(ISBLANK(Welcome!E333),"",Welcome!E333)</f>
        <v/>
      </c>
      <c r="AC307" s="29">
        <f>IF(N(AB307)&gt;0,N(AB307),N(AA307)*Y307)</f>
        <v/>
      </c>
      <c r="AD307" s="29">
        <f>IF(H307="yes",AC307,0)</f>
        <v/>
      </c>
      <c r="AE307" s="29">
        <f>AD307*N(M307)/100</f>
        <v/>
      </c>
      <c r="AF307" s="29">
        <f>AD307*N(O307)/100</f>
        <v/>
      </c>
      <c r="AG307" s="29">
        <f>AD307*N(P307)/100</f>
        <v/>
      </c>
      <c r="AH307" s="50">
        <f>IF(Q307="yes",AD307/1000,0)</f>
        <v/>
      </c>
      <c r="AI307" s="50">
        <f>IF(S307="FG2",AH307*X307,AH307)</f>
        <v/>
      </c>
    </row>
    <row r="308">
      <c r="A308" s="7" t="inlineStr">
        <is>
          <t>HM00387</t>
        </is>
      </c>
      <c r="B308" s="16" t="inlineStr">
        <is>
          <t>3012345465038</t>
        </is>
      </c>
      <c r="C308" s="7" t="inlineStr">
        <is>
          <t>HM SOYA DRINK UNSWT 1L</t>
        </is>
      </c>
      <c r="D308" s="7" t="inlineStr">
        <is>
          <t>Unsweetened soya drink, 1l</t>
        </is>
      </c>
      <c r="E308" s="7" t="inlineStr">
        <is>
          <t>Harbour Market</t>
        </is>
      </c>
      <c r="F308" s="7" t="inlineStr">
        <is>
          <t>Plant-Based</t>
        </is>
      </c>
      <c r="G308" s="7" t="inlineStr">
        <is>
          <t>Plant Drinks</t>
        </is>
      </c>
      <c r="H308" s="7" t="inlineStr">
        <is>
          <t>yes</t>
        </is>
      </c>
      <c r="I308" s="7" t="inlineStr">
        <is>
          <t>Plant-based core</t>
        </is>
      </c>
      <c r="J308" s="7" t="inlineStr">
        <is>
          <t>Plant-based dairy alternatives</t>
        </is>
      </c>
      <c r="K308" s="7" t="inlineStr">
        <is>
          <t>A</t>
        </is>
      </c>
      <c r="L308" s="7" t="inlineStr">
        <is>
          <t>All ingredients on one side</t>
        </is>
      </c>
      <c r="M308" s="51" t="n">
        <v>3.1</v>
      </c>
      <c r="N308" s="7" t="inlineStr">
        <is>
          <t>Median of the family</t>
        </is>
      </c>
      <c r="O308" s="54" t="n">
        <v>3.1</v>
      </c>
      <c r="P308" s="54" t="n">
        <v>0</v>
      </c>
      <c r="Q308" s="7" t="inlineStr">
        <is>
          <t>yes</t>
        </is>
      </c>
      <c r="R308" s="7" t="inlineStr">
        <is>
          <t>whole</t>
        </is>
      </c>
      <c r="S308" s="7" t="inlineStr">
        <is>
          <t>FG2</t>
        </is>
      </c>
      <c r="T308" s="7" t="inlineStr">
        <is>
          <t>Dairy alternatives</t>
        </is>
      </c>
      <c r="U308" s="7" t="inlineStr">
        <is>
          <t>plant</t>
        </is>
      </c>
      <c r="V308" s="7" t="n"/>
      <c r="W308" s="7" t="n"/>
      <c r="X308" s="55" t="n">
        <v>1</v>
      </c>
      <c r="Y308" s="50" t="n">
        <v>1.03</v>
      </c>
      <c r="Z308" s="7" t="inlineStr">
        <is>
          <t>declared</t>
        </is>
      </c>
      <c r="AA308" s="19">
        <f>IF(ISBLANK(Welcome!D334),"",Welcome!D334)</f>
        <v/>
      </c>
      <c r="AB308" s="29">
        <f>IF(ISBLANK(Welcome!E334),"",Welcome!E334)</f>
        <v/>
      </c>
      <c r="AC308" s="29">
        <f>IF(N(AB308)&gt;0,N(AB308),N(AA308)*Y308)</f>
        <v/>
      </c>
      <c r="AD308" s="29">
        <f>IF(H308="yes",AC308,0)</f>
        <v/>
      </c>
      <c r="AE308" s="29">
        <f>AD308*N(M308)/100</f>
        <v/>
      </c>
      <c r="AF308" s="29">
        <f>AD308*N(O308)/100</f>
        <v/>
      </c>
      <c r="AG308" s="29">
        <f>AD308*N(P308)/100</f>
        <v/>
      </c>
      <c r="AH308" s="50">
        <f>IF(Q308="yes",AD308/1000,0)</f>
        <v/>
      </c>
      <c r="AI308" s="50">
        <f>IF(S308="FG2",AH308*X308,AH308)</f>
        <v/>
      </c>
    </row>
    <row r="309">
      <c r="A309" s="7" t="inlineStr">
        <is>
          <t>HM00412</t>
        </is>
      </c>
      <c r="B309" s="16" t="inlineStr">
        <is>
          <t>8712345716653</t>
        </is>
      </c>
      <c r="C309" s="7" t="inlineStr">
        <is>
          <t>BF MINCE 20% 1KG TARROW</t>
        </is>
      </c>
      <c r="D309" s="7" t="inlineStr">
        <is>
          <t>Beef mince, 20% fat, 1kg</t>
        </is>
      </c>
      <c r="E309" s="7" t="inlineStr">
        <is>
          <t>Tarrow Farm</t>
        </is>
      </c>
      <c r="F309" s="7" t="inlineStr">
        <is>
          <t>Fresh Meat &amp; Poultry</t>
        </is>
      </c>
      <c r="G309" s="7" t="inlineStr">
        <is>
          <t>Beef</t>
        </is>
      </c>
      <c r="H309" s="7" t="inlineStr">
        <is>
          <t>yes</t>
        </is>
      </c>
      <c r="I309" s="7" t="inlineStr">
        <is>
          <t>Animal core</t>
        </is>
      </c>
      <c r="J309" s="7" t="inlineStr">
        <is>
          <t>Red meat</t>
        </is>
      </c>
      <c r="K309" s="7" t="inlineStr">
        <is>
          <t>A</t>
        </is>
      </c>
      <c r="L309" s="7" t="inlineStr">
        <is>
          <t>All ingredients on one side</t>
        </is>
      </c>
      <c r="M309" s="51" t="n">
        <v>17.3</v>
      </c>
      <c r="N309" s="7" t="inlineStr">
        <is>
          <t>Open Food Facts and NEVO, by EAN</t>
        </is>
      </c>
      <c r="O309" s="54" t="n">
        <v>0</v>
      </c>
      <c r="P309" s="54" t="n">
        <v>17.3</v>
      </c>
      <c r="Q309" s="7" t="inlineStr">
        <is>
          <t>yes</t>
        </is>
      </c>
      <c r="R309" s="7" t="inlineStr">
        <is>
          <t>whole</t>
        </is>
      </c>
      <c r="S309" s="7" t="inlineStr">
        <is>
          <t>FG1</t>
        </is>
      </c>
      <c r="T309" s="7" t="inlineStr">
        <is>
          <t>Red meat</t>
        </is>
      </c>
      <c r="U309" s="7" t="inlineStr">
        <is>
          <t>animal</t>
        </is>
      </c>
      <c r="V309" s="7" t="n"/>
      <c r="W309" s="7" t="n"/>
      <c r="X309" s="55" t="n">
        <v>1</v>
      </c>
      <c r="Y309" s="50" t="n">
        <v>1</v>
      </c>
      <c r="Z309" s="7" t="inlineStr">
        <is>
          <t>declared</t>
        </is>
      </c>
      <c r="AA309" s="19">
        <f>IF(ISBLANK(Welcome!D335),"",Welcome!D335)</f>
        <v/>
      </c>
      <c r="AB309" s="29">
        <f>IF(ISBLANK(Welcome!E335),"",Welcome!E335)</f>
        <v/>
      </c>
      <c r="AC309" s="29">
        <f>IF(N(AB309)&gt;0,N(AB309),N(AA309)*Y309)</f>
        <v/>
      </c>
      <c r="AD309" s="29">
        <f>IF(H309="yes",AC309,0)</f>
        <v/>
      </c>
      <c r="AE309" s="29">
        <f>AD309*N(M309)/100</f>
        <v/>
      </c>
      <c r="AF309" s="29">
        <f>AD309*N(O309)/100</f>
        <v/>
      </c>
      <c r="AG309" s="29">
        <f>AD309*N(P309)/100</f>
        <v/>
      </c>
      <c r="AH309" s="50">
        <f>IF(Q309="yes",AD309/1000,0)</f>
        <v/>
      </c>
      <c r="AI309" s="50">
        <f>IF(S309="FG2",AH309*X309,AH309)</f>
        <v/>
      </c>
    </row>
    <row r="310">
      <c r="A310" s="7" t="inlineStr">
        <is>
          <t>HM00749</t>
        </is>
      </c>
      <c r="B310" s="16" t="inlineStr">
        <is>
          <t>4012345318296</t>
        </is>
      </c>
      <c r="C310" s="7" t="inlineStr">
        <is>
          <t>TARROW PORK LOIN CHOPS 500G</t>
        </is>
      </c>
      <c r="D310" s="7" t="inlineStr">
        <is>
          <t>Pork loin chops, 500g</t>
        </is>
      </c>
      <c r="E310" s="7" t="inlineStr">
        <is>
          <t>Tarrow Farm</t>
        </is>
      </c>
      <c r="F310" s="7" t="inlineStr">
        <is>
          <t>Fresh Meat &amp; Poultry</t>
        </is>
      </c>
      <c r="G310" s="7" t="inlineStr">
        <is>
          <t>Pork</t>
        </is>
      </c>
      <c r="H310" s="7" t="inlineStr">
        <is>
          <t>yes</t>
        </is>
      </c>
      <c r="I310" s="7" t="inlineStr">
        <is>
          <t>Animal core</t>
        </is>
      </c>
      <c r="J310" s="7" t="inlineStr">
        <is>
          <t>Red meat</t>
        </is>
      </c>
      <c r="K310" s="7" t="inlineStr">
        <is>
          <t>B</t>
        </is>
      </c>
      <c r="L310" s="7" t="inlineStr">
        <is>
          <t>Follows the class</t>
        </is>
      </c>
      <c r="M310" s="51" t="n">
        <v>18.9</v>
      </c>
      <c r="N310" s="7" t="inlineStr">
        <is>
          <t>Declared by the retailer</t>
        </is>
      </c>
      <c r="O310" s="54" t="n">
        <v>0</v>
      </c>
      <c r="P310" s="54" t="n">
        <v>18.9</v>
      </c>
      <c r="Q310" s="7" t="inlineStr">
        <is>
          <t>yes</t>
        </is>
      </c>
      <c r="R310" s="7" t="inlineStr">
        <is>
          <t>whole</t>
        </is>
      </c>
      <c r="S310" s="7" t="inlineStr">
        <is>
          <t>FG1</t>
        </is>
      </c>
      <c r="T310" s="7" t="inlineStr">
        <is>
          <t>Red meat</t>
        </is>
      </c>
      <c r="U310" s="7" t="inlineStr">
        <is>
          <t>animal</t>
        </is>
      </c>
      <c r="V310" s="7" t="n"/>
      <c r="W310" s="7" t="n"/>
      <c r="X310" s="55" t="n">
        <v>1</v>
      </c>
      <c r="Y310" s="50" t="n">
        <v>0.5</v>
      </c>
      <c r="Z310" s="7" t="inlineStr">
        <is>
          <t>declared</t>
        </is>
      </c>
      <c r="AA310" s="19">
        <f>IF(ISBLANK(Welcome!D336),"",Welcome!D336)</f>
        <v/>
      </c>
      <c r="AB310" s="29">
        <f>IF(ISBLANK(Welcome!E336),"",Welcome!E336)</f>
        <v/>
      </c>
      <c r="AC310" s="29">
        <f>IF(N(AB310)&gt;0,N(AB310),N(AA310)*Y310)</f>
        <v/>
      </c>
      <c r="AD310" s="29">
        <f>IF(H310="yes",AC310,0)</f>
        <v/>
      </c>
      <c r="AE310" s="29">
        <f>AD310*N(M310)/100</f>
        <v/>
      </c>
      <c r="AF310" s="29">
        <f>AD310*N(O310)/100</f>
        <v/>
      </c>
      <c r="AG310" s="29">
        <f>AD310*N(P310)/100</f>
        <v/>
      </c>
      <c r="AH310" s="50">
        <f>IF(Q310="yes",AD310/1000,0)</f>
        <v/>
      </c>
      <c r="AI310" s="50">
        <f>IF(S310="FG2",AH310*X310,AH310)</f>
        <v/>
      </c>
    </row>
    <row r="311">
      <c r="A311" s="7" t="inlineStr">
        <is>
          <t>HM00391</t>
        </is>
      </c>
      <c r="B311" s="16" t="inlineStr">
        <is>
          <t>8712345922443</t>
        </is>
      </c>
      <c r="C311" s="7" t="inlineStr">
        <is>
          <t>CHKN BREAST FLT 1.4KG TARROW</t>
        </is>
      </c>
      <c r="D311" s="7" t="inlineStr">
        <is>
          <t>Chicken breast fillets, 1.4kg</t>
        </is>
      </c>
      <c r="E311" s="7" t="inlineStr">
        <is>
          <t>Tarrow Farm</t>
        </is>
      </c>
      <c r="F311" s="7" t="inlineStr">
        <is>
          <t>Fresh Meat &amp; Poultry</t>
        </is>
      </c>
      <c r="G311" s="7" t="inlineStr">
        <is>
          <t>Poultry</t>
        </is>
      </c>
      <c r="H311" s="7" t="inlineStr">
        <is>
          <t>yes</t>
        </is>
      </c>
      <c r="I311" s="7" t="inlineStr">
        <is>
          <t>Animal core</t>
        </is>
      </c>
      <c r="J311" s="7" t="inlineStr">
        <is>
          <t>Poultry</t>
        </is>
      </c>
      <c r="K311" s="7" t="inlineStr">
        <is>
          <t>A</t>
        </is>
      </c>
      <c r="L311" s="7" t="inlineStr">
        <is>
          <t>All ingredients on one side</t>
        </is>
      </c>
      <c r="M311" s="51" t="n">
        <v>23.4</v>
      </c>
      <c r="N311" s="7" t="inlineStr">
        <is>
          <t>Declared by the retailer</t>
        </is>
      </c>
      <c r="O311" s="54" t="n">
        <v>0</v>
      </c>
      <c r="P311" s="54" t="n">
        <v>23.4</v>
      </c>
      <c r="Q311" s="7" t="inlineStr">
        <is>
          <t>yes</t>
        </is>
      </c>
      <c r="R311" s="7" t="inlineStr">
        <is>
          <t>whole</t>
        </is>
      </c>
      <c r="S311" s="7" t="inlineStr">
        <is>
          <t>FG1</t>
        </is>
      </c>
      <c r="T311" s="7" t="inlineStr">
        <is>
          <t>Poultry</t>
        </is>
      </c>
      <c r="U311" s="7" t="inlineStr">
        <is>
          <t>animal</t>
        </is>
      </c>
      <c r="V311" s="7" t="n"/>
      <c r="W311" s="7" t="n"/>
      <c r="X311" s="55" t="n">
        <v>1</v>
      </c>
      <c r="Y311" s="50" t="n">
        <v>1.4</v>
      </c>
      <c r="Z311" s="7" t="inlineStr">
        <is>
          <t>declared</t>
        </is>
      </c>
      <c r="AA311" s="19">
        <f>IF(ISBLANK(Welcome!D337),"",Welcome!D337)</f>
        <v/>
      </c>
      <c r="AB311" s="29">
        <f>IF(ISBLANK(Welcome!E337),"",Welcome!E337)</f>
        <v/>
      </c>
      <c r="AC311" s="29">
        <f>IF(N(AB311)&gt;0,N(AB311),N(AA311)*Y311)</f>
        <v/>
      </c>
      <c r="AD311" s="29">
        <f>IF(H311="yes",AC311,0)</f>
        <v/>
      </c>
      <c r="AE311" s="29">
        <f>AD311*N(M311)/100</f>
        <v/>
      </c>
      <c r="AF311" s="29">
        <f>AD311*N(O311)/100</f>
        <v/>
      </c>
      <c r="AG311" s="29">
        <f>AD311*N(P311)/100</f>
        <v/>
      </c>
      <c r="AH311" s="50">
        <f>IF(Q311="yes",AD311/1000,0)</f>
        <v/>
      </c>
      <c r="AI311" s="50">
        <f>IF(S311="FG2",AH311*X311,AH311)</f>
        <v/>
      </c>
    </row>
    <row r="312">
      <c r="A312" s="7" t="inlineStr">
        <is>
          <t>HM00596</t>
        </is>
      </c>
      <c r="B312" s="16" t="inlineStr">
        <is>
          <t>3012345040433</t>
        </is>
      </c>
      <c r="C312" s="7" t="inlineStr">
        <is>
          <t>BLENDED WHISKY 70CL PENWARD</t>
        </is>
      </c>
      <c r="D312" s="7" t="inlineStr">
        <is>
          <t>Blended whisky, 70cl</t>
        </is>
      </c>
      <c r="E312" s="7" t="inlineStr">
        <is>
          <t>Penward</t>
        </is>
      </c>
      <c r="F312" s="7" t="inlineStr">
        <is>
          <t>Beer, Wine &amp; Spirits</t>
        </is>
      </c>
      <c r="G312" s="7" t="inlineStr">
        <is>
          <t>Spirits</t>
        </is>
      </c>
      <c r="H312" s="7" t="inlineStr">
        <is>
          <t>yes</t>
        </is>
      </c>
      <c r="I312" s="7" t="inlineStr">
        <is>
          <t>Plant-based non-core</t>
        </is>
      </c>
      <c r="J312" s="7" t="inlineStr">
        <is>
          <t>Outside the WWF scope</t>
        </is>
      </c>
      <c r="K312" s="7" t="inlineStr">
        <is>
          <t>A</t>
        </is>
      </c>
      <c r="L312" s="7" t="inlineStr">
        <is>
          <t>All ingredients on one side</t>
        </is>
      </c>
      <c r="M312" s="51" t="n">
        <v>0</v>
      </c>
      <c r="N312" s="7" t="inlineStr">
        <is>
          <t>Declared by the retailer</t>
        </is>
      </c>
      <c r="O312" s="54" t="n">
        <v>0</v>
      </c>
      <c r="P312" s="54" t="n">
        <v>0</v>
      </c>
      <c r="Q312" s="7" t="inlineStr">
        <is>
          <t>no</t>
        </is>
      </c>
      <c r="R312" s="7" t="n"/>
      <c r="S312" s="7" t="n"/>
      <c r="T312" s="7" t="n"/>
      <c r="U312" s="7" t="n"/>
      <c r="V312" s="7" t="n"/>
      <c r="W312" s="7" t="inlineStr">
        <is>
          <t>alcohol</t>
        </is>
      </c>
      <c r="X312" s="55" t="n">
        <v>1</v>
      </c>
      <c r="Y312" s="50" t="n">
        <v>0.7</v>
      </c>
      <c r="Z312" s="7" t="inlineStr">
        <is>
          <t>declared</t>
        </is>
      </c>
      <c r="AA312" s="19">
        <f>IF(ISBLANK(Welcome!D338),"",Welcome!D338)</f>
        <v/>
      </c>
      <c r="AB312" s="29">
        <f>IF(ISBLANK(Welcome!E338),"",Welcome!E338)</f>
        <v/>
      </c>
      <c r="AC312" s="29">
        <f>IF(N(AB312)&gt;0,N(AB312),N(AA312)*Y312)</f>
        <v/>
      </c>
      <c r="AD312" s="29">
        <f>IF(H312="yes",AC312,0)</f>
        <v/>
      </c>
      <c r="AE312" s="29">
        <f>AD312*N(M312)/100</f>
        <v/>
      </c>
      <c r="AF312" s="29">
        <f>AD312*N(O312)/100</f>
        <v/>
      </c>
      <c r="AG312" s="29">
        <f>AD312*N(P312)/100</f>
        <v/>
      </c>
      <c r="AH312" s="50">
        <f>IF(Q312="yes",AD312/1000,0)</f>
        <v/>
      </c>
      <c r="AI312" s="50">
        <f>IF(S312="FG2",AH312*X312,AH312)</f>
        <v/>
      </c>
    </row>
    <row r="313">
      <c r="A313" s="7" t="inlineStr">
        <is>
          <t>HM00255</t>
        </is>
      </c>
      <c r="B313" s="16" t="inlineStr">
        <is>
          <t>4012345999983</t>
        </is>
      </c>
      <c r="C313" s="7" t="inlineStr">
        <is>
          <t>STRAWB ICE CREAM 1.8L MARLOWE</t>
        </is>
      </c>
      <c r="D313" s="7" t="inlineStr">
        <is>
          <t>Strawberry ice cream, 1.8l</t>
        </is>
      </c>
      <c r="E313" s="7" t="inlineStr">
        <is>
          <t>Marlowe</t>
        </is>
      </c>
      <c r="F313" s="7" t="inlineStr">
        <is>
          <t>Frozen</t>
        </is>
      </c>
      <c r="G313" s="7" t="inlineStr">
        <is>
          <t>Ice Cream</t>
        </is>
      </c>
      <c r="H313" s="7" t="inlineStr">
        <is>
          <t>yes</t>
        </is>
      </c>
      <c r="I313" s="7" t="inlineStr">
        <is>
          <t>Animal core</t>
        </is>
      </c>
      <c r="J313" s="7" t="inlineStr">
        <is>
          <t>Discretionary products</t>
        </is>
      </c>
      <c r="K313" s="7" t="inlineStr">
        <is>
          <t>B</t>
        </is>
      </c>
      <c r="L313" s="7" t="inlineStr">
        <is>
          <t>First ingredient</t>
        </is>
      </c>
      <c r="M313" s="51" t="n">
        <v>3.4</v>
      </c>
      <c r="N313" s="7" t="inlineStr">
        <is>
          <t>National food table (CIQUAL in France)</t>
        </is>
      </c>
      <c r="O313" s="54" t="n">
        <v>0</v>
      </c>
      <c r="P313" s="54" t="n">
        <v>3.4</v>
      </c>
      <c r="Q313" s="7" t="inlineStr">
        <is>
          <t>yes</t>
        </is>
      </c>
      <c r="R313" s="7" t="inlineStr">
        <is>
          <t>whole</t>
        </is>
      </c>
      <c r="S313" s="7" t="inlineStr">
        <is>
          <t>FG7</t>
        </is>
      </c>
      <c r="T313" s="7" t="n"/>
      <c r="U313" s="7" t="inlineStr">
        <is>
          <t>animal</t>
        </is>
      </c>
      <c r="V313" s="7" t="n"/>
      <c r="W313" s="7" t="n"/>
      <c r="X313" s="55" t="n">
        <v>1</v>
      </c>
      <c r="Y313" s="50" t="n">
        <v>1</v>
      </c>
      <c r="Z313" s="7" t="inlineStr">
        <is>
          <t>declared</t>
        </is>
      </c>
      <c r="AA313" s="19">
        <f>IF(ISBLANK(Welcome!D339),"",Welcome!D339)</f>
        <v/>
      </c>
      <c r="AB313" s="29">
        <f>IF(ISBLANK(Welcome!E339),"",Welcome!E339)</f>
        <v/>
      </c>
      <c r="AC313" s="29">
        <f>IF(N(AB313)&gt;0,N(AB313),N(AA313)*Y313)</f>
        <v/>
      </c>
      <c r="AD313" s="29">
        <f>IF(H313="yes",AC313,0)</f>
        <v/>
      </c>
      <c r="AE313" s="29">
        <f>AD313*N(M313)/100</f>
        <v/>
      </c>
      <c r="AF313" s="29">
        <f>AD313*N(O313)/100</f>
        <v/>
      </c>
      <c r="AG313" s="29">
        <f>AD313*N(P313)/100</f>
        <v/>
      </c>
      <c r="AH313" s="50">
        <f>IF(Q313="yes",AD313/1000,0)</f>
        <v/>
      </c>
      <c r="AI313" s="50">
        <f>IF(S313="FG2",AH313*X313,AH313)</f>
        <v/>
      </c>
    </row>
    <row r="314">
      <c r="A314" s="7" t="inlineStr">
        <is>
          <t>HM00472</t>
        </is>
      </c>
      <c r="B314" s="16" t="inlineStr">
        <is>
          <t>4012345652994</t>
        </is>
      </c>
      <c r="C314" s="7" t="inlineStr">
        <is>
          <t>BF LASAGNE 400G QUILLAN</t>
        </is>
      </c>
      <c r="D314" s="7" t="inlineStr">
        <is>
          <t>Beef lasagne, 400g</t>
        </is>
      </c>
      <c r="E314" s="7" t="inlineStr">
        <is>
          <t>Quillan</t>
        </is>
      </c>
      <c r="F314" s="7" t="inlineStr">
        <is>
          <t>Ready Meals</t>
        </is>
      </c>
      <c r="G314" s="7" t="inlineStr">
        <is>
          <t>Ready Meals</t>
        </is>
      </c>
      <c r="H314" s="7" t="inlineStr">
        <is>
          <t>yes</t>
        </is>
      </c>
      <c r="I314" s="7" t="inlineStr">
        <is>
          <t>Animal &amp; plant composite</t>
        </is>
      </c>
      <c r="J314" s="7" t="inlineStr">
        <is>
          <t>Meat-based dishes</t>
        </is>
      </c>
      <c r="K314" s="7" t="inlineStr">
        <is>
          <t>A</t>
        </is>
      </c>
      <c r="L314" s="7" t="inlineStr">
        <is>
          <t>NEVO food table (ratio only)</t>
        </is>
      </c>
      <c r="M314" s="51" t="n">
        <v>7.4</v>
      </c>
      <c r="N314" s="7" t="inlineStr">
        <is>
          <t>Open Food Facts and NEVO, by EAN</t>
        </is>
      </c>
      <c r="O314" s="54" t="n">
        <v>2.59</v>
      </c>
      <c r="P314" s="54" t="n">
        <v>4.81</v>
      </c>
      <c r="Q314" s="7" t="inlineStr">
        <is>
          <t>yes</t>
        </is>
      </c>
      <c r="R314" s="7" t="inlineStr">
        <is>
          <t>composite</t>
        </is>
      </c>
      <c r="S314" s="7" t="n"/>
      <c r="T314" s="7" t="n"/>
      <c r="U314" s="7" t="n"/>
      <c r="V314" s="7" t="inlineStr">
        <is>
          <t>meat-based</t>
        </is>
      </c>
      <c r="W314" s="7" t="n"/>
      <c r="X314" s="55" t="n">
        <v>1</v>
      </c>
      <c r="Y314" s="50" t="n">
        <v>0.4</v>
      </c>
      <c r="Z314" s="7" t="inlineStr">
        <is>
          <t>declared</t>
        </is>
      </c>
      <c r="AA314" s="19">
        <f>IF(ISBLANK(Welcome!D340),"",Welcome!D340)</f>
        <v/>
      </c>
      <c r="AB314" s="29">
        <f>IF(ISBLANK(Welcome!E340),"",Welcome!E340)</f>
        <v/>
      </c>
      <c r="AC314" s="29">
        <f>IF(N(AB314)&gt;0,N(AB314),N(AA314)*Y314)</f>
        <v/>
      </c>
      <c r="AD314" s="29">
        <f>IF(H314="yes",AC314,0)</f>
        <v/>
      </c>
      <c r="AE314" s="29">
        <f>AD314*N(M314)/100</f>
        <v/>
      </c>
      <c r="AF314" s="29">
        <f>AD314*N(O314)/100</f>
        <v/>
      </c>
      <c r="AG314" s="29">
        <f>AD314*N(P314)/100</f>
        <v/>
      </c>
      <c r="AH314" s="50">
        <f>IF(Q314="yes",AD314/1000,0)</f>
        <v/>
      </c>
      <c r="AI314" s="50">
        <f>IF(S314="FG2",AH314*X314,AH314)</f>
        <v/>
      </c>
    </row>
    <row r="315">
      <c r="A315" s="7" t="inlineStr">
        <is>
          <t>HM00130</t>
        </is>
      </c>
      <c r="B315" s="16" t="inlineStr">
        <is>
          <t>3012345724210</t>
        </is>
      </c>
      <c r="C315" s="7" t="inlineStr">
        <is>
          <t>WALNUT HALVES 500G PENROCK</t>
        </is>
      </c>
      <c r="D315" s="7" t="inlineStr">
        <is>
          <t>Walnut halves, 500g</t>
        </is>
      </c>
      <c r="E315" s="7" t="inlineStr">
        <is>
          <t>Penrock</t>
        </is>
      </c>
      <c r="F315" s="7" t="inlineStr">
        <is>
          <t>Grocery</t>
        </is>
      </c>
      <c r="G315" s="7" t="inlineStr">
        <is>
          <t>Nuts &amp; Seeds</t>
        </is>
      </c>
      <c r="H315" s="7" t="inlineStr">
        <is>
          <t>yes</t>
        </is>
      </c>
      <c r="I315" s="7" t="inlineStr">
        <is>
          <t>Plant-based core</t>
        </is>
      </c>
      <c r="J315" s="7" t="inlineStr">
        <is>
          <t>Nuts</t>
        </is>
      </c>
      <c r="K315" s="7" t="inlineStr">
        <is>
          <t>A</t>
        </is>
      </c>
      <c r="L315" s="7" t="inlineStr">
        <is>
          <t>All ingredients on one side</t>
        </is>
      </c>
      <c r="M315" s="51" t="n">
        <v>15.2</v>
      </c>
      <c r="N315" s="7" t="inlineStr">
        <is>
          <t>Declared by the retailer</t>
        </is>
      </c>
      <c r="O315" s="54" t="n">
        <v>15.2</v>
      </c>
      <c r="P315" s="54" t="n">
        <v>0</v>
      </c>
      <c r="Q315" s="7" t="inlineStr">
        <is>
          <t>yes</t>
        </is>
      </c>
      <c r="R315" s="7" t="inlineStr">
        <is>
          <t>whole</t>
        </is>
      </c>
      <c r="S315" s="7" t="inlineStr">
        <is>
          <t>FG1</t>
        </is>
      </c>
      <c r="T315" s="7" t="inlineStr">
        <is>
          <t>Nuts</t>
        </is>
      </c>
      <c r="U315" s="7" t="inlineStr">
        <is>
          <t>plant</t>
        </is>
      </c>
      <c r="V315" s="7" t="n"/>
      <c r="W315" s="7" t="n"/>
      <c r="X315" s="55" t="n">
        <v>1</v>
      </c>
      <c r="Y315" s="50" t="n">
        <v>0.5</v>
      </c>
      <c r="Z315" s="7" t="inlineStr">
        <is>
          <t>declared</t>
        </is>
      </c>
      <c r="AA315" s="19">
        <f>IF(ISBLANK(Welcome!D341),"",Welcome!D341)</f>
        <v/>
      </c>
      <c r="AB315" s="29">
        <f>IF(ISBLANK(Welcome!E341),"",Welcome!E341)</f>
        <v/>
      </c>
      <c r="AC315" s="29">
        <f>IF(N(AB315)&gt;0,N(AB315),N(AA315)*Y315)</f>
        <v/>
      </c>
      <c r="AD315" s="29">
        <f>IF(H315="yes",AC315,0)</f>
        <v/>
      </c>
      <c r="AE315" s="29">
        <f>AD315*N(M315)/100</f>
        <v/>
      </c>
      <c r="AF315" s="29">
        <f>AD315*N(O315)/100</f>
        <v/>
      </c>
      <c r="AG315" s="29">
        <f>AD315*N(P315)/100</f>
        <v/>
      </c>
      <c r="AH315" s="50">
        <f>IF(Q315="yes",AD315/1000,0)</f>
        <v/>
      </c>
      <c r="AI315" s="50">
        <f>IF(S315="FG2",AH315*X315,AH315)</f>
        <v/>
      </c>
    </row>
    <row r="316">
      <c r="A316" s="7" t="inlineStr">
        <is>
          <t>HM00194</t>
        </is>
      </c>
      <c r="B316" s="16" t="inlineStr">
        <is>
          <t>5012345792668</t>
        </is>
      </c>
      <c r="C316" s="7" t="inlineStr">
        <is>
          <t>HM PIZZA HAM MUSHROOM 400G</t>
        </is>
      </c>
      <c r="D316" s="7" t="inlineStr">
        <is>
          <t>Ham &amp; mushroom pizza, 400g</t>
        </is>
      </c>
      <c r="E316" s="7" t="inlineStr">
        <is>
          <t>Harbour Market</t>
        </is>
      </c>
      <c r="F316" s="7" t="inlineStr">
        <is>
          <t>Frozen</t>
        </is>
      </c>
      <c r="G316" s="7" t="inlineStr">
        <is>
          <t>Pizza</t>
        </is>
      </c>
      <c r="H316" s="7" t="inlineStr">
        <is>
          <t>yes</t>
        </is>
      </c>
      <c r="I316" s="7" t="inlineStr">
        <is>
          <t>Animal &amp; plant composite</t>
        </is>
      </c>
      <c r="J316" s="7" t="inlineStr">
        <is>
          <t>Meat-based dishes</t>
        </is>
      </c>
      <c r="K316" s="7" t="inlineStr">
        <is>
          <t>B</t>
        </is>
      </c>
      <c r="L316" s="7" t="inlineStr">
        <is>
          <t>50/50 convention</t>
        </is>
      </c>
      <c r="M316" s="51" t="n">
        <v>10</v>
      </c>
      <c r="N316" s="7" t="inlineStr">
        <is>
          <t>Median of the family</t>
        </is>
      </c>
      <c r="O316" s="54" t="n">
        <v>5</v>
      </c>
      <c r="P316" s="54" t="n">
        <v>5</v>
      </c>
      <c r="Q316" s="7" t="inlineStr">
        <is>
          <t>yes</t>
        </is>
      </c>
      <c r="R316" s="7" t="inlineStr">
        <is>
          <t>composite</t>
        </is>
      </c>
      <c r="S316" s="7" t="n"/>
      <c r="T316" s="7" t="n"/>
      <c r="U316" s="7" t="n"/>
      <c r="V316" s="7" t="inlineStr">
        <is>
          <t>meat-based</t>
        </is>
      </c>
      <c r="W316" s="7" t="n"/>
      <c r="X316" s="55" t="n">
        <v>1</v>
      </c>
      <c r="Y316" s="50" t="n">
        <v>0.4</v>
      </c>
      <c r="Z316" s="7" t="inlineStr">
        <is>
          <t>declared</t>
        </is>
      </c>
      <c r="AA316" s="19">
        <f>IF(ISBLANK(Welcome!D342),"",Welcome!D342)</f>
        <v/>
      </c>
      <c r="AB316" s="29">
        <f>IF(ISBLANK(Welcome!E342),"",Welcome!E342)</f>
        <v/>
      </c>
      <c r="AC316" s="29">
        <f>IF(N(AB316)&gt;0,N(AB316),N(AA316)*Y316)</f>
        <v/>
      </c>
      <c r="AD316" s="29">
        <f>IF(H316="yes",AC316,0)</f>
        <v/>
      </c>
      <c r="AE316" s="29">
        <f>AD316*N(M316)/100</f>
        <v/>
      </c>
      <c r="AF316" s="29">
        <f>AD316*N(O316)/100</f>
        <v/>
      </c>
      <c r="AG316" s="29">
        <f>AD316*N(P316)/100</f>
        <v/>
      </c>
      <c r="AH316" s="50">
        <f>IF(Q316="yes",AD316/1000,0)</f>
        <v/>
      </c>
      <c r="AI316" s="50">
        <f>IF(S316="FG2",AH316*X316,AH316)</f>
        <v/>
      </c>
    </row>
    <row r="317">
      <c r="A317" s="7" t="inlineStr">
        <is>
          <t>HM00200</t>
        </is>
      </c>
      <c r="B317" s="16" t="inlineStr">
        <is>
          <t>5012345378435</t>
        </is>
      </c>
      <c r="C317" s="7" t="inlineStr">
        <is>
          <t>QUILLAN PIZZA MARGHERITA 335G</t>
        </is>
      </c>
      <c r="D317" s="7" t="inlineStr">
        <is>
          <t>Margherita pizza, 335g</t>
        </is>
      </c>
      <c r="E317" s="7" t="inlineStr">
        <is>
          <t>Quillan</t>
        </is>
      </c>
      <c r="F317" s="7" t="inlineStr">
        <is>
          <t>Frozen</t>
        </is>
      </c>
      <c r="G317" s="7" t="inlineStr">
        <is>
          <t>Pizza</t>
        </is>
      </c>
      <c r="H317" s="7" t="inlineStr">
        <is>
          <t>yes</t>
        </is>
      </c>
      <c r="I317" s="7" t="inlineStr">
        <is>
          <t>Animal &amp; plant composite</t>
        </is>
      </c>
      <c r="J317" s="7" t="inlineStr">
        <is>
          <t>Vegetarian dishes</t>
        </is>
      </c>
      <c r="K317" s="7" t="inlineStr">
        <is>
          <t>B</t>
        </is>
      </c>
      <c r="L317" s="7" t="inlineStr">
        <is>
          <t>50/50 convention</t>
        </is>
      </c>
      <c r="M317" s="51" t="n">
        <v>10.2</v>
      </c>
      <c r="N317" s="7" t="inlineStr">
        <is>
          <t>Open Food Facts and NEVO, by EAN</t>
        </is>
      </c>
      <c r="O317" s="54" t="n">
        <v>5.1</v>
      </c>
      <c r="P317" s="54" t="n">
        <v>5.1</v>
      </c>
      <c r="Q317" s="7" t="inlineStr">
        <is>
          <t>yes</t>
        </is>
      </c>
      <c r="R317" s="7" t="inlineStr">
        <is>
          <t>composite</t>
        </is>
      </c>
      <c r="S317" s="7" t="n"/>
      <c r="T317" s="7" t="n"/>
      <c r="U317" s="7" t="n"/>
      <c r="V317" s="7" t="inlineStr">
        <is>
          <t>vegetarian</t>
        </is>
      </c>
      <c r="W317" s="7" t="n"/>
      <c r="X317" s="55" t="n">
        <v>1</v>
      </c>
      <c r="Y317" s="50" t="n">
        <v>0.335</v>
      </c>
      <c r="Z317" s="7" t="inlineStr">
        <is>
          <t>declared</t>
        </is>
      </c>
      <c r="AA317" s="19">
        <f>IF(ISBLANK(Welcome!D343),"",Welcome!D343)</f>
        <v/>
      </c>
      <c r="AB317" s="29">
        <f>IF(ISBLANK(Welcome!E343),"",Welcome!E343)</f>
        <v/>
      </c>
      <c r="AC317" s="29">
        <f>IF(N(AB317)&gt;0,N(AB317),N(AA317)*Y317)</f>
        <v/>
      </c>
      <c r="AD317" s="29">
        <f>IF(H317="yes",AC317,0)</f>
        <v/>
      </c>
      <c r="AE317" s="29">
        <f>AD317*N(M317)/100</f>
        <v/>
      </c>
      <c r="AF317" s="29">
        <f>AD317*N(O317)/100</f>
        <v/>
      </c>
      <c r="AG317" s="29">
        <f>AD317*N(P317)/100</f>
        <v/>
      </c>
      <c r="AH317" s="50">
        <f>IF(Q317="yes",AD317/1000,0)</f>
        <v/>
      </c>
      <c r="AI317" s="50">
        <f>IF(S317="FG2",AH317*X317,AH317)</f>
        <v/>
      </c>
    </row>
    <row r="318">
      <c r="A318" s="7" t="inlineStr">
        <is>
          <t>HM00750</t>
        </is>
      </c>
      <c r="B318" s="16" t="inlineStr">
        <is>
          <t>2482795774650</t>
        </is>
      </c>
      <c r="C318" s="7" t="inlineStr">
        <is>
          <t>HM BLUEBERRIES LOOSE</t>
        </is>
      </c>
      <c r="D318" s="7" t="inlineStr">
        <is>
          <t>Blueberries</t>
        </is>
      </c>
      <c r="E318" s="7" t="inlineStr">
        <is>
          <t>Harbour Market</t>
        </is>
      </c>
      <c r="F318" s="7" t="inlineStr">
        <is>
          <t>Fruit &amp; Vegetables</t>
        </is>
      </c>
      <c r="G318" s="7" t="inlineStr">
        <is>
          <t>Fruit</t>
        </is>
      </c>
      <c r="H318" s="7" t="inlineStr">
        <is>
          <t>yes</t>
        </is>
      </c>
      <c r="I318" s="7" t="inlineStr">
        <is>
          <t>Plant-based non-core</t>
        </is>
      </c>
      <c r="J318" s="7" t="inlineStr">
        <is>
          <t>Fruit and vegetables</t>
        </is>
      </c>
      <c r="K318" s="7" t="inlineStr">
        <is>
          <t>B</t>
        </is>
      </c>
      <c r="L318" s="7" t="inlineStr">
        <is>
          <t>Follows the class</t>
        </is>
      </c>
      <c r="M318" s="51" t="n">
        <v>0.7</v>
      </c>
      <c r="N318" s="7" t="inlineStr">
        <is>
          <t>Declared by the retailer</t>
        </is>
      </c>
      <c r="O318" s="54" t="n">
        <v>0.7</v>
      </c>
      <c r="P318" s="54" t="n">
        <v>0</v>
      </c>
      <c r="Q318" s="7" t="inlineStr">
        <is>
          <t>yes</t>
        </is>
      </c>
      <c r="R318" s="7" t="inlineStr">
        <is>
          <t>whole</t>
        </is>
      </c>
      <c r="S318" s="7" t="inlineStr">
        <is>
          <t>FG4</t>
        </is>
      </c>
      <c r="T318" s="7" t="n"/>
      <c r="U318" s="7" t="inlineStr">
        <is>
          <t>plant</t>
        </is>
      </c>
      <c r="V318" s="7" t="n"/>
      <c r="W318" s="7" t="n"/>
      <c r="X318" s="55" t="n">
        <v>1</v>
      </c>
      <c r="Y318" s="50" t="n">
        <v>1</v>
      </c>
      <c r="Z318" s="7" t="inlineStr">
        <is>
          <t>variable</t>
        </is>
      </c>
      <c r="AA318" s="19">
        <f>IF(ISBLANK(Welcome!D344),"",Welcome!D344)</f>
        <v/>
      </c>
      <c r="AB318" s="29">
        <f>IF(ISBLANK(Welcome!E344),"",Welcome!E344)</f>
        <v/>
      </c>
      <c r="AC318" s="29">
        <f>IF(N(AB318)&gt;0,N(AB318),N(AA318)*Y318)</f>
        <v/>
      </c>
      <c r="AD318" s="29">
        <f>IF(H318="yes",AC318,0)</f>
        <v/>
      </c>
      <c r="AE318" s="29">
        <f>AD318*N(M318)/100</f>
        <v/>
      </c>
      <c r="AF318" s="29">
        <f>AD318*N(O318)/100</f>
        <v/>
      </c>
      <c r="AG318" s="29">
        <f>AD318*N(P318)/100</f>
        <v/>
      </c>
      <c r="AH318" s="50">
        <f>IF(Q318="yes",AD318/1000,0)</f>
        <v/>
      </c>
      <c r="AI318" s="50">
        <f>IF(S318="FG2",AH318*X318,AH318)</f>
        <v/>
      </c>
    </row>
    <row r="319">
      <c r="A319" s="7" t="inlineStr">
        <is>
          <t>HM00420</t>
        </is>
      </c>
      <c r="B319" s="16" t="inlineStr">
        <is>
          <t>2293511714860</t>
        </is>
      </c>
      <c r="C319" s="7" t="inlineStr">
        <is>
          <t>HM TOMATOES VINE KG</t>
        </is>
      </c>
      <c r="D319" s="7" t="inlineStr">
        <is>
          <t>Vine tomatoes</t>
        </is>
      </c>
      <c r="E319" s="7" t="inlineStr">
        <is>
          <t>Harbour Market</t>
        </is>
      </c>
      <c r="F319" s="7" t="inlineStr">
        <is>
          <t>Fruit &amp; Vegetables</t>
        </is>
      </c>
      <c r="G319" s="7" t="inlineStr">
        <is>
          <t>Vegetables</t>
        </is>
      </c>
      <c r="H319" s="7" t="inlineStr">
        <is>
          <t>yes</t>
        </is>
      </c>
      <c r="I319" s="7" t="inlineStr">
        <is>
          <t>Plant-based non-core</t>
        </is>
      </c>
      <c r="J319" s="7" t="inlineStr">
        <is>
          <t>Fruit and vegetables</t>
        </is>
      </c>
      <c r="K319" s="7" t="inlineStr">
        <is>
          <t>B</t>
        </is>
      </c>
      <c r="L319" s="7" t="inlineStr">
        <is>
          <t>Follows the class</t>
        </is>
      </c>
      <c r="M319" s="51" t="n">
        <v>0.85</v>
      </c>
      <c r="N319" s="7" t="inlineStr">
        <is>
          <t>Declared by the retailer</t>
        </is>
      </c>
      <c r="O319" s="54" t="n">
        <v>0.85</v>
      </c>
      <c r="P319" s="54" t="n">
        <v>0</v>
      </c>
      <c r="Q319" s="7" t="inlineStr">
        <is>
          <t>yes</t>
        </is>
      </c>
      <c r="R319" s="7" t="inlineStr">
        <is>
          <t>whole</t>
        </is>
      </c>
      <c r="S319" s="7" t="inlineStr">
        <is>
          <t>FG4</t>
        </is>
      </c>
      <c r="T319" s="7" t="n"/>
      <c r="U319" s="7" t="inlineStr">
        <is>
          <t>plant</t>
        </is>
      </c>
      <c r="V319" s="7" t="n"/>
      <c r="W319" s="7" t="n"/>
      <c r="X319" s="55" t="n">
        <v>1</v>
      </c>
      <c r="Y319" s="50" t="n">
        <v>1</v>
      </c>
      <c r="Z319" s="7" t="inlineStr">
        <is>
          <t>variable</t>
        </is>
      </c>
      <c r="AA319" s="19">
        <f>IF(ISBLANK(Welcome!D345),"",Welcome!D345)</f>
        <v/>
      </c>
      <c r="AB319" s="29">
        <f>IF(ISBLANK(Welcome!E345),"",Welcome!E345)</f>
        <v/>
      </c>
      <c r="AC319" s="29">
        <f>IF(N(AB319)&gt;0,N(AB319),N(AA319)*Y319)</f>
        <v/>
      </c>
      <c r="AD319" s="29">
        <f>IF(H319="yes",AC319,0)</f>
        <v/>
      </c>
      <c r="AE319" s="29">
        <f>AD319*N(M319)/100</f>
        <v/>
      </c>
      <c r="AF319" s="29">
        <f>AD319*N(O319)/100</f>
        <v/>
      </c>
      <c r="AG319" s="29">
        <f>AD319*N(P319)/100</f>
        <v/>
      </c>
      <c r="AH319" s="50">
        <f>IF(Q319="yes",AD319/1000,0)</f>
        <v/>
      </c>
      <c r="AI319" s="50">
        <f>IF(S319="FG2",AH319*X319,AH319)</f>
        <v/>
      </c>
    </row>
    <row r="320">
      <c r="A320" s="7" t="inlineStr">
        <is>
          <t>HM00143</t>
        </is>
      </c>
      <c r="B320" s="16" t="inlineStr">
        <is>
          <t>8712345525439</t>
        </is>
      </c>
      <c r="C320" s="7" t="inlineStr">
        <is>
          <t>PLAIN FLOUR 1.5KG BRAMBLECOTE</t>
        </is>
      </c>
      <c r="D320" s="7" t="inlineStr">
        <is>
          <t>Plain wheat flour, 1.5kg</t>
        </is>
      </c>
      <c r="E320" s="7" t="inlineStr">
        <is>
          <t>Bramblecote</t>
        </is>
      </c>
      <c r="F320" s="7" t="inlineStr">
        <is>
          <t>Grocery</t>
        </is>
      </c>
      <c r="G320" s="7" t="inlineStr">
        <is>
          <t>Baking</t>
        </is>
      </c>
      <c r="H320" s="7" t="inlineStr">
        <is>
          <t>yes</t>
        </is>
      </c>
      <c r="I320" s="7" t="inlineStr">
        <is>
          <t>Plant-based non-core</t>
        </is>
      </c>
      <c r="J320" s="7" t="inlineStr">
        <is>
          <t>Refined grains</t>
        </is>
      </c>
      <c r="K320" s="7" t="inlineStr">
        <is>
          <t>A</t>
        </is>
      </c>
      <c r="L320" s="7" t="inlineStr">
        <is>
          <t>All ingredients on one side</t>
        </is>
      </c>
      <c r="M320" s="51" t="n">
        <v>9.6</v>
      </c>
      <c r="N320" s="7" t="inlineStr">
        <is>
          <t>Median of the family</t>
        </is>
      </c>
      <c r="O320" s="54" t="n">
        <v>9.6</v>
      </c>
      <c r="P320" s="54" t="n">
        <v>0</v>
      </c>
      <c r="Q320" s="7" t="inlineStr">
        <is>
          <t>yes</t>
        </is>
      </c>
      <c r="R320" s="7" t="inlineStr">
        <is>
          <t>whole</t>
        </is>
      </c>
      <c r="S320" s="7" t="inlineStr">
        <is>
          <t>FG5</t>
        </is>
      </c>
      <c r="T320" s="7" t="inlineStr">
        <is>
          <t>Refined grain</t>
        </is>
      </c>
      <c r="U320" s="7" t="inlineStr">
        <is>
          <t>plant</t>
        </is>
      </c>
      <c r="V320" s="7" t="n"/>
      <c r="W320" s="7" t="n"/>
      <c r="X320" s="55" t="n">
        <v>1</v>
      </c>
      <c r="Y320" s="50" t="n">
        <v>1.5</v>
      </c>
      <c r="Z320" s="7" t="inlineStr">
        <is>
          <t>declared</t>
        </is>
      </c>
      <c r="AA320" s="19">
        <f>IF(ISBLANK(Welcome!D346),"",Welcome!D346)</f>
        <v/>
      </c>
      <c r="AB320" s="29">
        <f>IF(ISBLANK(Welcome!E346),"",Welcome!E346)</f>
        <v/>
      </c>
      <c r="AC320" s="29">
        <f>IF(N(AB320)&gt;0,N(AB320),N(AA320)*Y320)</f>
        <v/>
      </c>
      <c r="AD320" s="29">
        <f>IF(H320="yes",AC320,0)</f>
        <v/>
      </c>
      <c r="AE320" s="29">
        <f>AD320*N(M320)/100</f>
        <v/>
      </c>
      <c r="AF320" s="29">
        <f>AD320*N(O320)/100</f>
        <v/>
      </c>
      <c r="AG320" s="29">
        <f>AD320*N(P320)/100</f>
        <v/>
      </c>
      <c r="AH320" s="50">
        <f>IF(Q320="yes",AD320/1000,0)</f>
        <v/>
      </c>
      <c r="AI320" s="50">
        <f>IF(S320="FG2",AH320*X320,AH320)</f>
        <v/>
      </c>
    </row>
    <row r="321">
      <c r="A321" s="7" t="inlineStr">
        <is>
          <t>HM00464</t>
        </is>
      </c>
      <c r="B321" s="16" t="inlineStr">
        <is>
          <t>4012345342277</t>
        </is>
      </c>
      <c r="C321" s="7" t="inlineStr">
        <is>
          <t>HM WHITE POTATOES 1KG</t>
        </is>
      </c>
      <c r="D321" s="7" t="inlineStr">
        <is>
          <t>White potatoes, 1kg</t>
        </is>
      </c>
      <c r="E321" s="7" t="inlineStr">
        <is>
          <t>Harbour Market</t>
        </is>
      </c>
      <c r="F321" s="7" t="inlineStr">
        <is>
          <t>Fruit &amp; Vegetables</t>
        </is>
      </c>
      <c r="G321" s="7" t="inlineStr">
        <is>
          <t>Potatoes</t>
        </is>
      </c>
      <c r="H321" s="7" t="inlineStr">
        <is>
          <t>yes</t>
        </is>
      </c>
      <c r="I321" s="7" t="inlineStr">
        <is>
          <t>Plant-based non-core</t>
        </is>
      </c>
      <c r="J321" s="7" t="inlineStr">
        <is>
          <t>Starchy foods</t>
        </is>
      </c>
      <c r="K321" s="7" t="inlineStr">
        <is>
          <t>B</t>
        </is>
      </c>
      <c r="L321" s="7" t="inlineStr">
        <is>
          <t>Follows the class</t>
        </is>
      </c>
      <c r="M321" s="51" t="n">
        <v>2.1</v>
      </c>
      <c r="N321" s="7" t="inlineStr">
        <is>
          <t>Altera reference base</t>
        </is>
      </c>
      <c r="O321" s="54" t="n">
        <v>2.1</v>
      </c>
      <c r="P321" s="54" t="n">
        <v>0</v>
      </c>
      <c r="Q321" s="7" t="inlineStr">
        <is>
          <t>yes</t>
        </is>
      </c>
      <c r="R321" s="7" t="inlineStr">
        <is>
          <t>whole</t>
        </is>
      </c>
      <c r="S321" s="7" t="inlineStr">
        <is>
          <t>FG6</t>
        </is>
      </c>
      <c r="T321" s="7" t="n"/>
      <c r="U321" s="7" t="inlineStr">
        <is>
          <t>plant</t>
        </is>
      </c>
      <c r="V321" s="7" t="n"/>
      <c r="W321" s="7" t="n"/>
      <c r="X321" s="55" t="n">
        <v>1</v>
      </c>
      <c r="Y321" s="50" t="n">
        <v>1</v>
      </c>
      <c r="Z321" s="7" t="inlineStr">
        <is>
          <t>declared</t>
        </is>
      </c>
      <c r="AA321" s="19">
        <f>IF(ISBLANK(Welcome!D347),"",Welcome!D347)</f>
        <v/>
      </c>
      <c r="AB321" s="29">
        <f>IF(ISBLANK(Welcome!E347),"",Welcome!E347)</f>
        <v/>
      </c>
      <c r="AC321" s="29">
        <f>IF(N(AB321)&gt;0,N(AB321),N(AA321)*Y321)</f>
        <v/>
      </c>
      <c r="AD321" s="29">
        <f>IF(H321="yes",AC321,0)</f>
        <v/>
      </c>
      <c r="AE321" s="29">
        <f>AD321*N(M321)/100</f>
        <v/>
      </c>
      <c r="AF321" s="29">
        <f>AD321*N(O321)/100</f>
        <v/>
      </c>
      <c r="AG321" s="29">
        <f>AD321*N(P321)/100</f>
        <v/>
      </c>
      <c r="AH321" s="50">
        <f>IF(Q321="yes",AD321/1000,0)</f>
        <v/>
      </c>
      <c r="AI321" s="50">
        <f>IF(S321="FG2",AH321*X321,AH321)</f>
        <v/>
      </c>
    </row>
    <row r="322">
      <c r="A322" s="7" t="inlineStr">
        <is>
          <t>HM00456</t>
        </is>
      </c>
      <c r="B322" s="16" t="inlineStr">
        <is>
          <t>3012345461252</t>
        </is>
      </c>
      <c r="C322" s="7" t="inlineStr">
        <is>
          <t>HM COURGETTES 1KG</t>
        </is>
      </c>
      <c r="D322" s="7" t="inlineStr">
        <is>
          <t>Courgettes, 1kg</t>
        </is>
      </c>
      <c r="E322" s="7" t="inlineStr">
        <is>
          <t>Harbour Market</t>
        </is>
      </c>
      <c r="F322" s="7" t="inlineStr">
        <is>
          <t>Fruit &amp; Vegetables</t>
        </is>
      </c>
      <c r="G322" s="7" t="inlineStr">
        <is>
          <t>Vegetables</t>
        </is>
      </c>
      <c r="H322" s="7" t="inlineStr">
        <is>
          <t>yes</t>
        </is>
      </c>
      <c r="I322" s="7" t="inlineStr">
        <is>
          <t>Plant-based non-core</t>
        </is>
      </c>
      <c r="J322" s="7" t="inlineStr">
        <is>
          <t>Fruit and vegetables</t>
        </is>
      </c>
      <c r="K322" s="7" t="inlineStr">
        <is>
          <t>B</t>
        </is>
      </c>
      <c r="L322" s="7" t="inlineStr">
        <is>
          <t>Follows the class</t>
        </is>
      </c>
      <c r="M322" s="51" t="n">
        <v>1.9</v>
      </c>
      <c r="N322" s="7" t="inlineStr">
        <is>
          <t>Declared by the retailer</t>
        </is>
      </c>
      <c r="O322" s="54" t="n">
        <v>1.9</v>
      </c>
      <c r="P322" s="54" t="n">
        <v>0</v>
      </c>
      <c r="Q322" s="7" t="inlineStr">
        <is>
          <t>yes</t>
        </is>
      </c>
      <c r="R322" s="7" t="inlineStr">
        <is>
          <t>whole</t>
        </is>
      </c>
      <c r="S322" s="7" t="inlineStr">
        <is>
          <t>FG4</t>
        </is>
      </c>
      <c r="T322" s="7" t="n"/>
      <c r="U322" s="7" t="inlineStr">
        <is>
          <t>plant</t>
        </is>
      </c>
      <c r="V322" s="7" t="n"/>
      <c r="W322" s="7" t="n"/>
      <c r="X322" s="55" t="n">
        <v>1</v>
      </c>
      <c r="Y322" s="50" t="n">
        <v>1</v>
      </c>
      <c r="Z322" s="7" t="inlineStr">
        <is>
          <t>declared</t>
        </is>
      </c>
      <c r="AA322" s="19">
        <f>IF(ISBLANK(Welcome!D348),"",Welcome!D348)</f>
        <v/>
      </c>
      <c r="AB322" s="29">
        <f>IF(ISBLANK(Welcome!E348),"",Welcome!E348)</f>
        <v/>
      </c>
      <c r="AC322" s="29">
        <f>IF(N(AB322)&gt;0,N(AB322),N(AA322)*Y322)</f>
        <v/>
      </c>
      <c r="AD322" s="29">
        <f>IF(H322="yes",AC322,0)</f>
        <v/>
      </c>
      <c r="AE322" s="29">
        <f>AD322*N(M322)/100</f>
        <v/>
      </c>
      <c r="AF322" s="29">
        <f>AD322*N(O322)/100</f>
        <v/>
      </c>
      <c r="AG322" s="29">
        <f>AD322*N(P322)/100</f>
        <v/>
      </c>
      <c r="AH322" s="50">
        <f>IF(Q322="yes",AD322/1000,0)</f>
        <v/>
      </c>
      <c r="AI322" s="50">
        <f>IF(S322="FG2",AH322*X322,AH322)</f>
        <v/>
      </c>
    </row>
    <row r="323">
      <c r="A323" s="7" t="inlineStr">
        <is>
          <t>HM00630</t>
        </is>
      </c>
      <c r="B323" s="16" t="inlineStr">
        <is>
          <t>8712345920357</t>
        </is>
      </c>
      <c r="C323" s="7" t="inlineStr">
        <is>
          <t>BRAMBLECOTE PAIN AU CHOCOLAT 8PK 280G</t>
        </is>
      </c>
      <c r="D323" s="7" t="inlineStr">
        <is>
          <t>Pains au chocolat, 8pk 280g</t>
        </is>
      </c>
      <c r="E323" s="7" t="inlineStr">
        <is>
          <t>Bramblecote</t>
        </is>
      </c>
      <c r="F323" s="7" t="inlineStr">
        <is>
          <t>Bakery</t>
        </is>
      </c>
      <c r="G323" s="7" t="inlineStr">
        <is>
          <t>Pastries</t>
        </is>
      </c>
      <c r="H323" s="7" t="inlineStr">
        <is>
          <t>yes</t>
        </is>
      </c>
      <c r="I323" s="7" t="inlineStr">
        <is>
          <t>Animal &amp; plant composite</t>
        </is>
      </c>
      <c r="J323" s="7" t="inlineStr">
        <is>
          <t>Discretionary products</t>
        </is>
      </c>
      <c r="K323" s="7" t="inlineStr">
        <is>
          <t>A</t>
        </is>
      </c>
      <c r="L323" s="7" t="inlineStr">
        <is>
          <t>NEVO food table (ratio only)</t>
        </is>
      </c>
      <c r="M323" s="51" t="n">
        <v>8.300000000000001</v>
      </c>
      <c r="N323" s="7" t="inlineStr">
        <is>
          <t>Declared by the retailer</t>
        </is>
      </c>
      <c r="O323" s="54" t="n">
        <v>5.98</v>
      </c>
      <c r="P323" s="54" t="n">
        <v>2.32</v>
      </c>
      <c r="Q323" s="7" t="inlineStr">
        <is>
          <t>yes</t>
        </is>
      </c>
      <c r="R323" s="7" t="inlineStr">
        <is>
          <t>whole</t>
        </is>
      </c>
      <c r="S323" s="7" t="inlineStr">
        <is>
          <t>FG7</t>
        </is>
      </c>
      <c r="T323" s="7" t="n"/>
      <c r="U323" s="7" t="inlineStr">
        <is>
          <t>plant</t>
        </is>
      </c>
      <c r="V323" s="7" t="n"/>
      <c r="W323" s="7" t="n"/>
      <c r="X323" s="55" t="n">
        <v>1</v>
      </c>
      <c r="Y323" s="50" t="n">
        <v>0.28</v>
      </c>
      <c r="Z323" s="7" t="inlineStr">
        <is>
          <t>declared</t>
        </is>
      </c>
      <c r="AA323" s="19">
        <f>IF(ISBLANK(Welcome!D349),"",Welcome!D349)</f>
        <v/>
      </c>
      <c r="AB323" s="29">
        <f>IF(ISBLANK(Welcome!E349),"",Welcome!E349)</f>
        <v/>
      </c>
      <c r="AC323" s="29">
        <f>IF(N(AB323)&gt;0,N(AB323),N(AA323)*Y323)</f>
        <v/>
      </c>
      <c r="AD323" s="29">
        <f>IF(H323="yes",AC323,0)</f>
        <v/>
      </c>
      <c r="AE323" s="29">
        <f>AD323*N(M323)/100</f>
        <v/>
      </c>
      <c r="AF323" s="29">
        <f>AD323*N(O323)/100</f>
        <v/>
      </c>
      <c r="AG323" s="29">
        <f>AD323*N(P323)/100</f>
        <v/>
      </c>
      <c r="AH323" s="50">
        <f>IF(Q323="yes",AD323/1000,0)</f>
        <v/>
      </c>
      <c r="AI323" s="50">
        <f>IF(S323="FG2",AH323*X323,AH323)</f>
        <v/>
      </c>
    </row>
    <row r="324">
      <c r="A324" s="7" t="inlineStr">
        <is>
          <t>HM00156</t>
        </is>
      </c>
      <c r="B324" s="16" t="inlineStr">
        <is>
          <t>8712345676889</t>
        </is>
      </c>
      <c r="C324" s="7" t="inlineStr">
        <is>
          <t>HM ORANGE JUICE SMOOTH 6X200ML</t>
        </is>
      </c>
      <c r="D324" s="7" t="inlineStr">
        <is>
          <t>Smooth orange juice, 6x200ml</t>
        </is>
      </c>
      <c r="E324" s="7" t="inlineStr">
        <is>
          <t>Harbour Market</t>
        </is>
      </c>
      <c r="F324" s="7" t="inlineStr">
        <is>
          <t>Soft Drinks &amp; Water</t>
        </is>
      </c>
      <c r="G324" s="7" t="inlineStr">
        <is>
          <t>Juice</t>
        </is>
      </c>
      <c r="H324" s="7" t="inlineStr">
        <is>
          <t>yes</t>
        </is>
      </c>
      <c r="I324" s="7" t="inlineStr">
        <is>
          <t>Plant-based non-core</t>
        </is>
      </c>
      <c r="J324" s="7" t="inlineStr">
        <is>
          <t>Outside the WWF scope</t>
        </is>
      </c>
      <c r="K324" s="7" t="inlineStr">
        <is>
          <t>A</t>
        </is>
      </c>
      <c r="L324" s="7" t="inlineStr">
        <is>
          <t>All ingredients on one side</t>
        </is>
      </c>
      <c r="M324" s="51" t="n">
        <v>0.66</v>
      </c>
      <c r="N324" s="7" t="inlineStr">
        <is>
          <t>Median of the family</t>
        </is>
      </c>
      <c r="O324" s="54" t="n">
        <v>0.66</v>
      </c>
      <c r="P324" s="54" t="n">
        <v>0</v>
      </c>
      <c r="Q324" s="7" t="inlineStr">
        <is>
          <t>no</t>
        </is>
      </c>
      <c r="R324" s="7" t="n"/>
      <c r="S324" s="7" t="n"/>
      <c r="T324" s="7" t="n"/>
      <c r="U324" s="7" t="n"/>
      <c r="V324" s="7" t="n"/>
      <c r="W324" s="7" t="inlineStr">
        <is>
          <t>beverage</t>
        </is>
      </c>
      <c r="X324" s="55" t="n">
        <v>1</v>
      </c>
      <c r="Y324" s="50" t="n">
        <v>1.25</v>
      </c>
      <c r="Z324" s="7" t="inlineStr">
        <is>
          <t>declared</t>
        </is>
      </c>
      <c r="AA324" s="19">
        <f>IF(ISBLANK(Welcome!D350),"",Welcome!D350)</f>
        <v/>
      </c>
      <c r="AB324" s="29">
        <f>IF(ISBLANK(Welcome!E350),"",Welcome!E350)</f>
        <v/>
      </c>
      <c r="AC324" s="29">
        <f>IF(N(AB324)&gt;0,N(AB324),N(AA324)*Y324)</f>
        <v/>
      </c>
      <c r="AD324" s="29">
        <f>IF(H324="yes",AC324,0)</f>
        <v/>
      </c>
      <c r="AE324" s="29">
        <f>AD324*N(M324)/100</f>
        <v/>
      </c>
      <c r="AF324" s="29">
        <f>AD324*N(O324)/100</f>
        <v/>
      </c>
      <c r="AG324" s="29">
        <f>AD324*N(P324)/100</f>
        <v/>
      </c>
      <c r="AH324" s="50">
        <f>IF(Q324="yes",AD324/1000,0)</f>
        <v/>
      </c>
      <c r="AI324" s="50">
        <f>IF(S324="FG2",AH324*X324,AH324)</f>
        <v/>
      </c>
    </row>
    <row r="325">
      <c r="A325" s="7" t="inlineStr">
        <is>
          <t>HM00326</t>
        </is>
      </c>
      <c r="B325" s="16" t="inlineStr">
        <is>
          <t>4012345924787</t>
        </is>
      </c>
      <c r="C325" s="7" t="inlineStr">
        <is>
          <t>HM SWEET POTATOES 750G</t>
        </is>
      </c>
      <c r="D325" s="7" t="inlineStr">
        <is>
          <t>Sweet potatoes, 750g</t>
        </is>
      </c>
      <c r="E325" s="7" t="inlineStr">
        <is>
          <t>Harbour Market</t>
        </is>
      </c>
      <c r="F325" s="7" t="inlineStr">
        <is>
          <t>Fruit &amp; Vegetables</t>
        </is>
      </c>
      <c r="G325" s="7" t="inlineStr">
        <is>
          <t>Potatoes</t>
        </is>
      </c>
      <c r="H325" s="7" t="inlineStr">
        <is>
          <t>yes</t>
        </is>
      </c>
      <c r="I325" s="7" t="inlineStr">
        <is>
          <t>Plant-based non-core</t>
        </is>
      </c>
      <c r="J325" s="7" t="inlineStr">
        <is>
          <t>Starchy foods</t>
        </is>
      </c>
      <c r="K325" s="7" t="inlineStr">
        <is>
          <t>B</t>
        </is>
      </c>
      <c r="L325" s="7" t="inlineStr">
        <is>
          <t>Follows the class</t>
        </is>
      </c>
      <c r="M325" s="51" t="n">
        <v>1.6</v>
      </c>
      <c r="N325" s="7" t="inlineStr">
        <is>
          <t>Open Food Facts and NEVO, by EAN</t>
        </is>
      </c>
      <c r="O325" s="54" t="n">
        <v>1.6</v>
      </c>
      <c r="P325" s="54" t="n">
        <v>0</v>
      </c>
      <c r="Q325" s="7" t="inlineStr">
        <is>
          <t>yes</t>
        </is>
      </c>
      <c r="R325" s="7" t="inlineStr">
        <is>
          <t>whole</t>
        </is>
      </c>
      <c r="S325" s="7" t="inlineStr">
        <is>
          <t>FG6</t>
        </is>
      </c>
      <c r="T325" s="7" t="n"/>
      <c r="U325" s="7" t="inlineStr">
        <is>
          <t>plant</t>
        </is>
      </c>
      <c r="V325" s="7" t="n"/>
      <c r="W325" s="7" t="n"/>
      <c r="X325" s="55" t="n">
        <v>1</v>
      </c>
      <c r="Y325" s="50" t="n">
        <v>0.75</v>
      </c>
      <c r="Z325" s="7" t="inlineStr">
        <is>
          <t>declared</t>
        </is>
      </c>
      <c r="AA325" s="19">
        <f>IF(ISBLANK(Welcome!D351),"",Welcome!D351)</f>
        <v/>
      </c>
      <c r="AB325" s="29">
        <f>IF(ISBLANK(Welcome!E351),"",Welcome!E351)</f>
        <v/>
      </c>
      <c r="AC325" s="29">
        <f>IF(N(AB325)&gt;0,N(AB325),N(AA325)*Y325)</f>
        <v/>
      </c>
      <c r="AD325" s="29">
        <f>IF(H325="yes",AC325,0)</f>
        <v/>
      </c>
      <c r="AE325" s="29">
        <f>AD325*N(M325)/100</f>
        <v/>
      </c>
      <c r="AF325" s="29">
        <f>AD325*N(O325)/100</f>
        <v/>
      </c>
      <c r="AG325" s="29">
        <f>AD325*N(P325)/100</f>
        <v/>
      </c>
      <c r="AH325" s="50">
        <f>IF(Q325="yes",AD325/1000,0)</f>
        <v/>
      </c>
      <c r="AI325" s="50">
        <f>IF(S325="FG2",AH325*X325,AH325)</f>
        <v/>
      </c>
    </row>
    <row r="326">
      <c r="A326" s="7" t="inlineStr">
        <is>
          <t>HM00553</t>
        </is>
      </c>
      <c r="B326" s="16" t="inlineStr">
        <is>
          <t>8712345619947</t>
        </is>
      </c>
      <c r="C326" s="7" t="inlineStr">
        <is>
          <t>TARROW BF FILLET STK 300G</t>
        </is>
      </c>
      <c r="D326" s="7" t="inlineStr">
        <is>
          <t>Beef fillet steak, 300g</t>
        </is>
      </c>
      <c r="E326" s="7" t="inlineStr">
        <is>
          <t>Tarrow Farm</t>
        </is>
      </c>
      <c r="F326" s="7" t="inlineStr">
        <is>
          <t>Fresh Meat &amp; Poultry</t>
        </is>
      </c>
      <c r="G326" s="7" t="inlineStr">
        <is>
          <t>Beef</t>
        </is>
      </c>
      <c r="H326" s="7" t="inlineStr">
        <is>
          <t>yes</t>
        </is>
      </c>
      <c r="I326" s="7" t="inlineStr">
        <is>
          <t>Animal core</t>
        </is>
      </c>
      <c r="J326" s="7" t="inlineStr">
        <is>
          <t>Red meat</t>
        </is>
      </c>
      <c r="K326" s="7" t="inlineStr">
        <is>
          <t>B</t>
        </is>
      </c>
      <c r="L326" s="7" t="inlineStr">
        <is>
          <t>Follows the class</t>
        </is>
      </c>
      <c r="M326" s="51" t="n">
        <v>21.4</v>
      </c>
      <c r="N326" s="7" t="inlineStr">
        <is>
          <t>National food table (CIQUAL in France)</t>
        </is>
      </c>
      <c r="O326" s="54" t="n">
        <v>0</v>
      </c>
      <c r="P326" s="54" t="n">
        <v>21.4</v>
      </c>
      <c r="Q326" s="7" t="inlineStr">
        <is>
          <t>yes</t>
        </is>
      </c>
      <c r="R326" s="7" t="inlineStr">
        <is>
          <t>whole</t>
        </is>
      </c>
      <c r="S326" s="7" t="inlineStr">
        <is>
          <t>FG1</t>
        </is>
      </c>
      <c r="T326" s="7" t="inlineStr">
        <is>
          <t>Red meat</t>
        </is>
      </c>
      <c r="U326" s="7" t="inlineStr">
        <is>
          <t>animal</t>
        </is>
      </c>
      <c r="V326" s="7" t="n"/>
      <c r="W326" s="7" t="n"/>
      <c r="X326" s="55" t="n">
        <v>1</v>
      </c>
      <c r="Y326" s="50" t="n">
        <v>0.3</v>
      </c>
      <c r="Z326" s="7" t="inlineStr">
        <is>
          <t>declared</t>
        </is>
      </c>
      <c r="AA326" s="19">
        <f>IF(ISBLANK(Welcome!D352),"",Welcome!D352)</f>
        <v/>
      </c>
      <c r="AB326" s="29">
        <f>IF(ISBLANK(Welcome!E352),"",Welcome!E352)</f>
        <v/>
      </c>
      <c r="AC326" s="29">
        <f>IF(N(AB326)&gt;0,N(AB326),N(AA326)*Y326)</f>
        <v/>
      </c>
      <c r="AD326" s="29">
        <f>IF(H326="yes",AC326,0)</f>
        <v/>
      </c>
      <c r="AE326" s="29">
        <f>AD326*N(M326)/100</f>
        <v/>
      </c>
      <c r="AF326" s="29">
        <f>AD326*N(O326)/100</f>
        <v/>
      </c>
      <c r="AG326" s="29">
        <f>AD326*N(P326)/100</f>
        <v/>
      </c>
      <c r="AH326" s="50">
        <f>IF(Q326="yes",AD326/1000,0)</f>
        <v/>
      </c>
      <c r="AI326" s="50">
        <f>IF(S326="FG2",AH326*X326,AH326)</f>
        <v/>
      </c>
    </row>
    <row r="327">
      <c r="A327" s="7" t="inlineStr">
        <is>
          <t>HM00544</t>
        </is>
      </c>
      <c r="B327" s="16" t="inlineStr">
        <is>
          <t>4012345149890</t>
        </is>
      </c>
      <c r="C327" s="7" t="inlineStr">
        <is>
          <t>HM BROCCOLI 300G</t>
        </is>
      </c>
      <c r="D327" s="7" t="inlineStr">
        <is>
          <t>Broccoli, 300g</t>
        </is>
      </c>
      <c r="E327" s="7" t="inlineStr">
        <is>
          <t>Harbour Market</t>
        </is>
      </c>
      <c r="F327" s="7" t="inlineStr">
        <is>
          <t>Fruit &amp; Vegetables</t>
        </is>
      </c>
      <c r="G327" s="7" t="inlineStr">
        <is>
          <t>Vegetables</t>
        </is>
      </c>
      <c r="H327" s="7" t="inlineStr">
        <is>
          <t>yes</t>
        </is>
      </c>
      <c r="I327" s="7" t="inlineStr">
        <is>
          <t>Plant-based non-core</t>
        </is>
      </c>
      <c r="J327" s="7" t="inlineStr">
        <is>
          <t>Fruit and vegetables</t>
        </is>
      </c>
      <c r="K327" s="7" t="inlineStr">
        <is>
          <t>B</t>
        </is>
      </c>
      <c r="L327" s="7" t="inlineStr">
        <is>
          <t>Follows the class</t>
        </is>
      </c>
      <c r="M327" s="51" t="n">
        <v>2.9</v>
      </c>
      <c r="N327" s="7" t="inlineStr">
        <is>
          <t>Median of the family</t>
        </is>
      </c>
      <c r="O327" s="54" t="n">
        <v>2.9</v>
      </c>
      <c r="P327" s="54" t="n">
        <v>0</v>
      </c>
      <c r="Q327" s="7" t="inlineStr">
        <is>
          <t>yes</t>
        </is>
      </c>
      <c r="R327" s="7" t="inlineStr">
        <is>
          <t>whole</t>
        </is>
      </c>
      <c r="S327" s="7" t="inlineStr">
        <is>
          <t>FG4</t>
        </is>
      </c>
      <c r="T327" s="7" t="n"/>
      <c r="U327" s="7" t="inlineStr">
        <is>
          <t>plant</t>
        </is>
      </c>
      <c r="V327" s="7" t="n"/>
      <c r="W327" s="7" t="n"/>
      <c r="X327" s="55" t="n">
        <v>1</v>
      </c>
      <c r="Y327" s="50" t="n">
        <v>0.3</v>
      </c>
      <c r="Z327" s="7" t="inlineStr">
        <is>
          <t>declared</t>
        </is>
      </c>
      <c r="AA327" s="19">
        <f>IF(ISBLANK(Welcome!D353),"",Welcome!D353)</f>
        <v/>
      </c>
      <c r="AB327" s="29">
        <f>IF(ISBLANK(Welcome!E353),"",Welcome!E353)</f>
        <v/>
      </c>
      <c r="AC327" s="29">
        <f>IF(N(AB327)&gt;0,N(AB327),N(AA327)*Y327)</f>
        <v/>
      </c>
      <c r="AD327" s="29">
        <f>IF(H327="yes",AC327,0)</f>
        <v/>
      </c>
      <c r="AE327" s="29">
        <f>AD327*N(M327)/100</f>
        <v/>
      </c>
      <c r="AF327" s="29">
        <f>AD327*N(O327)/100</f>
        <v/>
      </c>
      <c r="AG327" s="29">
        <f>AD327*N(P327)/100</f>
        <v/>
      </c>
      <c r="AH327" s="50">
        <f>IF(Q327="yes",AD327/1000,0)</f>
        <v/>
      </c>
      <c r="AI327" s="50">
        <f>IF(S327="FG2",AH327*X327,AH327)</f>
        <v/>
      </c>
    </row>
    <row r="328">
      <c r="A328" s="7" t="inlineStr">
        <is>
          <t>HM00124</t>
        </is>
      </c>
      <c r="B328" s="16" t="inlineStr">
        <is>
          <t>4012345970821</t>
        </is>
      </c>
      <c r="C328" s="7" t="inlineStr">
        <is>
          <t>HM COTTAGE CHEESE 250G</t>
        </is>
      </c>
      <c r="D328" s="7" t="inlineStr">
        <is>
          <t>Cottage cheese, 250g</t>
        </is>
      </c>
      <c r="E328" s="7" t="inlineStr">
        <is>
          <t>Harbour Market</t>
        </is>
      </c>
      <c r="F328" s="7" t="inlineStr">
        <is>
          <t>Cheese</t>
        </is>
      </c>
      <c r="G328" s="7" t="inlineStr">
        <is>
          <t>Fresh Cheese</t>
        </is>
      </c>
      <c r="H328" s="7" t="inlineStr">
        <is>
          <t>yes</t>
        </is>
      </c>
      <c r="I328" s="7" t="inlineStr">
        <is>
          <t>Animal core</t>
        </is>
      </c>
      <c r="J328" s="7" t="inlineStr">
        <is>
          <t>Cheese</t>
        </is>
      </c>
      <c r="K328" s="7" t="inlineStr">
        <is>
          <t>A</t>
        </is>
      </c>
      <c r="L328" s="7" t="inlineStr">
        <is>
          <t>All ingredients on one side</t>
        </is>
      </c>
      <c r="M328" s="51" t="n">
        <v>10.7</v>
      </c>
      <c r="N328" s="7" t="inlineStr">
        <is>
          <t>Altera reference base</t>
        </is>
      </c>
      <c r="O328" s="54" t="n">
        <v>0</v>
      </c>
      <c r="P328" s="54" t="n">
        <v>10.7</v>
      </c>
      <c r="Q328" s="7" t="inlineStr">
        <is>
          <t>yes</t>
        </is>
      </c>
      <c r="R328" s="7" t="inlineStr">
        <is>
          <t>whole</t>
        </is>
      </c>
      <c r="S328" s="7" t="inlineStr">
        <is>
          <t>FG2</t>
        </is>
      </c>
      <c r="T328" s="7" t="inlineStr">
        <is>
          <t>Dairy</t>
        </is>
      </c>
      <c r="U328" s="7" t="inlineStr">
        <is>
          <t>animal</t>
        </is>
      </c>
      <c r="V328" s="7" t="n"/>
      <c r="W328" s="7" t="n"/>
      <c r="X328" s="55" t="n">
        <v>1</v>
      </c>
      <c r="Y328" s="50" t="n">
        <v>0.25</v>
      </c>
      <c r="Z328" s="7" t="inlineStr">
        <is>
          <t>label</t>
        </is>
      </c>
      <c r="AA328" s="19">
        <f>IF(ISBLANK(Welcome!D354),"",Welcome!D354)</f>
        <v/>
      </c>
      <c r="AB328" s="29">
        <f>IF(ISBLANK(Welcome!E354),"",Welcome!E354)</f>
        <v/>
      </c>
      <c r="AC328" s="29">
        <f>IF(N(AB328)&gt;0,N(AB328),N(AA328)*Y328)</f>
        <v/>
      </c>
      <c r="AD328" s="29">
        <f>IF(H328="yes",AC328,0)</f>
        <v/>
      </c>
      <c r="AE328" s="29">
        <f>AD328*N(M328)/100</f>
        <v/>
      </c>
      <c r="AF328" s="29">
        <f>AD328*N(O328)/100</f>
        <v/>
      </c>
      <c r="AG328" s="29">
        <f>AD328*N(P328)/100</f>
        <v/>
      </c>
      <c r="AH328" s="50">
        <f>IF(Q328="yes",AD328/1000,0)</f>
        <v/>
      </c>
      <c r="AI328" s="50">
        <f>IF(S328="FG2",AH328*X328,AH328)</f>
        <v/>
      </c>
    </row>
    <row r="329">
      <c r="A329" s="7" t="inlineStr">
        <is>
          <t>HM00203</t>
        </is>
      </c>
      <c r="B329" s="16" t="inlineStr">
        <is>
          <t>2229041278230</t>
        </is>
      </c>
      <c r="C329" s="7" t="inlineStr">
        <is>
          <t>HM CONFERENCE PEARS KG</t>
        </is>
      </c>
      <c r="D329" s="7" t="inlineStr">
        <is>
          <t>Conference pears</t>
        </is>
      </c>
      <c r="E329" s="7" t="inlineStr">
        <is>
          <t>Harbour Market</t>
        </is>
      </c>
      <c r="F329" s="7" t="inlineStr">
        <is>
          <t>Fruit &amp; Vegetables</t>
        </is>
      </c>
      <c r="G329" s="7" t="inlineStr">
        <is>
          <t>Fruit</t>
        </is>
      </c>
      <c r="H329" s="7" t="inlineStr">
        <is>
          <t>yes</t>
        </is>
      </c>
      <c r="I329" s="7" t="inlineStr">
        <is>
          <t>Plant-based non-core</t>
        </is>
      </c>
      <c r="J329" s="7" t="inlineStr">
        <is>
          <t>Fruit and vegetables</t>
        </is>
      </c>
      <c r="K329" s="7" t="inlineStr">
        <is>
          <t>B</t>
        </is>
      </c>
      <c r="L329" s="7" t="inlineStr">
        <is>
          <t>Follows the class</t>
        </is>
      </c>
      <c r="M329" s="51" t="n">
        <v>0.4</v>
      </c>
      <c r="N329" s="7" t="inlineStr">
        <is>
          <t>Declared by the retailer</t>
        </is>
      </c>
      <c r="O329" s="54" t="n">
        <v>0.4</v>
      </c>
      <c r="P329" s="54" t="n">
        <v>0</v>
      </c>
      <c r="Q329" s="7" t="inlineStr">
        <is>
          <t>yes</t>
        </is>
      </c>
      <c r="R329" s="7" t="inlineStr">
        <is>
          <t>whole</t>
        </is>
      </c>
      <c r="S329" s="7" t="inlineStr">
        <is>
          <t>FG4</t>
        </is>
      </c>
      <c r="T329" s="7" t="n"/>
      <c r="U329" s="7" t="inlineStr">
        <is>
          <t>plant</t>
        </is>
      </c>
      <c r="V329" s="7" t="n"/>
      <c r="W329" s="7" t="n"/>
      <c r="X329" s="55" t="n">
        <v>1</v>
      </c>
      <c r="Y329" s="50" t="n">
        <v>1</v>
      </c>
      <c r="Z329" s="7" t="inlineStr">
        <is>
          <t>variable</t>
        </is>
      </c>
      <c r="AA329" s="19">
        <f>IF(ISBLANK(Welcome!D355),"",Welcome!D355)</f>
        <v/>
      </c>
      <c r="AB329" s="29">
        <f>IF(ISBLANK(Welcome!E355),"",Welcome!E355)</f>
        <v/>
      </c>
      <c r="AC329" s="29">
        <f>IF(N(AB329)&gt;0,N(AB329),N(AA329)*Y329)</f>
        <v/>
      </c>
      <c r="AD329" s="29">
        <f>IF(H329="yes",AC329,0)</f>
        <v/>
      </c>
      <c r="AE329" s="29">
        <f>AD329*N(M329)/100</f>
        <v/>
      </c>
      <c r="AF329" s="29">
        <f>AD329*N(O329)/100</f>
        <v/>
      </c>
      <c r="AG329" s="29">
        <f>AD329*N(P329)/100</f>
        <v/>
      </c>
      <c r="AH329" s="50">
        <f>IF(Q329="yes",AD329/1000,0)</f>
        <v/>
      </c>
      <c r="AI329" s="50">
        <f>IF(S329="FG2",AH329*X329,AH329)</f>
        <v/>
      </c>
    </row>
    <row r="330">
      <c r="A330" s="7" t="inlineStr">
        <is>
          <t>HM00694</t>
        </is>
      </c>
      <c r="B330" s="16" t="inlineStr">
        <is>
          <t>4012345206678</t>
        </is>
      </c>
      <c r="C330" s="7" t="inlineStr">
        <is>
          <t>HM APPLES PINK LADY 250G</t>
        </is>
      </c>
      <c r="D330" s="7" t="inlineStr">
        <is>
          <t>Pink Lady apples, 250g</t>
        </is>
      </c>
      <c r="E330" s="7" t="inlineStr">
        <is>
          <t>Harbour Market</t>
        </is>
      </c>
      <c r="F330" s="7" t="inlineStr">
        <is>
          <t>Fruit &amp; Vegetables</t>
        </is>
      </c>
      <c r="G330" s="7" t="inlineStr">
        <is>
          <t>Fruit</t>
        </is>
      </c>
      <c r="H330" s="7" t="inlineStr">
        <is>
          <t>yes</t>
        </is>
      </c>
      <c r="I330" s="7" t="inlineStr">
        <is>
          <t>Plant-based non-core</t>
        </is>
      </c>
      <c r="J330" s="7" t="inlineStr">
        <is>
          <t>Fruit and vegetables</t>
        </is>
      </c>
      <c r="K330" s="7" t="inlineStr">
        <is>
          <t>B</t>
        </is>
      </c>
      <c r="L330" s="7" t="inlineStr">
        <is>
          <t>Follows the class</t>
        </is>
      </c>
      <c r="M330" s="51" t="n">
        <v>0.31</v>
      </c>
      <c r="N330" s="7" t="inlineStr">
        <is>
          <t>Declared by the retailer</t>
        </is>
      </c>
      <c r="O330" s="54" t="n">
        <v>0.31</v>
      </c>
      <c r="P330" s="54" t="n">
        <v>0</v>
      </c>
      <c r="Q330" s="7" t="inlineStr">
        <is>
          <t>yes</t>
        </is>
      </c>
      <c r="R330" s="7" t="inlineStr">
        <is>
          <t>whole</t>
        </is>
      </c>
      <c r="S330" s="7" t="inlineStr">
        <is>
          <t>FG4</t>
        </is>
      </c>
      <c r="T330" s="7" t="n"/>
      <c r="U330" s="7" t="inlineStr">
        <is>
          <t>plant</t>
        </is>
      </c>
      <c r="V330" s="7" t="n"/>
      <c r="W330" s="7" t="n"/>
      <c r="X330" s="55" t="n">
        <v>1</v>
      </c>
      <c r="Y330" s="50" t="n">
        <v>0.25</v>
      </c>
      <c r="Z330" s="7" t="inlineStr">
        <is>
          <t>declared</t>
        </is>
      </c>
      <c r="AA330" s="19">
        <f>IF(ISBLANK(Welcome!D356),"",Welcome!D356)</f>
        <v/>
      </c>
      <c r="AB330" s="29">
        <f>IF(ISBLANK(Welcome!E356),"",Welcome!E356)</f>
        <v/>
      </c>
      <c r="AC330" s="29">
        <f>IF(N(AB330)&gt;0,N(AB330),N(AA330)*Y330)</f>
        <v/>
      </c>
      <c r="AD330" s="29">
        <f>IF(H330="yes",AC330,0)</f>
        <v/>
      </c>
      <c r="AE330" s="29">
        <f>AD330*N(M330)/100</f>
        <v/>
      </c>
      <c r="AF330" s="29">
        <f>AD330*N(O330)/100</f>
        <v/>
      </c>
      <c r="AG330" s="29">
        <f>AD330*N(P330)/100</f>
        <v/>
      </c>
      <c r="AH330" s="50">
        <f>IF(Q330="yes",AD330/1000,0)</f>
        <v/>
      </c>
      <c r="AI330" s="50">
        <f>IF(S330="FG2",AH330*X330,AH330)</f>
        <v/>
      </c>
    </row>
    <row r="331">
      <c r="A331" s="7" t="inlineStr">
        <is>
          <t>HM00650</t>
        </is>
      </c>
      <c r="B331" s="16" t="inlineStr">
        <is>
          <t>3012345239493</t>
        </is>
      </c>
      <c r="C331" s="7" t="inlineStr">
        <is>
          <t>HM SMKD HAM 400G</t>
        </is>
      </c>
      <c r="D331" s="7" t="inlineStr">
        <is>
          <t>Smoked ham, 400g</t>
        </is>
      </c>
      <c r="E331" s="7" t="inlineStr">
        <is>
          <t>Harbour Market</t>
        </is>
      </c>
      <c r="F331" s="7" t="inlineStr">
        <is>
          <t>Deli</t>
        </is>
      </c>
      <c r="G331" s="7" t="inlineStr">
        <is>
          <t>Cooked Meats</t>
        </is>
      </c>
      <c r="H331" s="7" t="inlineStr">
        <is>
          <t>yes</t>
        </is>
      </c>
      <c r="I331" s="7" t="inlineStr">
        <is>
          <t>Animal core</t>
        </is>
      </c>
      <c r="J331" s="7" t="inlineStr">
        <is>
          <t>Dishes and processed products</t>
        </is>
      </c>
      <c r="K331" s="7" t="inlineStr">
        <is>
          <t>A</t>
        </is>
      </c>
      <c r="L331" s="7" t="inlineStr">
        <is>
          <t>All ingredients on one side</t>
        </is>
      </c>
      <c r="M331" s="51" t="n">
        <v>18.2</v>
      </c>
      <c r="N331" s="7" t="inlineStr">
        <is>
          <t>Declared by the retailer</t>
        </is>
      </c>
      <c r="O331" s="54" t="n">
        <v>0</v>
      </c>
      <c r="P331" s="54" t="n">
        <v>18.2</v>
      </c>
      <c r="Q331" s="7" t="inlineStr">
        <is>
          <t>yes</t>
        </is>
      </c>
      <c r="R331" s="7" t="inlineStr">
        <is>
          <t>whole</t>
        </is>
      </c>
      <c r="S331" s="7" t="inlineStr">
        <is>
          <t>FG1</t>
        </is>
      </c>
      <c r="T331" s="7" t="inlineStr">
        <is>
          <t>Red meat</t>
        </is>
      </c>
      <c r="U331" s="7" t="inlineStr">
        <is>
          <t>animal</t>
        </is>
      </c>
      <c r="V331" s="7" t="n"/>
      <c r="W331" s="7" t="n"/>
      <c r="X331" s="55" t="n">
        <v>1</v>
      </c>
      <c r="Y331" s="50" t="n">
        <v>0.4</v>
      </c>
      <c r="Z331" s="7" t="inlineStr">
        <is>
          <t>declared</t>
        </is>
      </c>
      <c r="AA331" s="19">
        <f>IF(ISBLANK(Welcome!D357),"",Welcome!D357)</f>
        <v/>
      </c>
      <c r="AB331" s="29">
        <f>IF(ISBLANK(Welcome!E357),"",Welcome!E357)</f>
        <v/>
      </c>
      <c r="AC331" s="29">
        <f>IF(N(AB331)&gt;0,N(AB331),N(AA331)*Y331)</f>
        <v/>
      </c>
      <c r="AD331" s="29">
        <f>IF(H331="yes",AC331,0)</f>
        <v/>
      </c>
      <c r="AE331" s="29">
        <f>AD331*N(M331)/100</f>
        <v/>
      </c>
      <c r="AF331" s="29">
        <f>AD331*N(O331)/100</f>
        <v/>
      </c>
      <c r="AG331" s="29">
        <f>AD331*N(P331)/100</f>
        <v/>
      </c>
      <c r="AH331" s="50">
        <f>IF(Q331="yes",AD331/1000,0)</f>
        <v/>
      </c>
      <c r="AI331" s="50">
        <f>IF(S331="FG2",AH331*X331,AH331)</f>
        <v/>
      </c>
    </row>
    <row r="332">
      <c r="A332" s="7" t="inlineStr">
        <is>
          <t>HM00755</t>
        </is>
      </c>
      <c r="B332" s="16" t="inlineStr">
        <is>
          <t>8712345841829</t>
        </is>
      </c>
      <c r="C332" s="7" t="inlineStr">
        <is>
          <t>ALDERWICK MOZZARELLA 250G</t>
        </is>
      </c>
      <c r="D332" s="7" t="inlineStr">
        <is>
          <t>Mozzarella, 250g</t>
        </is>
      </c>
      <c r="E332" s="7" t="inlineStr">
        <is>
          <t>Alderwick</t>
        </is>
      </c>
      <c r="F332" s="7" t="inlineStr">
        <is>
          <t>Cheese</t>
        </is>
      </c>
      <c r="G332" s="7" t="inlineStr">
        <is>
          <t>Soft Cheese</t>
        </is>
      </c>
      <c r="H332" s="7" t="inlineStr">
        <is>
          <t>yes</t>
        </is>
      </c>
      <c r="I332" s="7" t="inlineStr">
        <is>
          <t>Animal core</t>
        </is>
      </c>
      <c r="J332" s="7" t="inlineStr">
        <is>
          <t>Cheese</t>
        </is>
      </c>
      <c r="K332" s="7" t="inlineStr">
        <is>
          <t>A</t>
        </is>
      </c>
      <c r="L332" s="7" t="inlineStr">
        <is>
          <t>All ingredients on one side</t>
        </is>
      </c>
      <c r="M332" s="51" t="n">
        <v>17.3</v>
      </c>
      <c r="N332" s="7" t="inlineStr">
        <is>
          <t>Altera reference base</t>
        </is>
      </c>
      <c r="O332" s="54" t="n">
        <v>0</v>
      </c>
      <c r="P332" s="54" t="n">
        <v>17.3</v>
      </c>
      <c r="Q332" s="7" t="inlineStr">
        <is>
          <t>yes</t>
        </is>
      </c>
      <c r="R332" s="7" t="inlineStr">
        <is>
          <t>whole</t>
        </is>
      </c>
      <c r="S332" s="7" t="inlineStr">
        <is>
          <t>FG2</t>
        </is>
      </c>
      <c r="T332" s="7" t="inlineStr">
        <is>
          <t>Dairy</t>
        </is>
      </c>
      <c r="U332" s="7" t="inlineStr">
        <is>
          <t>animal</t>
        </is>
      </c>
      <c r="V332" s="7" t="n"/>
      <c r="W332" s="7" t="n"/>
      <c r="X332" s="55" t="n">
        <v>10</v>
      </c>
      <c r="Y332" s="50" t="n">
        <v>0.25</v>
      </c>
      <c r="Z332" s="7" t="inlineStr">
        <is>
          <t>declared</t>
        </is>
      </c>
      <c r="AA332" s="19">
        <f>IF(ISBLANK(Welcome!D358),"",Welcome!D358)</f>
        <v/>
      </c>
      <c r="AB332" s="29">
        <f>IF(ISBLANK(Welcome!E358),"",Welcome!E358)</f>
        <v/>
      </c>
      <c r="AC332" s="29">
        <f>IF(N(AB332)&gt;0,N(AB332),N(AA332)*Y332)</f>
        <v/>
      </c>
      <c r="AD332" s="29">
        <f>IF(H332="yes",AC332,0)</f>
        <v/>
      </c>
      <c r="AE332" s="29">
        <f>AD332*N(M332)/100</f>
        <v/>
      </c>
      <c r="AF332" s="29">
        <f>AD332*N(O332)/100</f>
        <v/>
      </c>
      <c r="AG332" s="29">
        <f>AD332*N(P332)/100</f>
        <v/>
      </c>
      <c r="AH332" s="50">
        <f>IF(Q332="yes",AD332/1000,0)</f>
        <v/>
      </c>
      <c r="AI332" s="50">
        <f>IF(S332="FG2",AH332*X332,AH332)</f>
        <v/>
      </c>
    </row>
    <row r="333">
      <c r="A333" s="7" t="inlineStr">
        <is>
          <t>HM00026</t>
        </is>
      </c>
      <c r="B333" s="16" t="inlineStr">
        <is>
          <t>5012345615714</t>
        </is>
      </c>
      <c r="C333" s="7" t="inlineStr">
        <is>
          <t>ALDERWICK EMMENTAL SLICES 10SL 250G</t>
        </is>
      </c>
      <c r="D333" s="7" t="inlineStr">
        <is>
          <t>Emmental slices, 10sl 250g</t>
        </is>
      </c>
      <c r="E333" s="7" t="inlineStr">
        <is>
          <t>Alderwick</t>
        </is>
      </c>
      <c r="F333" s="7" t="inlineStr">
        <is>
          <t>Cheese</t>
        </is>
      </c>
      <c r="G333" s="7" t="inlineStr">
        <is>
          <t>Hard Cheese</t>
        </is>
      </c>
      <c r="H333" s="7" t="inlineStr">
        <is>
          <t>yes</t>
        </is>
      </c>
      <c r="I333" s="7" t="inlineStr">
        <is>
          <t>Animal core</t>
        </is>
      </c>
      <c r="J333" s="7" t="inlineStr">
        <is>
          <t>Cheese</t>
        </is>
      </c>
      <c r="K333" s="7" t="inlineStr">
        <is>
          <t>A</t>
        </is>
      </c>
      <c r="L333" s="7" t="inlineStr">
        <is>
          <t>All ingredients on one side</t>
        </is>
      </c>
      <c r="M333" s="51" t="n">
        <v>27</v>
      </c>
      <c r="N333" s="7" t="inlineStr">
        <is>
          <t>Declared by the retailer</t>
        </is>
      </c>
      <c r="O333" s="54" t="n">
        <v>0</v>
      </c>
      <c r="P333" s="54" t="n">
        <v>27</v>
      </c>
      <c r="Q333" s="7" t="inlineStr">
        <is>
          <t>yes</t>
        </is>
      </c>
      <c r="R333" s="7" t="inlineStr">
        <is>
          <t>whole</t>
        </is>
      </c>
      <c r="S333" s="7" t="inlineStr">
        <is>
          <t>FG2</t>
        </is>
      </c>
      <c r="T333" s="7" t="inlineStr">
        <is>
          <t>Dairy</t>
        </is>
      </c>
      <c r="U333" s="7" t="inlineStr">
        <is>
          <t>animal</t>
        </is>
      </c>
      <c r="V333" s="7" t="n"/>
      <c r="W333" s="7" t="n"/>
      <c r="X333" s="55" t="n">
        <v>10</v>
      </c>
      <c r="Y333" s="50" t="n">
        <v>0.25</v>
      </c>
      <c r="Z333" s="7" t="inlineStr">
        <is>
          <t>declared</t>
        </is>
      </c>
      <c r="AA333" s="19">
        <f>IF(ISBLANK(Welcome!D359),"",Welcome!D359)</f>
        <v/>
      </c>
      <c r="AB333" s="29">
        <f>IF(ISBLANK(Welcome!E359),"",Welcome!E359)</f>
        <v/>
      </c>
      <c r="AC333" s="29">
        <f>IF(N(AB333)&gt;0,N(AB333),N(AA333)*Y333)</f>
        <v/>
      </c>
      <c r="AD333" s="29">
        <f>IF(H333="yes",AC333,0)</f>
        <v/>
      </c>
      <c r="AE333" s="29">
        <f>AD333*N(M333)/100</f>
        <v/>
      </c>
      <c r="AF333" s="29">
        <f>AD333*N(O333)/100</f>
        <v/>
      </c>
      <c r="AG333" s="29">
        <f>AD333*N(P333)/100</f>
        <v/>
      </c>
      <c r="AH333" s="50">
        <f>IF(Q333="yes",AD333/1000,0)</f>
        <v/>
      </c>
      <c r="AI333" s="50">
        <f>IF(S333="FG2",AH333*X333,AH333)</f>
        <v/>
      </c>
    </row>
    <row r="334">
      <c r="A334" s="7" t="inlineStr">
        <is>
          <t>HM00174</t>
        </is>
      </c>
      <c r="B334" s="16" t="inlineStr">
        <is>
          <t>5012345426143</t>
        </is>
      </c>
      <c r="C334" s="7" t="inlineStr">
        <is>
          <t>HM APPLES GALA 250G</t>
        </is>
      </c>
      <c r="D334" s="7" t="inlineStr">
        <is>
          <t>Gala apples, 250g</t>
        </is>
      </c>
      <c r="E334" s="7" t="inlineStr">
        <is>
          <t>Harbour Market</t>
        </is>
      </c>
      <c r="F334" s="7" t="inlineStr">
        <is>
          <t>Fruit &amp; Vegetables</t>
        </is>
      </c>
      <c r="G334" s="7" t="inlineStr">
        <is>
          <t>Fruit</t>
        </is>
      </c>
      <c r="H334" s="7" t="inlineStr">
        <is>
          <t>yes</t>
        </is>
      </c>
      <c r="I334" s="7" t="inlineStr">
        <is>
          <t>Plant-based non-core</t>
        </is>
      </c>
      <c r="J334" s="7" t="inlineStr">
        <is>
          <t>Fruit and vegetables</t>
        </is>
      </c>
      <c r="K334" s="7" t="inlineStr">
        <is>
          <t>B</t>
        </is>
      </c>
      <c r="L334" s="7" t="inlineStr">
        <is>
          <t>Follows the class</t>
        </is>
      </c>
      <c r="M334" s="51" t="n">
        <v>0.3</v>
      </c>
      <c r="N334" s="7" t="inlineStr">
        <is>
          <t>Declared by the retailer</t>
        </is>
      </c>
      <c r="O334" s="54" t="n">
        <v>0.3</v>
      </c>
      <c r="P334" s="54" t="n">
        <v>0</v>
      </c>
      <c r="Q334" s="7" t="inlineStr">
        <is>
          <t>yes</t>
        </is>
      </c>
      <c r="R334" s="7" t="inlineStr">
        <is>
          <t>whole</t>
        </is>
      </c>
      <c r="S334" s="7" t="inlineStr">
        <is>
          <t>FG4</t>
        </is>
      </c>
      <c r="T334" s="7" t="n"/>
      <c r="U334" s="7" t="inlineStr">
        <is>
          <t>plant</t>
        </is>
      </c>
      <c r="V334" s="7" t="n"/>
      <c r="W334" s="7" t="n"/>
      <c r="X334" s="55" t="n">
        <v>1</v>
      </c>
      <c r="Y334" s="50" t="n">
        <v>0.25</v>
      </c>
      <c r="Z334" s="7" t="inlineStr">
        <is>
          <t>declared</t>
        </is>
      </c>
      <c r="AA334" s="19">
        <f>IF(ISBLANK(Welcome!D360),"",Welcome!D360)</f>
        <v/>
      </c>
      <c r="AB334" s="29">
        <f>IF(ISBLANK(Welcome!E360),"",Welcome!E360)</f>
        <v/>
      </c>
      <c r="AC334" s="29">
        <f>IF(N(AB334)&gt;0,N(AB334),N(AA334)*Y334)</f>
        <v/>
      </c>
      <c r="AD334" s="29">
        <f>IF(H334="yes",AC334,0)</f>
        <v/>
      </c>
      <c r="AE334" s="29">
        <f>AD334*N(M334)/100</f>
        <v/>
      </c>
      <c r="AF334" s="29">
        <f>AD334*N(O334)/100</f>
        <v/>
      </c>
      <c r="AG334" s="29">
        <f>AD334*N(P334)/100</f>
        <v/>
      </c>
      <c r="AH334" s="50">
        <f>IF(Q334="yes",AD334/1000,0)</f>
        <v/>
      </c>
      <c r="AI334" s="50">
        <f>IF(S334="FG2",AH334*X334,AH334)</f>
        <v/>
      </c>
    </row>
    <row r="335">
      <c r="A335" s="7" t="inlineStr">
        <is>
          <t>HM00515</t>
        </is>
      </c>
      <c r="B335" s="16" t="inlineStr">
        <is>
          <t>3012345311960</t>
        </is>
      </c>
      <c r="C335" s="7" t="inlineStr">
        <is>
          <t>HM LEMONS 250G</t>
        </is>
      </c>
      <c r="D335" s="7" t="inlineStr">
        <is>
          <t>Lemons, 250g</t>
        </is>
      </c>
      <c r="E335" s="7" t="inlineStr">
        <is>
          <t>Harbour Market</t>
        </is>
      </c>
      <c r="F335" s="7" t="inlineStr">
        <is>
          <t>Fruit &amp; Vegetables</t>
        </is>
      </c>
      <c r="G335" s="7" t="inlineStr">
        <is>
          <t>Fruit</t>
        </is>
      </c>
      <c r="H335" s="7" t="inlineStr">
        <is>
          <t>yes</t>
        </is>
      </c>
      <c r="I335" s="7" t="inlineStr">
        <is>
          <t>Plant-based non-core</t>
        </is>
      </c>
      <c r="J335" s="7" t="inlineStr">
        <is>
          <t>Fruit and vegetables</t>
        </is>
      </c>
      <c r="K335" s="7" t="inlineStr">
        <is>
          <t>B</t>
        </is>
      </c>
      <c r="L335" s="7" t="inlineStr">
        <is>
          <t>Follows the class</t>
        </is>
      </c>
      <c r="M335" s="51" t="n">
        <v>0.63</v>
      </c>
      <c r="N335" s="7" t="inlineStr">
        <is>
          <t>Declared by the retailer</t>
        </is>
      </c>
      <c r="O335" s="54" t="n">
        <v>0.63</v>
      </c>
      <c r="P335" s="54" t="n">
        <v>0</v>
      </c>
      <c r="Q335" s="7" t="inlineStr">
        <is>
          <t>yes</t>
        </is>
      </c>
      <c r="R335" s="7" t="inlineStr">
        <is>
          <t>whole</t>
        </is>
      </c>
      <c r="S335" s="7" t="inlineStr">
        <is>
          <t>FG4</t>
        </is>
      </c>
      <c r="T335" s="7" t="n"/>
      <c r="U335" s="7" t="inlineStr">
        <is>
          <t>plant</t>
        </is>
      </c>
      <c r="V335" s="7" t="n"/>
      <c r="W335" s="7" t="n"/>
      <c r="X335" s="55" t="n">
        <v>1</v>
      </c>
      <c r="Y335" s="50" t="n">
        <v>0.25</v>
      </c>
      <c r="Z335" s="7" t="inlineStr">
        <is>
          <t>declared</t>
        </is>
      </c>
      <c r="AA335" s="19">
        <f>IF(ISBLANK(Welcome!D361),"",Welcome!D361)</f>
        <v/>
      </c>
      <c r="AB335" s="29">
        <f>IF(ISBLANK(Welcome!E361),"",Welcome!E361)</f>
        <v/>
      </c>
      <c r="AC335" s="29">
        <f>IF(N(AB335)&gt;0,N(AB335),N(AA335)*Y335)</f>
        <v/>
      </c>
      <c r="AD335" s="29">
        <f>IF(H335="yes",AC335,0)</f>
        <v/>
      </c>
      <c r="AE335" s="29">
        <f>AD335*N(M335)/100</f>
        <v/>
      </c>
      <c r="AF335" s="29">
        <f>AD335*N(O335)/100</f>
        <v/>
      </c>
      <c r="AG335" s="29">
        <f>AD335*N(P335)/100</f>
        <v/>
      </c>
      <c r="AH335" s="50">
        <f>IF(Q335="yes",AD335/1000,0)</f>
        <v/>
      </c>
      <c r="AI335" s="50">
        <f>IF(S335="FG2",AH335*X335,AH335)</f>
        <v/>
      </c>
    </row>
    <row r="336">
      <c r="A336" s="7" t="inlineStr">
        <is>
          <t>HM00368</t>
        </is>
      </c>
      <c r="B336" s="16" t="inlineStr">
        <is>
          <t>8712345176686</t>
        </is>
      </c>
      <c r="C336" s="7" t="inlineStr">
        <is>
          <t>BF MINCE 20% 400G TARROW</t>
        </is>
      </c>
      <c r="D336" s="7" t="inlineStr">
        <is>
          <t>Beef mince, 20% fat, 400g</t>
        </is>
      </c>
      <c r="E336" s="7" t="inlineStr">
        <is>
          <t>Tarrow Farm</t>
        </is>
      </c>
      <c r="F336" s="7" t="inlineStr">
        <is>
          <t>Fresh Meat &amp; Poultry</t>
        </is>
      </c>
      <c r="G336" s="7" t="inlineStr">
        <is>
          <t>Beef</t>
        </is>
      </c>
      <c r="H336" s="7" t="inlineStr">
        <is>
          <t>yes</t>
        </is>
      </c>
      <c r="I336" s="7" t="inlineStr">
        <is>
          <t>Animal core</t>
        </is>
      </c>
      <c r="J336" s="7" t="inlineStr">
        <is>
          <t>Red meat</t>
        </is>
      </c>
      <c r="K336" s="7" t="inlineStr">
        <is>
          <t>A</t>
        </is>
      </c>
      <c r="L336" s="7" t="inlineStr">
        <is>
          <t>All ingredients on one side</t>
        </is>
      </c>
      <c r="M336" s="51" t="n">
        <v>18.4</v>
      </c>
      <c r="N336" s="7" t="inlineStr">
        <is>
          <t>National food table (CIQUAL in France)</t>
        </is>
      </c>
      <c r="O336" s="54" t="n">
        <v>0</v>
      </c>
      <c r="P336" s="54" t="n">
        <v>18.4</v>
      </c>
      <c r="Q336" s="7" t="inlineStr">
        <is>
          <t>yes</t>
        </is>
      </c>
      <c r="R336" s="7" t="inlineStr">
        <is>
          <t>whole</t>
        </is>
      </c>
      <c r="S336" s="7" t="inlineStr">
        <is>
          <t>FG1</t>
        </is>
      </c>
      <c r="T336" s="7" t="inlineStr">
        <is>
          <t>Red meat</t>
        </is>
      </c>
      <c r="U336" s="7" t="inlineStr">
        <is>
          <t>animal</t>
        </is>
      </c>
      <c r="V336" s="7" t="n"/>
      <c r="W336" s="7" t="n"/>
      <c r="X336" s="55" t="n">
        <v>1</v>
      </c>
      <c r="Y336" s="50" t="n">
        <v>0.4</v>
      </c>
      <c r="Z336" s="7" t="inlineStr">
        <is>
          <t>declared</t>
        </is>
      </c>
      <c r="AA336" s="19">
        <f>IF(ISBLANK(Welcome!D362),"",Welcome!D362)</f>
        <v/>
      </c>
      <c r="AB336" s="29">
        <f>IF(ISBLANK(Welcome!E362),"",Welcome!E362)</f>
        <v/>
      </c>
      <c r="AC336" s="29">
        <f>IF(N(AB336)&gt;0,N(AB336),N(AA336)*Y336)</f>
        <v/>
      </c>
      <c r="AD336" s="29">
        <f>IF(H336="yes",AC336,0)</f>
        <v/>
      </c>
      <c r="AE336" s="29">
        <f>AD336*N(M336)/100</f>
        <v/>
      </c>
      <c r="AF336" s="29">
        <f>AD336*N(O336)/100</f>
        <v/>
      </c>
      <c r="AG336" s="29">
        <f>AD336*N(P336)/100</f>
        <v/>
      </c>
      <c r="AH336" s="50">
        <f>IF(Q336="yes",AD336/1000,0)</f>
        <v/>
      </c>
      <c r="AI336" s="50">
        <f>IF(S336="FG2",AH336*X336,AH336)</f>
        <v/>
      </c>
    </row>
    <row r="337">
      <c r="A337" s="7" t="inlineStr">
        <is>
          <t>HM00035</t>
        </is>
      </c>
      <c r="B337" s="16" t="inlineStr">
        <is>
          <t>8712345755867</t>
        </is>
      </c>
      <c r="C337" s="7" t="inlineStr">
        <is>
          <t>BRAMBLECOTE WHOLEMEAL SLICED 500G</t>
        </is>
      </c>
      <c r="D337" s="7" t="inlineStr">
        <is>
          <t>Wholemeal sliced bread, 500g</t>
        </is>
      </c>
      <c r="E337" s="7" t="inlineStr">
        <is>
          <t>Bramblecote</t>
        </is>
      </c>
      <c r="F337" s="7" t="inlineStr">
        <is>
          <t>Bakery</t>
        </is>
      </c>
      <c r="G337" s="7" t="inlineStr">
        <is>
          <t>Bread</t>
        </is>
      </c>
      <c r="H337" s="7" t="inlineStr">
        <is>
          <t>yes</t>
        </is>
      </c>
      <c r="I337" s="7" t="inlineStr">
        <is>
          <t>Plant-based non-core</t>
        </is>
      </c>
      <c r="J337" s="7" t="inlineStr">
        <is>
          <t>Whole grains</t>
        </is>
      </c>
      <c r="K337" s="7" t="inlineStr">
        <is>
          <t>A</t>
        </is>
      </c>
      <c r="L337" s="7" t="inlineStr">
        <is>
          <t>All ingredients on one side</t>
        </is>
      </c>
      <c r="M337" s="51" t="n">
        <v>9.699999999999999</v>
      </c>
      <c r="N337" s="7" t="inlineStr">
        <is>
          <t>Declared by the retailer</t>
        </is>
      </c>
      <c r="O337" s="54" t="n">
        <v>9.699999999999999</v>
      </c>
      <c r="P337" s="54" t="n">
        <v>0</v>
      </c>
      <c r="Q337" s="7" t="inlineStr">
        <is>
          <t>yes</t>
        </is>
      </c>
      <c r="R337" s="7" t="inlineStr">
        <is>
          <t>whole</t>
        </is>
      </c>
      <c r="S337" s="7" t="inlineStr">
        <is>
          <t>FG5</t>
        </is>
      </c>
      <c r="T337" s="7" t="inlineStr">
        <is>
          <t>Whole grain</t>
        </is>
      </c>
      <c r="U337" s="7" t="inlineStr">
        <is>
          <t>plant</t>
        </is>
      </c>
      <c r="V337" s="7" t="n"/>
      <c r="W337" s="7" t="n"/>
      <c r="X337" s="55" t="n">
        <v>1</v>
      </c>
      <c r="Y337" s="50" t="n">
        <v>0.5</v>
      </c>
      <c r="Z337" s="7" t="inlineStr">
        <is>
          <t>label</t>
        </is>
      </c>
      <c r="AA337" s="19">
        <f>IF(ISBLANK(Welcome!D363),"",Welcome!D363)</f>
        <v/>
      </c>
      <c r="AB337" s="29">
        <f>IF(ISBLANK(Welcome!E363),"",Welcome!E363)</f>
        <v/>
      </c>
      <c r="AC337" s="29">
        <f>IF(N(AB337)&gt;0,N(AB337),N(AA337)*Y337)</f>
        <v/>
      </c>
      <c r="AD337" s="29">
        <f>IF(H337="yes",AC337,0)</f>
        <v/>
      </c>
      <c r="AE337" s="29">
        <f>AD337*N(M337)/100</f>
        <v/>
      </c>
      <c r="AF337" s="29">
        <f>AD337*N(O337)/100</f>
        <v/>
      </c>
      <c r="AG337" s="29">
        <f>AD337*N(P337)/100</f>
        <v/>
      </c>
      <c r="AH337" s="50">
        <f>IF(Q337="yes",AD337/1000,0)</f>
        <v/>
      </c>
      <c r="AI337" s="50">
        <f>IF(S337="FG2",AH337*X337,AH337)</f>
        <v/>
      </c>
    </row>
    <row r="338">
      <c r="A338" s="7" t="inlineStr">
        <is>
          <t>HM00111</t>
        </is>
      </c>
      <c r="B338" s="16" t="inlineStr">
        <is>
          <t>4012345431360</t>
        </is>
      </c>
      <c r="C338" s="7" t="inlineStr">
        <is>
          <t>HM PAIN AU CHOCOLAT 8PK 280G</t>
        </is>
      </c>
      <c r="D338" s="7" t="inlineStr">
        <is>
          <t>Pains au chocolat, 8pk 280g</t>
        </is>
      </c>
      <c r="E338" s="7" t="inlineStr">
        <is>
          <t>Harbour Market</t>
        </is>
      </c>
      <c r="F338" s="7" t="inlineStr">
        <is>
          <t>Bakery</t>
        </is>
      </c>
      <c r="G338" s="7" t="inlineStr">
        <is>
          <t>Pastries</t>
        </is>
      </c>
      <c r="H338" s="7" t="inlineStr">
        <is>
          <t>yes</t>
        </is>
      </c>
      <c r="I338" s="7" t="inlineStr">
        <is>
          <t>Animal &amp; plant composite</t>
        </is>
      </c>
      <c r="J338" s="7" t="inlineStr">
        <is>
          <t>Discretionary products</t>
        </is>
      </c>
      <c r="K338" s="7" t="inlineStr">
        <is>
          <t>A</t>
        </is>
      </c>
      <c r="L338" s="7" t="inlineStr">
        <is>
          <t>NEVO food table (ratio only)</t>
        </is>
      </c>
      <c r="M338" s="51" t="n">
        <v>8.300000000000001</v>
      </c>
      <c r="N338" s="7" t="inlineStr">
        <is>
          <t>Declared by the retailer</t>
        </is>
      </c>
      <c r="O338" s="54" t="n">
        <v>5.98</v>
      </c>
      <c r="P338" s="54" t="n">
        <v>2.32</v>
      </c>
      <c r="Q338" s="7" t="inlineStr">
        <is>
          <t>yes</t>
        </is>
      </c>
      <c r="R338" s="7" t="inlineStr">
        <is>
          <t>whole</t>
        </is>
      </c>
      <c r="S338" s="7" t="inlineStr">
        <is>
          <t>FG7</t>
        </is>
      </c>
      <c r="T338" s="7" t="n"/>
      <c r="U338" s="7" t="inlineStr">
        <is>
          <t>plant</t>
        </is>
      </c>
      <c r="V338" s="7" t="n"/>
      <c r="W338" s="7" t="n"/>
      <c r="X338" s="55" t="n">
        <v>1</v>
      </c>
      <c r="Y338" s="50" t="n">
        <v>0.28</v>
      </c>
      <c r="Z338" s="7" t="inlineStr">
        <is>
          <t>declared</t>
        </is>
      </c>
      <c r="AA338" s="19">
        <f>IF(ISBLANK(Welcome!D364),"",Welcome!D364)</f>
        <v/>
      </c>
      <c r="AB338" s="29">
        <f>IF(ISBLANK(Welcome!E364),"",Welcome!E364)</f>
        <v/>
      </c>
      <c r="AC338" s="29">
        <f>IF(N(AB338)&gt;0,N(AB338),N(AA338)*Y338)</f>
        <v/>
      </c>
      <c r="AD338" s="29">
        <f>IF(H338="yes",AC338,0)</f>
        <v/>
      </c>
      <c r="AE338" s="29">
        <f>AD338*N(M338)/100</f>
        <v/>
      </c>
      <c r="AF338" s="29">
        <f>AD338*N(O338)/100</f>
        <v/>
      </c>
      <c r="AG338" s="29">
        <f>AD338*N(P338)/100</f>
        <v/>
      </c>
      <c r="AH338" s="50">
        <f>IF(Q338="yes",AD338/1000,0)</f>
        <v/>
      </c>
      <c r="AI338" s="50">
        <f>IF(S338="FG2",AH338*X338,AH338)</f>
        <v/>
      </c>
    </row>
    <row r="339">
      <c r="A339" s="7" t="inlineStr">
        <is>
          <t>HM00201</t>
        </is>
      </c>
      <c r="B339" s="16" t="inlineStr">
        <is>
          <t>4012345472424</t>
        </is>
      </c>
      <c r="C339" s="7" t="inlineStr">
        <is>
          <t>HM BF DICED STEW 250G</t>
        </is>
      </c>
      <c r="D339" s="7" t="inlineStr">
        <is>
          <t>Diced beef for stewing, 250g</t>
        </is>
      </c>
      <c r="E339" s="7" t="inlineStr">
        <is>
          <t>Harbour Market</t>
        </is>
      </c>
      <c r="F339" s="7" t="inlineStr">
        <is>
          <t>Fresh Meat &amp; Poultry</t>
        </is>
      </c>
      <c r="G339" s="7" t="inlineStr">
        <is>
          <t>Beef</t>
        </is>
      </c>
      <c r="H339" s="7" t="inlineStr">
        <is>
          <t>yes</t>
        </is>
      </c>
      <c r="I339" s="7" t="inlineStr">
        <is>
          <t>Animal core</t>
        </is>
      </c>
      <c r="J339" s="7" t="inlineStr">
        <is>
          <t>Red meat</t>
        </is>
      </c>
      <c r="K339" s="7" t="inlineStr">
        <is>
          <t>B</t>
        </is>
      </c>
      <c r="L339" s="7" t="inlineStr">
        <is>
          <t>Follows the class</t>
        </is>
      </c>
      <c r="M339" s="51" t="n">
        <v>22.7</v>
      </c>
      <c r="N339" s="7" t="inlineStr">
        <is>
          <t>Altera reference base</t>
        </is>
      </c>
      <c r="O339" s="54" t="n">
        <v>0</v>
      </c>
      <c r="P339" s="54" t="n">
        <v>22.7</v>
      </c>
      <c r="Q339" s="7" t="inlineStr">
        <is>
          <t>yes</t>
        </is>
      </c>
      <c r="R339" s="7" t="inlineStr">
        <is>
          <t>whole</t>
        </is>
      </c>
      <c r="S339" s="7" t="inlineStr">
        <is>
          <t>FG1</t>
        </is>
      </c>
      <c r="T339" s="7" t="inlineStr">
        <is>
          <t>Red meat</t>
        </is>
      </c>
      <c r="U339" s="7" t="inlineStr">
        <is>
          <t>animal</t>
        </is>
      </c>
      <c r="V339" s="7" t="n"/>
      <c r="W339" s="7" t="n"/>
      <c r="X339" s="55" t="n">
        <v>1</v>
      </c>
      <c r="Y339" s="50" t="n">
        <v>0.25</v>
      </c>
      <c r="Z339" s="7" t="inlineStr">
        <is>
          <t>declared</t>
        </is>
      </c>
      <c r="AA339" s="19">
        <f>IF(ISBLANK(Welcome!D365),"",Welcome!D365)</f>
        <v/>
      </c>
      <c r="AB339" s="29">
        <f>IF(ISBLANK(Welcome!E365),"",Welcome!E365)</f>
        <v/>
      </c>
      <c r="AC339" s="29">
        <f>IF(N(AB339)&gt;0,N(AB339),N(AA339)*Y339)</f>
        <v/>
      </c>
      <c r="AD339" s="29">
        <f>IF(H339="yes",AC339,0)</f>
        <v/>
      </c>
      <c r="AE339" s="29">
        <f>AD339*N(M339)/100</f>
        <v/>
      </c>
      <c r="AF339" s="29">
        <f>AD339*N(O339)/100</f>
        <v/>
      </c>
      <c r="AG339" s="29">
        <f>AD339*N(P339)/100</f>
        <v/>
      </c>
      <c r="AH339" s="50">
        <f>IF(Q339="yes",AD339/1000,0)</f>
        <v/>
      </c>
      <c r="AI339" s="50">
        <f>IF(S339="FG2",AH339*X339,AH339)</f>
        <v/>
      </c>
    </row>
    <row r="340">
      <c r="A340" s="7" t="inlineStr">
        <is>
          <t>HM00421</t>
        </is>
      </c>
      <c r="B340" s="16" t="inlineStr">
        <is>
          <t>3012345349468</t>
        </is>
      </c>
      <c r="C340" s="7" t="inlineStr">
        <is>
          <t>HM CLEMENTINES 250G</t>
        </is>
      </c>
      <c r="D340" s="7" t="inlineStr">
        <is>
          <t>Clementines, 250g</t>
        </is>
      </c>
      <c r="E340" s="7" t="inlineStr">
        <is>
          <t>Harbour Market</t>
        </is>
      </c>
      <c r="F340" s="7" t="inlineStr">
        <is>
          <t>Fruit &amp; Vegetables</t>
        </is>
      </c>
      <c r="G340" s="7" t="inlineStr">
        <is>
          <t>Fruit</t>
        </is>
      </c>
      <c r="H340" s="7" t="inlineStr">
        <is>
          <t>yes</t>
        </is>
      </c>
      <c r="I340" s="7" t="inlineStr">
        <is>
          <t>Plant-based non-core</t>
        </is>
      </c>
      <c r="J340" s="7" t="inlineStr">
        <is>
          <t>Fruit and vegetables</t>
        </is>
      </c>
      <c r="K340" s="7" t="inlineStr">
        <is>
          <t>B</t>
        </is>
      </c>
      <c r="L340" s="7" t="inlineStr">
        <is>
          <t>Follows the class</t>
        </is>
      </c>
      <c r="M340" s="51" t="n">
        <v>0.82</v>
      </c>
      <c r="N340" s="7" t="inlineStr">
        <is>
          <t>Median of the family</t>
        </is>
      </c>
      <c r="O340" s="54" t="n">
        <v>0.82</v>
      </c>
      <c r="P340" s="54" t="n">
        <v>0</v>
      </c>
      <c r="Q340" s="7" t="inlineStr">
        <is>
          <t>yes</t>
        </is>
      </c>
      <c r="R340" s="7" t="inlineStr">
        <is>
          <t>whole</t>
        </is>
      </c>
      <c r="S340" s="7" t="inlineStr">
        <is>
          <t>FG4</t>
        </is>
      </c>
      <c r="T340" s="7" t="n"/>
      <c r="U340" s="7" t="inlineStr">
        <is>
          <t>plant</t>
        </is>
      </c>
      <c r="V340" s="7" t="n"/>
      <c r="W340" s="7" t="n"/>
      <c r="X340" s="55" t="n">
        <v>1</v>
      </c>
      <c r="Y340" s="50" t="n">
        <v>0.25</v>
      </c>
      <c r="Z340" s="7" t="inlineStr">
        <is>
          <t>declared</t>
        </is>
      </c>
      <c r="AA340" s="19">
        <f>IF(ISBLANK(Welcome!D366),"",Welcome!D366)</f>
        <v/>
      </c>
      <c r="AB340" s="29">
        <f>IF(ISBLANK(Welcome!E366),"",Welcome!E366)</f>
        <v/>
      </c>
      <c r="AC340" s="29">
        <f>IF(N(AB340)&gt;0,N(AB340),N(AA340)*Y340)</f>
        <v/>
      </c>
      <c r="AD340" s="29">
        <f>IF(H340="yes",AC340,0)</f>
        <v/>
      </c>
      <c r="AE340" s="29">
        <f>AD340*N(M340)/100</f>
        <v/>
      </c>
      <c r="AF340" s="29">
        <f>AD340*N(O340)/100</f>
        <v/>
      </c>
      <c r="AG340" s="29">
        <f>AD340*N(P340)/100</f>
        <v/>
      </c>
      <c r="AH340" s="50">
        <f>IF(Q340="yes",AD340/1000,0)</f>
        <v/>
      </c>
      <c r="AI340" s="50">
        <f>IF(S340="FG2",AH340*X340,AH340)</f>
        <v/>
      </c>
    </row>
    <row r="341">
      <c r="A341" s="7" t="inlineStr">
        <is>
          <t>HM00498</t>
        </is>
      </c>
      <c r="B341" s="16" t="inlineStr">
        <is>
          <t>8712345582104</t>
        </is>
      </c>
      <c r="C341" s="7" t="inlineStr">
        <is>
          <t>HM FETA 250G</t>
        </is>
      </c>
      <c r="D341" s="7" t="inlineStr">
        <is>
          <t>Feta, 250g</t>
        </is>
      </c>
      <c r="E341" s="7" t="inlineStr">
        <is>
          <t>Harbour Market</t>
        </is>
      </c>
      <c r="F341" s="7" t="inlineStr">
        <is>
          <t>Cheese</t>
        </is>
      </c>
      <c r="G341" s="7" t="inlineStr">
        <is>
          <t>Soft Cheese</t>
        </is>
      </c>
      <c r="H341" s="7" t="inlineStr">
        <is>
          <t>yes</t>
        </is>
      </c>
      <c r="I341" s="7" t="inlineStr">
        <is>
          <t>Animal core</t>
        </is>
      </c>
      <c r="J341" s="7" t="inlineStr">
        <is>
          <t>Cheese</t>
        </is>
      </c>
      <c r="K341" s="7" t="inlineStr">
        <is>
          <t>B</t>
        </is>
      </c>
      <c r="L341" s="7" t="inlineStr">
        <is>
          <t>Follows the class</t>
        </is>
      </c>
      <c r="M341" s="51" t="n">
        <v>16.4</v>
      </c>
      <c r="N341" s="7" t="inlineStr">
        <is>
          <t>Declared by the retailer</t>
        </is>
      </c>
      <c r="O341" s="54" t="n">
        <v>0</v>
      </c>
      <c r="P341" s="54" t="n">
        <v>16.4</v>
      </c>
      <c r="Q341" s="7" t="inlineStr">
        <is>
          <t>yes</t>
        </is>
      </c>
      <c r="R341" s="7" t="inlineStr">
        <is>
          <t>whole</t>
        </is>
      </c>
      <c r="S341" s="7" t="inlineStr">
        <is>
          <t>FG2</t>
        </is>
      </c>
      <c r="T341" s="7" t="inlineStr">
        <is>
          <t>Dairy</t>
        </is>
      </c>
      <c r="U341" s="7" t="inlineStr">
        <is>
          <t>animal</t>
        </is>
      </c>
      <c r="V341" s="7" t="n"/>
      <c r="W341" s="7" t="n"/>
      <c r="X341" s="55" t="n">
        <v>10</v>
      </c>
      <c r="Y341" s="50" t="n">
        <v>0.25</v>
      </c>
      <c r="Z341" s="7" t="inlineStr">
        <is>
          <t>declared</t>
        </is>
      </c>
      <c r="AA341" s="19">
        <f>IF(ISBLANK(Welcome!D367),"",Welcome!D367)</f>
        <v/>
      </c>
      <c r="AB341" s="29">
        <f>IF(ISBLANK(Welcome!E367),"",Welcome!E367)</f>
        <v/>
      </c>
      <c r="AC341" s="29">
        <f>IF(N(AB341)&gt;0,N(AB341),N(AA341)*Y341)</f>
        <v/>
      </c>
      <c r="AD341" s="29">
        <f>IF(H341="yes",AC341,0)</f>
        <v/>
      </c>
      <c r="AE341" s="29">
        <f>AD341*N(M341)/100</f>
        <v/>
      </c>
      <c r="AF341" s="29">
        <f>AD341*N(O341)/100</f>
        <v/>
      </c>
      <c r="AG341" s="29">
        <f>AD341*N(P341)/100</f>
        <v/>
      </c>
      <c r="AH341" s="50">
        <f>IF(Q341="yes",AD341/1000,0)</f>
        <v/>
      </c>
      <c r="AI341" s="50">
        <f>IF(S341="FG2",AH341*X341,AH341)</f>
        <v/>
      </c>
    </row>
    <row r="342">
      <c r="A342" s="7" t="inlineStr">
        <is>
          <t>HM00390</t>
        </is>
      </c>
      <c r="B342" s="16" t="inlineStr">
        <is>
          <t>3012345334525</t>
        </is>
      </c>
      <c r="C342" s="7" t="inlineStr">
        <is>
          <t>HM PORK BELLY SLICES 400G</t>
        </is>
      </c>
      <c r="D342" s="7" t="inlineStr">
        <is>
          <t>Pork belly slices, 400g</t>
        </is>
      </c>
      <c r="E342" s="7" t="inlineStr">
        <is>
          <t>Harbour Market</t>
        </is>
      </c>
      <c r="F342" s="7" t="inlineStr">
        <is>
          <t>Fresh Meat &amp; Poultry</t>
        </is>
      </c>
      <c r="G342" s="7" t="inlineStr">
        <is>
          <t>Pork</t>
        </is>
      </c>
      <c r="H342" s="7" t="inlineStr">
        <is>
          <t>yes</t>
        </is>
      </c>
      <c r="I342" s="7" t="inlineStr">
        <is>
          <t>Animal core</t>
        </is>
      </c>
      <c r="J342" s="7" t="inlineStr">
        <is>
          <t>Red meat</t>
        </is>
      </c>
      <c r="K342" s="7" t="inlineStr">
        <is>
          <t>B</t>
        </is>
      </c>
      <c r="L342" s="7" t="inlineStr">
        <is>
          <t>Follows the class</t>
        </is>
      </c>
      <c r="M342" s="51" t="n">
        <v>17.6</v>
      </c>
      <c r="N342" s="7" t="inlineStr">
        <is>
          <t>Altera reference base</t>
        </is>
      </c>
      <c r="O342" s="54" t="n">
        <v>0</v>
      </c>
      <c r="P342" s="54" t="n">
        <v>17.6</v>
      </c>
      <c r="Q342" s="7" t="inlineStr">
        <is>
          <t>yes</t>
        </is>
      </c>
      <c r="R342" s="7" t="inlineStr">
        <is>
          <t>whole</t>
        </is>
      </c>
      <c r="S342" s="7" t="inlineStr">
        <is>
          <t>FG1</t>
        </is>
      </c>
      <c r="T342" s="7" t="inlineStr">
        <is>
          <t>Red meat</t>
        </is>
      </c>
      <c r="U342" s="7" t="inlineStr">
        <is>
          <t>animal</t>
        </is>
      </c>
      <c r="V342" s="7" t="n"/>
      <c r="W342" s="7" t="n"/>
      <c r="X342" s="55" t="n">
        <v>1</v>
      </c>
      <c r="Y342" s="50" t="n">
        <v>0.4</v>
      </c>
      <c r="Z342" s="7" t="inlineStr">
        <is>
          <t>declared</t>
        </is>
      </c>
      <c r="AA342" s="19">
        <f>IF(ISBLANK(Welcome!D368),"",Welcome!D368)</f>
        <v/>
      </c>
      <c r="AB342" s="29">
        <f>IF(ISBLANK(Welcome!E368),"",Welcome!E368)</f>
        <v/>
      </c>
      <c r="AC342" s="29">
        <f>IF(N(AB342)&gt;0,N(AB342),N(AA342)*Y342)</f>
        <v/>
      </c>
      <c r="AD342" s="29">
        <f>IF(H342="yes",AC342,0)</f>
        <v/>
      </c>
      <c r="AE342" s="29">
        <f>AD342*N(M342)/100</f>
        <v/>
      </c>
      <c r="AF342" s="29">
        <f>AD342*N(O342)/100</f>
        <v/>
      </c>
      <c r="AG342" s="29">
        <f>AD342*N(P342)/100</f>
        <v/>
      </c>
      <c r="AH342" s="50">
        <f>IF(Q342="yes",AD342/1000,0)</f>
        <v/>
      </c>
      <c r="AI342" s="50">
        <f>IF(S342="FG2",AH342*X342,AH342)</f>
        <v/>
      </c>
    </row>
    <row r="343">
      <c r="A343" s="7" t="inlineStr">
        <is>
          <t>HM00006</t>
        </is>
      </c>
      <c r="B343" s="16" t="inlineStr">
        <is>
          <t>4012345549430</t>
        </is>
      </c>
      <c r="C343" s="7" t="inlineStr">
        <is>
          <t>HM COD FISH FINGERS 4PK 440G</t>
        </is>
      </c>
      <c r="D343" s="7" t="inlineStr">
        <is>
          <t>Cod fish fingers, 4pk 440g</t>
        </is>
      </c>
      <c r="E343" s="7" t="inlineStr">
        <is>
          <t>Harbour Market</t>
        </is>
      </c>
      <c r="F343" s="7" t="inlineStr">
        <is>
          <t>Frozen</t>
        </is>
      </c>
      <c r="G343" s="7" t="inlineStr">
        <is>
          <t>Frozen Fish</t>
        </is>
      </c>
      <c r="H343" s="7" t="inlineStr">
        <is>
          <t>yes</t>
        </is>
      </c>
      <c r="I343" s="7" t="inlineStr">
        <is>
          <t>Animal core</t>
        </is>
      </c>
      <c r="J343" s="7" t="inlineStr">
        <is>
          <t>Fish and seafood</t>
        </is>
      </c>
      <c r="K343" s="7" t="inlineStr">
        <is>
          <t>B</t>
        </is>
      </c>
      <c r="L343" s="7" t="inlineStr">
        <is>
          <t>First ingredient</t>
        </is>
      </c>
      <c r="M343" s="51" t="n">
        <v>11.6</v>
      </c>
      <c r="N343" s="7" t="inlineStr">
        <is>
          <t>Declared by the retailer</t>
        </is>
      </c>
      <c r="O343" s="54" t="n">
        <v>0</v>
      </c>
      <c r="P343" s="54" t="n">
        <v>11.6</v>
      </c>
      <c r="Q343" s="7" t="inlineStr">
        <is>
          <t>yes</t>
        </is>
      </c>
      <c r="R343" s="7" t="inlineStr">
        <is>
          <t>whole</t>
        </is>
      </c>
      <c r="S343" s="7" t="inlineStr">
        <is>
          <t>FG1</t>
        </is>
      </c>
      <c r="T343" s="7" t="inlineStr">
        <is>
          <t>Fish &amp; shellfish</t>
        </is>
      </c>
      <c r="U343" s="7" t="inlineStr">
        <is>
          <t>animal</t>
        </is>
      </c>
      <c r="V343" s="7" t="n"/>
      <c r="W343" s="7" t="n"/>
      <c r="X343" s="55" t="n">
        <v>1</v>
      </c>
      <c r="Y343" s="50" t="n">
        <v>0.44</v>
      </c>
      <c r="Z343" s="7" t="inlineStr">
        <is>
          <t>declared</t>
        </is>
      </c>
      <c r="AA343" s="19">
        <f>IF(ISBLANK(Welcome!D369),"",Welcome!D369)</f>
        <v/>
      </c>
      <c r="AB343" s="29">
        <f>IF(ISBLANK(Welcome!E369),"",Welcome!E369)</f>
        <v/>
      </c>
      <c r="AC343" s="29">
        <f>IF(N(AB343)&gt;0,N(AB343),N(AA343)*Y343)</f>
        <v/>
      </c>
      <c r="AD343" s="29">
        <f>IF(H343="yes",AC343,0)</f>
        <v/>
      </c>
      <c r="AE343" s="29">
        <f>AD343*N(M343)/100</f>
        <v/>
      </c>
      <c r="AF343" s="29">
        <f>AD343*N(O343)/100</f>
        <v/>
      </c>
      <c r="AG343" s="29">
        <f>AD343*N(P343)/100</f>
        <v/>
      </c>
      <c r="AH343" s="50">
        <f>IF(Q343="yes",AD343/1000,0)</f>
        <v/>
      </c>
      <c r="AI343" s="50">
        <f>IF(S343="FG2",AH343*X343,AH343)</f>
        <v/>
      </c>
    </row>
    <row r="344">
      <c r="A344" s="7" t="inlineStr">
        <is>
          <t>HM00154</t>
        </is>
      </c>
      <c r="B344" s="16" t="inlineStr">
        <is>
          <t>4012345242898</t>
        </is>
      </c>
      <c r="C344" s="7" t="inlineStr">
        <is>
          <t>HM APPLE JUICE 6X200ML</t>
        </is>
      </c>
      <c r="D344" s="7" t="inlineStr">
        <is>
          <t>Pressed apple juice, 6x200ml</t>
        </is>
      </c>
      <c r="E344" s="7" t="inlineStr">
        <is>
          <t>Harbour Market</t>
        </is>
      </c>
      <c r="F344" s="7" t="inlineStr">
        <is>
          <t>Soft Drinks &amp; Water</t>
        </is>
      </c>
      <c r="G344" s="7" t="inlineStr">
        <is>
          <t>Juice</t>
        </is>
      </c>
      <c r="H344" s="7" t="inlineStr">
        <is>
          <t>yes</t>
        </is>
      </c>
      <c r="I344" s="7" t="inlineStr">
        <is>
          <t>Plant-based non-core</t>
        </is>
      </c>
      <c r="J344" s="7" t="inlineStr">
        <is>
          <t>Outside the WWF scope</t>
        </is>
      </c>
      <c r="K344" s="7" t="inlineStr">
        <is>
          <t>A</t>
        </is>
      </c>
      <c r="L344" s="7" t="inlineStr">
        <is>
          <t>All ingredients on one side</t>
        </is>
      </c>
      <c r="M344" s="51" t="n">
        <v>0.1</v>
      </c>
      <c r="N344" s="7" t="inlineStr">
        <is>
          <t>Declared by the retailer</t>
        </is>
      </c>
      <c r="O344" s="54" t="n">
        <v>0.1</v>
      </c>
      <c r="P344" s="54" t="n">
        <v>0</v>
      </c>
      <c r="Q344" s="7" t="inlineStr">
        <is>
          <t>no</t>
        </is>
      </c>
      <c r="R344" s="7" t="n"/>
      <c r="S344" s="7" t="n"/>
      <c r="T344" s="7" t="n"/>
      <c r="U344" s="7" t="n"/>
      <c r="V344" s="7" t="n"/>
      <c r="W344" s="7" t="inlineStr">
        <is>
          <t>beverage</t>
        </is>
      </c>
      <c r="X344" s="55" t="n">
        <v>1</v>
      </c>
      <c r="Y344" s="50" t="n">
        <v>1.25</v>
      </c>
      <c r="Z344" s="7" t="inlineStr">
        <is>
          <t>declared</t>
        </is>
      </c>
      <c r="AA344" s="19">
        <f>IF(ISBLANK(Welcome!D370),"",Welcome!D370)</f>
        <v/>
      </c>
      <c r="AB344" s="29">
        <f>IF(ISBLANK(Welcome!E370),"",Welcome!E370)</f>
        <v/>
      </c>
      <c r="AC344" s="29">
        <f>IF(N(AB344)&gt;0,N(AB344),N(AA344)*Y344)</f>
        <v/>
      </c>
      <c r="AD344" s="29">
        <f>IF(H344="yes",AC344,0)</f>
        <v/>
      </c>
      <c r="AE344" s="29">
        <f>AD344*N(M344)/100</f>
        <v/>
      </c>
      <c r="AF344" s="29">
        <f>AD344*N(O344)/100</f>
        <v/>
      </c>
      <c r="AG344" s="29">
        <f>AD344*N(P344)/100</f>
        <v/>
      </c>
      <c r="AH344" s="50">
        <f>IF(Q344="yes",AD344/1000,0)</f>
        <v/>
      </c>
      <c r="AI344" s="50">
        <f>IF(S344="FG2",AH344*X344,AH344)</f>
        <v/>
      </c>
    </row>
    <row r="345">
      <c r="A345" s="7" t="inlineStr">
        <is>
          <t>HM00379</t>
        </is>
      </c>
      <c r="B345" s="16" t="inlineStr">
        <is>
          <t>5012345268903</t>
        </is>
      </c>
      <c r="C345" s="7" t="inlineStr">
        <is>
          <t>PENROCK SALT VINEGAR CRISPS 200G</t>
        </is>
      </c>
      <c r="D345" s="7" t="inlineStr">
        <is>
          <t>Salt &amp; vinegar crisps, 200g</t>
        </is>
      </c>
      <c r="E345" s="7" t="inlineStr">
        <is>
          <t>Penrock</t>
        </is>
      </c>
      <c r="F345" s="7" t="inlineStr">
        <is>
          <t>Breakfast &amp; Snacks</t>
        </is>
      </c>
      <c r="G345" s="7" t="inlineStr">
        <is>
          <t>Crisps</t>
        </is>
      </c>
      <c r="H345" s="7" t="inlineStr">
        <is>
          <t>yes</t>
        </is>
      </c>
      <c r="I345" s="7" t="inlineStr">
        <is>
          <t>Plant-based non-core</t>
        </is>
      </c>
      <c r="J345" s="7" t="inlineStr">
        <is>
          <t>Discretionary products</t>
        </is>
      </c>
      <c r="K345" s="7" t="inlineStr">
        <is>
          <t>B</t>
        </is>
      </c>
      <c r="L345" s="7" t="inlineStr">
        <is>
          <t>Follows the class</t>
        </is>
      </c>
      <c r="M345" s="51" t="n">
        <v>5.7</v>
      </c>
      <c r="N345" s="7" t="inlineStr">
        <is>
          <t>Open Food Facts and NEVO, by EAN</t>
        </is>
      </c>
      <c r="O345" s="54" t="n">
        <v>5.7</v>
      </c>
      <c r="P345" s="54" t="n">
        <v>0</v>
      </c>
      <c r="Q345" s="7" t="inlineStr">
        <is>
          <t>yes</t>
        </is>
      </c>
      <c r="R345" s="7" t="inlineStr">
        <is>
          <t>whole</t>
        </is>
      </c>
      <c r="S345" s="7" t="inlineStr">
        <is>
          <t>FG7</t>
        </is>
      </c>
      <c r="T345" s="7" t="n"/>
      <c r="U345" s="7" t="inlineStr">
        <is>
          <t>plant</t>
        </is>
      </c>
      <c r="V345" s="7" t="n"/>
      <c r="W345" s="7" t="n"/>
      <c r="X345" s="55" t="n">
        <v>1</v>
      </c>
      <c r="Y345" s="50" t="n">
        <v>0.2</v>
      </c>
      <c r="Z345" s="7" t="inlineStr">
        <is>
          <t>declared</t>
        </is>
      </c>
      <c r="AA345" s="19">
        <f>IF(ISBLANK(Welcome!D371),"",Welcome!D371)</f>
        <v/>
      </c>
      <c r="AB345" s="29">
        <f>IF(ISBLANK(Welcome!E371),"",Welcome!E371)</f>
        <v/>
      </c>
      <c r="AC345" s="29">
        <f>IF(N(AB345)&gt;0,N(AB345),N(AA345)*Y345)</f>
        <v/>
      </c>
      <c r="AD345" s="29">
        <f>IF(H345="yes",AC345,0)</f>
        <v/>
      </c>
      <c r="AE345" s="29">
        <f>AD345*N(M345)/100</f>
        <v/>
      </c>
      <c r="AF345" s="29">
        <f>AD345*N(O345)/100</f>
        <v/>
      </c>
      <c r="AG345" s="29">
        <f>AD345*N(P345)/100</f>
        <v/>
      </c>
      <c r="AH345" s="50">
        <f>IF(Q345="yes",AD345/1000,0)</f>
        <v/>
      </c>
      <c r="AI345" s="50">
        <f>IF(S345="FG2",AH345*X345,AH345)</f>
        <v/>
      </c>
    </row>
    <row r="346">
      <c r="A346" s="7" t="inlineStr">
        <is>
          <t>HM00667</t>
        </is>
      </c>
      <c r="B346" s="16" t="inlineStr">
        <is>
          <t>5012345719054</t>
        </is>
      </c>
      <c r="C346" s="7" t="inlineStr">
        <is>
          <t>HM SPAG BOLOGNESE 2X400G</t>
        </is>
      </c>
      <c r="D346" s="7" t="inlineStr">
        <is>
          <t>Spaghetti bolognese, 2x400g</t>
        </is>
      </c>
      <c r="E346" s="7" t="inlineStr">
        <is>
          <t>Harbour Market</t>
        </is>
      </c>
      <c r="F346" s="7" t="inlineStr">
        <is>
          <t>Ready Meals</t>
        </is>
      </c>
      <c r="G346" s="7" t="inlineStr">
        <is>
          <t>Ready Meals</t>
        </is>
      </c>
      <c r="H346" s="7" t="inlineStr">
        <is>
          <t>yes</t>
        </is>
      </c>
      <c r="I346" s="7" t="inlineStr">
        <is>
          <t>Animal &amp; plant composite</t>
        </is>
      </c>
      <c r="J346" s="7" t="inlineStr">
        <is>
          <t>Meat-based dishes</t>
        </is>
      </c>
      <c r="K346" s="7" t="inlineStr">
        <is>
          <t>A</t>
        </is>
      </c>
      <c r="L346" s="7" t="inlineStr">
        <is>
          <t>NEVO food table (ratio only)</t>
        </is>
      </c>
      <c r="M346" s="51" t="n">
        <v>7.3</v>
      </c>
      <c r="N346" s="7" t="inlineStr">
        <is>
          <t>Open Food Facts and NEVO, by EAN</t>
        </is>
      </c>
      <c r="O346" s="54" t="n">
        <v>2.55</v>
      </c>
      <c r="P346" s="54" t="n">
        <v>4.75</v>
      </c>
      <c r="Q346" s="7" t="inlineStr">
        <is>
          <t>yes</t>
        </is>
      </c>
      <c r="R346" s="7" t="inlineStr">
        <is>
          <t>composite</t>
        </is>
      </c>
      <c r="S346" s="7" t="n"/>
      <c r="T346" s="7" t="n"/>
      <c r="U346" s="7" t="n"/>
      <c r="V346" s="7" t="inlineStr">
        <is>
          <t>meat-based</t>
        </is>
      </c>
      <c r="W346" s="7" t="n"/>
      <c r="X346" s="55" t="n">
        <v>1</v>
      </c>
      <c r="Y346" s="50" t="n">
        <v>0.8</v>
      </c>
      <c r="Z346" s="7" t="inlineStr">
        <is>
          <t>declared</t>
        </is>
      </c>
      <c r="AA346" s="19">
        <f>IF(ISBLANK(Welcome!D372),"",Welcome!D372)</f>
        <v/>
      </c>
      <c r="AB346" s="29">
        <f>IF(ISBLANK(Welcome!E372),"",Welcome!E372)</f>
        <v/>
      </c>
      <c r="AC346" s="29">
        <f>IF(N(AB346)&gt;0,N(AB346),N(AA346)*Y346)</f>
        <v/>
      </c>
      <c r="AD346" s="29">
        <f>IF(H346="yes",AC346,0)</f>
        <v/>
      </c>
      <c r="AE346" s="29">
        <f>AD346*N(M346)/100</f>
        <v/>
      </c>
      <c r="AF346" s="29">
        <f>AD346*N(O346)/100</f>
        <v/>
      </c>
      <c r="AG346" s="29">
        <f>AD346*N(P346)/100</f>
        <v/>
      </c>
      <c r="AH346" s="50">
        <f>IF(Q346="yes",AD346/1000,0)</f>
        <v/>
      </c>
      <c r="AI346" s="50">
        <f>IF(S346="FG2",AH346*X346,AH346)</f>
        <v/>
      </c>
    </row>
    <row r="347">
      <c r="A347" s="7" t="inlineStr">
        <is>
          <t>HM00489</t>
        </is>
      </c>
      <c r="B347" s="16" t="inlineStr">
        <is>
          <t>8712345377038</t>
        </is>
      </c>
      <c r="C347" s="7" t="inlineStr">
        <is>
          <t>HM COUSCOUS 2KG</t>
        </is>
      </c>
      <c r="D347" s="7" t="inlineStr">
        <is>
          <t>Couscous, 2kg</t>
        </is>
      </c>
      <c r="E347" s="7" t="inlineStr">
        <is>
          <t>Harbour Market</t>
        </is>
      </c>
      <c r="F347" s="7" t="inlineStr">
        <is>
          <t>Grocery</t>
        </is>
      </c>
      <c r="G347" s="7" t="inlineStr">
        <is>
          <t>Rice &amp; Grains</t>
        </is>
      </c>
      <c r="H347" s="7" t="inlineStr">
        <is>
          <t>yes</t>
        </is>
      </c>
      <c r="I347" s="7" t="inlineStr">
        <is>
          <t>Plant-based non-core</t>
        </is>
      </c>
      <c r="J347" s="7" t="inlineStr">
        <is>
          <t>Refined grains</t>
        </is>
      </c>
      <c r="K347" s="7" t="inlineStr">
        <is>
          <t>B</t>
        </is>
      </c>
      <c r="L347" s="7" t="inlineStr">
        <is>
          <t>Follows the class</t>
        </is>
      </c>
      <c r="M347" s="51" t="n">
        <v>7.2</v>
      </c>
      <c r="N347" s="7" t="inlineStr">
        <is>
          <t>Declared by the retailer</t>
        </is>
      </c>
      <c r="O347" s="54" t="n">
        <v>7.2</v>
      </c>
      <c r="P347" s="54" t="n">
        <v>0</v>
      </c>
      <c r="Q347" s="7" t="inlineStr">
        <is>
          <t>yes</t>
        </is>
      </c>
      <c r="R347" s="7" t="inlineStr">
        <is>
          <t>whole</t>
        </is>
      </c>
      <c r="S347" s="7" t="inlineStr">
        <is>
          <t>FG5</t>
        </is>
      </c>
      <c r="T347" s="7" t="inlineStr">
        <is>
          <t>Refined grain</t>
        </is>
      </c>
      <c r="U347" s="7" t="inlineStr">
        <is>
          <t>plant</t>
        </is>
      </c>
      <c r="V347" s="7" t="n"/>
      <c r="W347" s="7" t="n"/>
      <c r="X347" s="55" t="n">
        <v>1</v>
      </c>
      <c r="Y347" s="50" t="n">
        <v>2</v>
      </c>
      <c r="Z347" s="7" t="inlineStr">
        <is>
          <t>declared</t>
        </is>
      </c>
      <c r="AA347" s="19">
        <f>IF(ISBLANK(Welcome!D373),"",Welcome!D373)</f>
        <v/>
      </c>
      <c r="AB347" s="29">
        <f>IF(ISBLANK(Welcome!E373),"",Welcome!E373)</f>
        <v/>
      </c>
      <c r="AC347" s="29">
        <f>IF(N(AB347)&gt;0,N(AB347),N(AA347)*Y347)</f>
        <v/>
      </c>
      <c r="AD347" s="29">
        <f>IF(H347="yes",AC347,0)</f>
        <v/>
      </c>
      <c r="AE347" s="29">
        <f>AD347*N(M347)/100</f>
        <v/>
      </c>
      <c r="AF347" s="29">
        <f>AD347*N(O347)/100</f>
        <v/>
      </c>
      <c r="AG347" s="29">
        <f>AD347*N(P347)/100</f>
        <v/>
      </c>
      <c r="AH347" s="50">
        <f>IF(Q347="yes",AD347/1000,0)</f>
        <v/>
      </c>
      <c r="AI347" s="50">
        <f>IF(S347="FG2",AH347*X347,AH347)</f>
        <v/>
      </c>
    </row>
    <row r="348">
      <c r="A348" s="7" t="inlineStr">
        <is>
          <t>HM00695</t>
        </is>
      </c>
      <c r="B348" s="16" t="inlineStr">
        <is>
          <t>4012345737370</t>
        </is>
      </c>
      <c r="C348" s="7" t="inlineStr">
        <is>
          <t>HM CRINKLE CUT CHIPS 900G</t>
        </is>
      </c>
      <c r="D348" s="7" t="inlineStr">
        <is>
          <t>Crinkle-cut chips, 900g</t>
        </is>
      </c>
      <c r="E348" s="7" t="inlineStr">
        <is>
          <t>Harbour Market</t>
        </is>
      </c>
      <c r="F348" s="7" t="inlineStr">
        <is>
          <t>Frozen</t>
        </is>
      </c>
      <c r="G348" s="7" t="inlineStr">
        <is>
          <t>Frozen Potatoes</t>
        </is>
      </c>
      <c r="H348" s="7" t="inlineStr">
        <is>
          <t>yes</t>
        </is>
      </c>
      <c r="I348" s="7" t="inlineStr">
        <is>
          <t>Plant-based non-core</t>
        </is>
      </c>
      <c r="J348" s="7" t="inlineStr">
        <is>
          <t>Discretionary products</t>
        </is>
      </c>
      <c r="K348" s="7" t="inlineStr">
        <is>
          <t>A</t>
        </is>
      </c>
      <c r="L348" s="7" t="inlineStr">
        <is>
          <t>All ingredients on one side</t>
        </is>
      </c>
      <c r="M348" s="51" t="n">
        <v>2.5</v>
      </c>
      <c r="N348" s="7" t="inlineStr">
        <is>
          <t>Declared by the retailer</t>
        </is>
      </c>
      <c r="O348" s="54" t="n">
        <v>2.5</v>
      </c>
      <c r="P348" s="54" t="n">
        <v>0</v>
      </c>
      <c r="Q348" s="7" t="inlineStr">
        <is>
          <t>yes</t>
        </is>
      </c>
      <c r="R348" s="7" t="inlineStr">
        <is>
          <t>whole</t>
        </is>
      </c>
      <c r="S348" s="7" t="inlineStr">
        <is>
          <t>FG7</t>
        </is>
      </c>
      <c r="T348" s="7" t="n"/>
      <c r="U348" s="7" t="inlineStr">
        <is>
          <t>plant</t>
        </is>
      </c>
      <c r="V348" s="7" t="n"/>
      <c r="W348" s="7" t="n"/>
      <c r="X348" s="55" t="n">
        <v>1</v>
      </c>
      <c r="Y348" s="50" t="n">
        <v>0.9</v>
      </c>
      <c r="Z348" s="7" t="inlineStr">
        <is>
          <t>declared</t>
        </is>
      </c>
      <c r="AA348" s="19">
        <f>IF(ISBLANK(Welcome!D374),"",Welcome!D374)</f>
        <v/>
      </c>
      <c r="AB348" s="29">
        <f>IF(ISBLANK(Welcome!E374),"",Welcome!E374)</f>
        <v/>
      </c>
      <c r="AC348" s="29">
        <f>IF(N(AB348)&gt;0,N(AB348),N(AA348)*Y348)</f>
        <v/>
      </c>
      <c r="AD348" s="29">
        <f>IF(H348="yes",AC348,0)</f>
        <v/>
      </c>
      <c r="AE348" s="29">
        <f>AD348*N(M348)/100</f>
        <v/>
      </c>
      <c r="AF348" s="29">
        <f>AD348*N(O348)/100</f>
        <v/>
      </c>
      <c r="AG348" s="29">
        <f>AD348*N(P348)/100</f>
        <v/>
      </c>
      <c r="AH348" s="50">
        <f>IF(Q348="yes",AD348/1000,0)</f>
        <v/>
      </c>
      <c r="AI348" s="50">
        <f>IF(S348="FG2",AH348*X348,AH348)</f>
        <v/>
      </c>
    </row>
    <row r="349">
      <c r="A349" s="7" t="inlineStr">
        <is>
          <t>HM00344</t>
        </is>
      </c>
      <c r="B349" s="16" t="inlineStr">
        <is>
          <t>3012345617161</t>
        </is>
      </c>
      <c r="C349" s="7" t="inlineStr">
        <is>
          <t>ORVALIS BLACK BEANS 410G</t>
        </is>
      </c>
      <c r="D349" s="7" t="inlineStr">
        <is>
          <t>Black beans in water, 410g</t>
        </is>
      </c>
      <c r="E349" s="7" t="inlineStr">
        <is>
          <t>Orvalis</t>
        </is>
      </c>
      <c r="F349" s="7" t="inlineStr">
        <is>
          <t>Grocery</t>
        </is>
      </c>
      <c r="G349" s="7" t="inlineStr">
        <is>
          <t>Pulses</t>
        </is>
      </c>
      <c r="H349" s="7" t="inlineStr">
        <is>
          <t>yes</t>
        </is>
      </c>
      <c r="I349" s="7" t="inlineStr">
        <is>
          <t>Plant-based core</t>
        </is>
      </c>
      <c r="J349" s="7" t="inlineStr">
        <is>
          <t>Pulses</t>
        </is>
      </c>
      <c r="K349" s="7" t="inlineStr">
        <is>
          <t>A</t>
        </is>
      </c>
      <c r="L349" s="7" t="inlineStr">
        <is>
          <t>All ingredients on one side</t>
        </is>
      </c>
      <c r="M349" s="51" t="n">
        <v>7.3</v>
      </c>
      <c r="N349" s="7" t="inlineStr">
        <is>
          <t>Declared by the retailer</t>
        </is>
      </c>
      <c r="O349" s="54" t="n">
        <v>7.3</v>
      </c>
      <c r="P349" s="54" t="n">
        <v>0</v>
      </c>
      <c r="Q349" s="7" t="inlineStr">
        <is>
          <t>yes</t>
        </is>
      </c>
      <c r="R349" s="7" t="inlineStr">
        <is>
          <t>whole</t>
        </is>
      </c>
      <c r="S349" s="7" t="inlineStr">
        <is>
          <t>FG1</t>
        </is>
      </c>
      <c r="T349" s="7" t="inlineStr">
        <is>
          <t>Pulses</t>
        </is>
      </c>
      <c r="U349" s="7" t="inlineStr">
        <is>
          <t>plant</t>
        </is>
      </c>
      <c r="V349" s="7" t="n"/>
      <c r="W349" s="7" t="n"/>
      <c r="X349" s="55" t="n">
        <v>1</v>
      </c>
      <c r="Y349" s="50" t="n">
        <v>0.41</v>
      </c>
      <c r="Z349" s="7" t="inlineStr">
        <is>
          <t>declared</t>
        </is>
      </c>
      <c r="AA349" s="19">
        <f>IF(ISBLANK(Welcome!D375),"",Welcome!D375)</f>
        <v/>
      </c>
      <c r="AB349" s="29">
        <f>IF(ISBLANK(Welcome!E375),"",Welcome!E375)</f>
        <v/>
      </c>
      <c r="AC349" s="29">
        <f>IF(N(AB349)&gt;0,N(AB349),N(AA349)*Y349)</f>
        <v/>
      </c>
      <c r="AD349" s="29">
        <f>IF(H349="yes",AC349,0)</f>
        <v/>
      </c>
      <c r="AE349" s="29">
        <f>AD349*N(M349)/100</f>
        <v/>
      </c>
      <c r="AF349" s="29">
        <f>AD349*N(O349)/100</f>
        <v/>
      </c>
      <c r="AG349" s="29">
        <f>AD349*N(P349)/100</f>
        <v/>
      </c>
      <c r="AH349" s="50">
        <f>IF(Q349="yes",AD349/1000,0)</f>
        <v/>
      </c>
      <c r="AI349" s="50">
        <f>IF(S349="FG2",AH349*X349,AH349)</f>
        <v/>
      </c>
    </row>
    <row r="350">
      <c r="A350" s="7" t="inlineStr">
        <is>
          <t>HM00178</t>
        </is>
      </c>
      <c r="B350" s="16" t="inlineStr">
        <is>
          <t>3012345053969</t>
        </is>
      </c>
      <c r="C350" s="7" t="inlineStr">
        <is>
          <t>QUILLAN COTTAGE PIE 450G</t>
        </is>
      </c>
      <c r="D350" s="7" t="inlineStr">
        <is>
          <t>Cottage pie, 450g</t>
        </is>
      </c>
      <c r="E350" s="7" t="inlineStr">
        <is>
          <t>Quillan</t>
        </is>
      </c>
      <c r="F350" s="7" t="inlineStr">
        <is>
          <t>Ready Meals</t>
        </is>
      </c>
      <c r="G350" s="7" t="inlineStr">
        <is>
          <t>Ready Meals</t>
        </is>
      </c>
      <c r="H350" s="7" t="inlineStr">
        <is>
          <t>yes</t>
        </is>
      </c>
      <c r="I350" s="7" t="inlineStr">
        <is>
          <t>Animal &amp; plant composite</t>
        </is>
      </c>
      <c r="J350" s="7" t="inlineStr">
        <is>
          <t>Meat-based dishes</t>
        </is>
      </c>
      <c r="K350" s="7" t="inlineStr">
        <is>
          <t>B</t>
        </is>
      </c>
      <c r="L350" s="7" t="inlineStr">
        <is>
          <t>50/50 convention</t>
        </is>
      </c>
      <c r="M350" s="51" t="n">
        <v>6.8</v>
      </c>
      <c r="N350" s="7" t="inlineStr">
        <is>
          <t>Altera reference base</t>
        </is>
      </c>
      <c r="O350" s="54" t="n">
        <v>3.4</v>
      </c>
      <c r="P350" s="54" t="n">
        <v>3.4</v>
      </c>
      <c r="Q350" s="7" t="inlineStr">
        <is>
          <t>yes</t>
        </is>
      </c>
      <c r="R350" s="7" t="inlineStr">
        <is>
          <t>composite</t>
        </is>
      </c>
      <c r="S350" s="7" t="n"/>
      <c r="T350" s="7" t="n"/>
      <c r="U350" s="7" t="n"/>
      <c r="V350" s="7" t="inlineStr">
        <is>
          <t>meat-based</t>
        </is>
      </c>
      <c r="W350" s="7" t="n"/>
      <c r="X350" s="55" t="n">
        <v>1</v>
      </c>
      <c r="Y350" s="50" t="n">
        <v>0.45</v>
      </c>
      <c r="Z350" s="7" t="inlineStr">
        <is>
          <t>declared</t>
        </is>
      </c>
      <c r="AA350" s="19">
        <f>IF(ISBLANK(Welcome!D376),"",Welcome!D376)</f>
        <v/>
      </c>
      <c r="AB350" s="29">
        <f>IF(ISBLANK(Welcome!E376),"",Welcome!E376)</f>
        <v/>
      </c>
      <c r="AC350" s="29">
        <f>IF(N(AB350)&gt;0,N(AB350),N(AA350)*Y350)</f>
        <v/>
      </c>
      <c r="AD350" s="29">
        <f>IF(H350="yes",AC350,0)</f>
        <v/>
      </c>
      <c r="AE350" s="29">
        <f>AD350*N(M350)/100</f>
        <v/>
      </c>
      <c r="AF350" s="29">
        <f>AD350*N(O350)/100</f>
        <v/>
      </c>
      <c r="AG350" s="29">
        <f>AD350*N(P350)/100</f>
        <v/>
      </c>
      <c r="AH350" s="50">
        <f>IF(Q350="yes",AD350/1000,0)</f>
        <v/>
      </c>
      <c r="AI350" s="50">
        <f>IF(S350="FG2",AH350*X350,AH350)</f>
        <v/>
      </c>
    </row>
    <row r="351">
      <c r="A351" s="7" t="inlineStr">
        <is>
          <t>HM00199</t>
        </is>
      </c>
      <c r="B351" s="16" t="inlineStr">
        <is>
          <t>5012345014777</t>
        </is>
      </c>
      <c r="C351" s="7" t="inlineStr">
        <is>
          <t>CHOC MILK DRINK 6X200ML FJELDA</t>
        </is>
      </c>
      <c r="D351" s="7" t="inlineStr">
        <is>
          <t>Chocolate milk drink, 6x200ml</t>
        </is>
      </c>
      <c r="E351" s="7" t="inlineStr">
        <is>
          <t>Fjelda</t>
        </is>
      </c>
      <c r="F351" s="7" t="inlineStr">
        <is>
          <t>Dairy &amp; Eggs</t>
        </is>
      </c>
      <c r="G351" s="7" t="inlineStr">
        <is>
          <t>Milk Drinks</t>
        </is>
      </c>
      <c r="H351" s="7" t="inlineStr">
        <is>
          <t>yes</t>
        </is>
      </c>
      <c r="I351" s="7" t="inlineStr">
        <is>
          <t>Animal &amp; plant composite</t>
        </is>
      </c>
      <c r="J351" s="7" t="inlineStr">
        <is>
          <t>Other</t>
        </is>
      </c>
      <c r="K351" s="7" t="inlineStr">
        <is>
          <t>A</t>
        </is>
      </c>
      <c r="L351" s="7" t="inlineStr">
        <is>
          <t>Ingredient list</t>
        </is>
      </c>
      <c r="M351" s="51" t="n">
        <v>3.2</v>
      </c>
      <c r="N351" s="7" t="inlineStr">
        <is>
          <t>Declared by the retailer</t>
        </is>
      </c>
      <c r="O351" s="54" t="n">
        <v>0.22</v>
      </c>
      <c r="P351" s="54" t="n">
        <v>2.98</v>
      </c>
      <c r="Q351" s="7" t="inlineStr">
        <is>
          <t>yes</t>
        </is>
      </c>
      <c r="R351" s="7" t="inlineStr">
        <is>
          <t>whole</t>
        </is>
      </c>
      <c r="S351" s="7" t="inlineStr">
        <is>
          <t>FG2</t>
        </is>
      </c>
      <c r="T351" s="7" t="inlineStr">
        <is>
          <t>Dairy</t>
        </is>
      </c>
      <c r="U351" s="7" t="inlineStr">
        <is>
          <t>animal</t>
        </is>
      </c>
      <c r="V351" s="7" t="n"/>
      <c r="W351" s="7" t="n"/>
      <c r="X351" s="55" t="n">
        <v>1</v>
      </c>
      <c r="Y351" s="50" t="n">
        <v>1.24</v>
      </c>
      <c r="Z351" s="7" t="inlineStr">
        <is>
          <t>declared</t>
        </is>
      </c>
      <c r="AA351" s="19">
        <f>IF(ISBLANK(Welcome!D377),"",Welcome!D377)</f>
        <v/>
      </c>
      <c r="AB351" s="29">
        <f>IF(ISBLANK(Welcome!E377),"",Welcome!E377)</f>
        <v/>
      </c>
      <c r="AC351" s="29">
        <f>IF(N(AB351)&gt;0,N(AB351),N(AA351)*Y351)</f>
        <v/>
      </c>
      <c r="AD351" s="29">
        <f>IF(H351="yes",AC351,0)</f>
        <v/>
      </c>
      <c r="AE351" s="29">
        <f>AD351*N(M351)/100</f>
        <v/>
      </c>
      <c r="AF351" s="29">
        <f>AD351*N(O351)/100</f>
        <v/>
      </c>
      <c r="AG351" s="29">
        <f>AD351*N(P351)/100</f>
        <v/>
      </c>
      <c r="AH351" s="50">
        <f>IF(Q351="yes",AD351/1000,0)</f>
        <v/>
      </c>
      <c r="AI351" s="50">
        <f>IF(S351="FG2",AH351*X351,AH351)</f>
        <v/>
      </c>
    </row>
    <row r="352">
      <c r="A352" s="7" t="inlineStr">
        <is>
          <t>HM00332</t>
        </is>
      </c>
      <c r="B352" s="16" t="inlineStr">
        <is>
          <t>3012345718752</t>
        </is>
      </c>
      <c r="C352" s="7" t="inlineStr">
        <is>
          <t>HM BABY SPINACH 300G</t>
        </is>
      </c>
      <c r="D352" s="7" t="inlineStr">
        <is>
          <t>Baby spinach, 300g</t>
        </is>
      </c>
      <c r="E352" s="7" t="inlineStr">
        <is>
          <t>Harbour Market</t>
        </is>
      </c>
      <c r="F352" s="7" t="inlineStr">
        <is>
          <t>Fruit &amp; Vegetables</t>
        </is>
      </c>
      <c r="G352" s="7" t="inlineStr">
        <is>
          <t>Vegetables</t>
        </is>
      </c>
      <c r="H352" s="7" t="inlineStr">
        <is>
          <t>yes</t>
        </is>
      </c>
      <c r="I352" s="7" t="inlineStr">
        <is>
          <t>Plant-based non-core</t>
        </is>
      </c>
      <c r="J352" s="7" t="inlineStr">
        <is>
          <t>Fruit and vegetables</t>
        </is>
      </c>
      <c r="K352" s="7" t="inlineStr">
        <is>
          <t>B</t>
        </is>
      </c>
      <c r="L352" s="7" t="inlineStr">
        <is>
          <t>Follows the class</t>
        </is>
      </c>
      <c r="M352" s="51" t="n">
        <v>2.9</v>
      </c>
      <c r="N352" s="7" t="inlineStr">
        <is>
          <t>Declared by the retailer</t>
        </is>
      </c>
      <c r="O352" s="54" t="n">
        <v>2.9</v>
      </c>
      <c r="P352" s="54" t="n">
        <v>0</v>
      </c>
      <c r="Q352" s="7" t="inlineStr">
        <is>
          <t>yes</t>
        </is>
      </c>
      <c r="R352" s="7" t="inlineStr">
        <is>
          <t>whole</t>
        </is>
      </c>
      <c r="S352" s="7" t="inlineStr">
        <is>
          <t>FG4</t>
        </is>
      </c>
      <c r="T352" s="7" t="n"/>
      <c r="U352" s="7" t="inlineStr">
        <is>
          <t>plant</t>
        </is>
      </c>
      <c r="V352" s="7" t="n"/>
      <c r="W352" s="7" t="n"/>
      <c r="X352" s="55" t="n">
        <v>1</v>
      </c>
      <c r="Y352" s="50" t="n">
        <v>0.3</v>
      </c>
      <c r="Z352" s="7" t="inlineStr">
        <is>
          <t>declared</t>
        </is>
      </c>
      <c r="AA352" s="19">
        <f>IF(ISBLANK(Welcome!D378),"",Welcome!D378)</f>
        <v/>
      </c>
      <c r="AB352" s="29">
        <f>IF(ISBLANK(Welcome!E378),"",Welcome!E378)</f>
        <v/>
      </c>
      <c r="AC352" s="29">
        <f>IF(N(AB352)&gt;0,N(AB352),N(AA352)*Y352)</f>
        <v/>
      </c>
      <c r="AD352" s="29">
        <f>IF(H352="yes",AC352,0)</f>
        <v/>
      </c>
      <c r="AE352" s="29">
        <f>AD352*N(M352)/100</f>
        <v/>
      </c>
      <c r="AF352" s="29">
        <f>AD352*N(O352)/100</f>
        <v/>
      </c>
      <c r="AG352" s="29">
        <f>AD352*N(P352)/100</f>
        <v/>
      </c>
      <c r="AH352" s="50">
        <f>IF(Q352="yes",AD352/1000,0)</f>
        <v/>
      </c>
      <c r="AI352" s="50">
        <f>IF(S352="FG2",AH352*X352,AH352)</f>
        <v/>
      </c>
    </row>
    <row r="353">
      <c r="A353" s="7" t="inlineStr">
        <is>
          <t>HM00785</t>
        </is>
      </c>
      <c r="B353" s="16" t="inlineStr">
        <is>
          <t>4012345367317</t>
        </is>
      </c>
      <c r="C353" s="7" t="inlineStr">
        <is>
          <t>HM RED GRAPES SEEDLESS 250G</t>
        </is>
      </c>
      <c r="D353" s="7" t="inlineStr">
        <is>
          <t>Seedless red grapes, 250g</t>
        </is>
      </c>
      <c r="E353" s="7" t="inlineStr">
        <is>
          <t>Harbour Market</t>
        </is>
      </c>
      <c r="F353" s="7" t="inlineStr">
        <is>
          <t>Fruit &amp; Vegetables</t>
        </is>
      </c>
      <c r="G353" s="7" t="inlineStr">
        <is>
          <t>Fruit</t>
        </is>
      </c>
      <c r="H353" s="7" t="inlineStr">
        <is>
          <t>yes</t>
        </is>
      </c>
      <c r="I353" s="7" t="inlineStr">
        <is>
          <t>Plant-based non-core</t>
        </is>
      </c>
      <c r="J353" s="7" t="inlineStr">
        <is>
          <t>Fruit and vegetables</t>
        </is>
      </c>
      <c r="K353" s="7" t="inlineStr">
        <is>
          <t>B</t>
        </is>
      </c>
      <c r="L353" s="7" t="inlineStr">
        <is>
          <t>Follows the class</t>
        </is>
      </c>
      <c r="M353" s="51" t="n">
        <v>0.63</v>
      </c>
      <c r="N353" s="7" t="inlineStr">
        <is>
          <t>Declared by the retailer</t>
        </is>
      </c>
      <c r="O353" s="54" t="n">
        <v>0.63</v>
      </c>
      <c r="P353" s="54" t="n">
        <v>0</v>
      </c>
      <c r="Q353" s="7" t="inlineStr">
        <is>
          <t>yes</t>
        </is>
      </c>
      <c r="R353" s="7" t="inlineStr">
        <is>
          <t>whole</t>
        </is>
      </c>
      <c r="S353" s="7" t="inlineStr">
        <is>
          <t>FG4</t>
        </is>
      </c>
      <c r="T353" s="7" t="n"/>
      <c r="U353" s="7" t="inlineStr">
        <is>
          <t>plant</t>
        </is>
      </c>
      <c r="V353" s="7" t="n"/>
      <c r="W353" s="7" t="n"/>
      <c r="X353" s="55" t="n">
        <v>1</v>
      </c>
      <c r="Y353" s="50" t="n">
        <v>0.25</v>
      </c>
      <c r="Z353" s="7" t="inlineStr">
        <is>
          <t>declared</t>
        </is>
      </c>
      <c r="AA353" s="19">
        <f>IF(ISBLANK(Welcome!D379),"",Welcome!D379)</f>
        <v/>
      </c>
      <c r="AB353" s="29">
        <f>IF(ISBLANK(Welcome!E379),"",Welcome!E379)</f>
        <v/>
      </c>
      <c r="AC353" s="29">
        <f>IF(N(AB353)&gt;0,N(AB353),N(AA353)*Y353)</f>
        <v/>
      </c>
      <c r="AD353" s="29">
        <f>IF(H353="yes",AC353,0)</f>
        <v/>
      </c>
      <c r="AE353" s="29">
        <f>AD353*N(M353)/100</f>
        <v/>
      </c>
      <c r="AF353" s="29">
        <f>AD353*N(O353)/100</f>
        <v/>
      </c>
      <c r="AG353" s="29">
        <f>AD353*N(P353)/100</f>
        <v/>
      </c>
      <c r="AH353" s="50">
        <f>IF(Q353="yes",AD353/1000,0)</f>
        <v/>
      </c>
      <c r="AI353" s="50">
        <f>IF(S353="FG2",AH353*X353,AH353)</f>
        <v/>
      </c>
    </row>
    <row r="354">
      <c r="A354" s="7" t="inlineStr">
        <is>
          <t>HM00260</t>
        </is>
      </c>
      <c r="B354" s="16" t="inlineStr">
        <is>
          <t>5012345948751</t>
        </is>
      </c>
      <c r="C354" s="7" t="inlineStr">
        <is>
          <t>HM BASMATI RICE 500G</t>
        </is>
      </c>
      <c r="D354" s="7" t="inlineStr">
        <is>
          <t>Basmati rice, 500g</t>
        </is>
      </c>
      <c r="E354" s="7" t="inlineStr">
        <is>
          <t>Harbour Market</t>
        </is>
      </c>
      <c r="F354" s="7" t="inlineStr">
        <is>
          <t>Grocery</t>
        </is>
      </c>
      <c r="G354" s="7" t="inlineStr">
        <is>
          <t>Rice &amp; Grains</t>
        </is>
      </c>
      <c r="H354" s="7" t="inlineStr">
        <is>
          <t>yes</t>
        </is>
      </c>
      <c r="I354" s="7" t="inlineStr">
        <is>
          <t>Plant-based non-core</t>
        </is>
      </c>
      <c r="J354" s="7" t="inlineStr">
        <is>
          <t>Refined grains</t>
        </is>
      </c>
      <c r="K354" s="7" t="inlineStr">
        <is>
          <t>A</t>
        </is>
      </c>
      <c r="L354" s="7" t="inlineStr">
        <is>
          <t>All ingredients on one side</t>
        </is>
      </c>
      <c r="M354" s="51" t="n">
        <v>7.3</v>
      </c>
      <c r="N354" s="7" t="inlineStr">
        <is>
          <t>National food table (CIQUAL in France)</t>
        </is>
      </c>
      <c r="O354" s="54" t="n">
        <v>7.3</v>
      </c>
      <c r="P354" s="54" t="n">
        <v>0</v>
      </c>
      <c r="Q354" s="7" t="inlineStr">
        <is>
          <t>yes</t>
        </is>
      </c>
      <c r="R354" s="7" t="inlineStr">
        <is>
          <t>whole</t>
        </is>
      </c>
      <c r="S354" s="7" t="inlineStr">
        <is>
          <t>FG5</t>
        </is>
      </c>
      <c r="T354" s="7" t="inlineStr">
        <is>
          <t>Refined grain</t>
        </is>
      </c>
      <c r="U354" s="7" t="inlineStr">
        <is>
          <t>plant</t>
        </is>
      </c>
      <c r="V354" s="7" t="n"/>
      <c r="W354" s="7" t="n"/>
      <c r="X354" s="55" t="n">
        <v>1</v>
      </c>
      <c r="Y354" s="50" t="n">
        <v>0.5</v>
      </c>
      <c r="Z354" s="7" t="inlineStr">
        <is>
          <t>declared</t>
        </is>
      </c>
      <c r="AA354" s="19">
        <f>IF(ISBLANK(Welcome!D380),"",Welcome!D380)</f>
        <v/>
      </c>
      <c r="AB354" s="29">
        <f>IF(ISBLANK(Welcome!E380),"",Welcome!E380)</f>
        <v/>
      </c>
      <c r="AC354" s="29">
        <f>IF(N(AB354)&gt;0,N(AB354),N(AA354)*Y354)</f>
        <v/>
      </c>
      <c r="AD354" s="29">
        <f>IF(H354="yes",AC354,0)</f>
        <v/>
      </c>
      <c r="AE354" s="29">
        <f>AD354*N(M354)/100</f>
        <v/>
      </c>
      <c r="AF354" s="29">
        <f>AD354*N(O354)/100</f>
        <v/>
      </c>
      <c r="AG354" s="29">
        <f>AD354*N(P354)/100</f>
        <v/>
      </c>
      <c r="AH354" s="50">
        <f>IF(Q354="yes",AD354/1000,0)</f>
        <v/>
      </c>
      <c r="AI354" s="50">
        <f>IF(S354="FG2",AH354*X354,AH354)</f>
        <v/>
      </c>
    </row>
    <row r="355">
      <c r="A355" s="7" t="inlineStr">
        <is>
          <t>HM00312</t>
        </is>
      </c>
      <c r="B355" s="16" t="inlineStr">
        <is>
          <t>0012345248825</t>
        </is>
      </c>
      <c r="C355" s="7" t="inlineStr">
        <is>
          <t>BF MINCE 5% 500G TARROW</t>
        </is>
      </c>
      <c r="D355" s="7" t="inlineStr">
        <is>
          <t>Beef mince, 5% fat, 500g</t>
        </is>
      </c>
      <c r="E355" s="7" t="inlineStr">
        <is>
          <t>Tarrow Farm</t>
        </is>
      </c>
      <c r="F355" s="7" t="inlineStr">
        <is>
          <t>Fresh Meat &amp; Poultry</t>
        </is>
      </c>
      <c r="G355" s="7" t="inlineStr">
        <is>
          <t>Beef</t>
        </is>
      </c>
      <c r="H355" s="7" t="inlineStr">
        <is>
          <t>yes</t>
        </is>
      </c>
      <c r="I355" s="7" t="inlineStr">
        <is>
          <t>Animal core</t>
        </is>
      </c>
      <c r="J355" s="7" t="inlineStr">
        <is>
          <t>Red meat</t>
        </is>
      </c>
      <c r="K355" s="7" t="inlineStr">
        <is>
          <t>B</t>
        </is>
      </c>
      <c r="L355" s="7" t="inlineStr">
        <is>
          <t>Follows the class</t>
        </is>
      </c>
      <c r="M355" s="51" t="n">
        <v>19.8</v>
      </c>
      <c r="N355" s="7" t="inlineStr">
        <is>
          <t>National food table (CIQUAL in France)</t>
        </is>
      </c>
      <c r="O355" s="54" t="n">
        <v>0</v>
      </c>
      <c r="P355" s="54" t="n">
        <v>19.8</v>
      </c>
      <c r="Q355" s="7" t="inlineStr">
        <is>
          <t>yes</t>
        </is>
      </c>
      <c r="R355" s="7" t="inlineStr">
        <is>
          <t>whole</t>
        </is>
      </c>
      <c r="S355" s="7" t="inlineStr">
        <is>
          <t>FG1</t>
        </is>
      </c>
      <c r="T355" s="7" t="inlineStr">
        <is>
          <t>Red meat</t>
        </is>
      </c>
      <c r="U355" s="7" t="inlineStr">
        <is>
          <t>animal</t>
        </is>
      </c>
      <c r="V355" s="7" t="n"/>
      <c r="W355" s="7" t="n"/>
      <c r="X355" s="55" t="n">
        <v>1</v>
      </c>
      <c r="Y355" s="50" t="n">
        <v>0.5</v>
      </c>
      <c r="Z355" s="7" t="inlineStr">
        <is>
          <t>declared</t>
        </is>
      </c>
      <c r="AA355" s="19">
        <f>IF(ISBLANK(Welcome!D381),"",Welcome!D381)</f>
        <v/>
      </c>
      <c r="AB355" s="29">
        <f>IF(ISBLANK(Welcome!E381),"",Welcome!E381)</f>
        <v/>
      </c>
      <c r="AC355" s="29">
        <f>IF(N(AB355)&gt;0,N(AB355),N(AA355)*Y355)</f>
        <v/>
      </c>
      <c r="AD355" s="29">
        <f>IF(H355="yes",AC355,0)</f>
        <v/>
      </c>
      <c r="AE355" s="29">
        <f>AD355*N(M355)/100</f>
        <v/>
      </c>
      <c r="AF355" s="29">
        <f>AD355*N(O355)/100</f>
        <v/>
      </c>
      <c r="AG355" s="29">
        <f>AD355*N(P355)/100</f>
        <v/>
      </c>
      <c r="AH355" s="50">
        <f>IF(Q355="yes",AD355/1000,0)</f>
        <v/>
      </c>
      <c r="AI355" s="50">
        <f>IF(S355="FG2",AH355*X355,AH355)</f>
        <v/>
      </c>
    </row>
    <row r="356">
      <c r="A356" s="7" t="inlineStr">
        <is>
          <t>HM00629</t>
        </is>
      </c>
      <c r="B356" s="16" t="inlineStr">
        <is>
          <t>2916847373390</t>
        </is>
      </c>
      <c r="C356" s="7" t="inlineStr">
        <is>
          <t>HM CAULIFLOWER KG</t>
        </is>
      </c>
      <c r="D356" s="7" t="inlineStr">
        <is>
          <t>Cauliflower</t>
        </is>
      </c>
      <c r="E356" s="7" t="inlineStr">
        <is>
          <t>Harbour Market</t>
        </is>
      </c>
      <c r="F356" s="7" t="inlineStr">
        <is>
          <t>Fruit &amp; Vegetables</t>
        </is>
      </c>
      <c r="G356" s="7" t="inlineStr">
        <is>
          <t>Vegetables</t>
        </is>
      </c>
      <c r="H356" s="7" t="inlineStr">
        <is>
          <t>yes</t>
        </is>
      </c>
      <c r="I356" s="7" t="inlineStr">
        <is>
          <t>Plant-based non-core</t>
        </is>
      </c>
      <c r="J356" s="7" t="inlineStr">
        <is>
          <t>Fruit and vegetables</t>
        </is>
      </c>
      <c r="K356" s="7" t="inlineStr">
        <is>
          <t>B</t>
        </is>
      </c>
      <c r="L356" s="7" t="inlineStr">
        <is>
          <t>Follows the class</t>
        </is>
      </c>
      <c r="M356" s="51" t="n">
        <v>1.9</v>
      </c>
      <c r="N356" s="7" t="inlineStr">
        <is>
          <t>Declared by the retailer</t>
        </is>
      </c>
      <c r="O356" s="54" t="n">
        <v>1.9</v>
      </c>
      <c r="P356" s="54" t="n">
        <v>0</v>
      </c>
      <c r="Q356" s="7" t="inlineStr">
        <is>
          <t>yes</t>
        </is>
      </c>
      <c r="R356" s="7" t="inlineStr">
        <is>
          <t>whole</t>
        </is>
      </c>
      <c r="S356" s="7" t="inlineStr">
        <is>
          <t>FG4</t>
        </is>
      </c>
      <c r="T356" s="7" t="n"/>
      <c r="U356" s="7" t="inlineStr">
        <is>
          <t>plant</t>
        </is>
      </c>
      <c r="V356" s="7" t="n"/>
      <c r="W356" s="7" t="n"/>
      <c r="X356" s="55" t="n">
        <v>1</v>
      </c>
      <c r="Y356" s="50" t="n">
        <v>1</v>
      </c>
      <c r="Z356" s="7" t="inlineStr">
        <is>
          <t>variable</t>
        </is>
      </c>
      <c r="AA356" s="19">
        <f>IF(ISBLANK(Welcome!D382),"",Welcome!D382)</f>
        <v/>
      </c>
      <c r="AB356" s="29">
        <f>IF(ISBLANK(Welcome!E382),"",Welcome!E382)</f>
        <v/>
      </c>
      <c r="AC356" s="29">
        <f>IF(N(AB356)&gt;0,N(AB356),N(AA356)*Y356)</f>
        <v/>
      </c>
      <c r="AD356" s="29">
        <f>IF(H356="yes",AC356,0)</f>
        <v/>
      </c>
      <c r="AE356" s="29">
        <f>AD356*N(M356)/100</f>
        <v/>
      </c>
      <c r="AF356" s="29">
        <f>AD356*N(O356)/100</f>
        <v/>
      </c>
      <c r="AG356" s="29">
        <f>AD356*N(P356)/100</f>
        <v/>
      </c>
      <c r="AH356" s="50">
        <f>IF(Q356="yes",AD356/1000,0)</f>
        <v/>
      </c>
      <c r="AI356" s="50">
        <f>IF(S356="FG2",AH356*X356,AH356)</f>
        <v/>
      </c>
    </row>
    <row r="357">
      <c r="A357" s="7" t="inlineStr">
        <is>
          <t>HM00359</t>
        </is>
      </c>
      <c r="B357" s="16" t="inlineStr">
        <is>
          <t>8712345064501</t>
        </is>
      </c>
      <c r="C357" s="7" t="inlineStr">
        <is>
          <t>WHLWHT SPAGHETTI 1KG ORVALIS</t>
        </is>
      </c>
      <c r="D357" s="7" t="inlineStr">
        <is>
          <t>Wholewheat spaghetti, 1kg</t>
        </is>
      </c>
      <c r="E357" s="7" t="inlineStr">
        <is>
          <t>Orvalis</t>
        </is>
      </c>
      <c r="F357" s="7" t="inlineStr">
        <is>
          <t>Grocery</t>
        </is>
      </c>
      <c r="G357" s="7" t="inlineStr">
        <is>
          <t>Pasta</t>
        </is>
      </c>
      <c r="H357" s="7" t="inlineStr">
        <is>
          <t>yes</t>
        </is>
      </c>
      <c r="I357" s="7" t="inlineStr">
        <is>
          <t>Plant-based non-core</t>
        </is>
      </c>
      <c r="J357" s="7" t="inlineStr">
        <is>
          <t>Whole grains</t>
        </is>
      </c>
      <c r="K357" s="7" t="inlineStr">
        <is>
          <t>A</t>
        </is>
      </c>
      <c r="L357" s="7" t="inlineStr">
        <is>
          <t>All ingredients on one side</t>
        </is>
      </c>
      <c r="M357" s="51" t="n">
        <v>12.8</v>
      </c>
      <c r="N357" s="7" t="inlineStr">
        <is>
          <t>Declared by the retailer</t>
        </is>
      </c>
      <c r="O357" s="54" t="n">
        <v>12.8</v>
      </c>
      <c r="P357" s="54" t="n">
        <v>0</v>
      </c>
      <c r="Q357" s="7" t="inlineStr">
        <is>
          <t>yes</t>
        </is>
      </c>
      <c r="R357" s="7" t="inlineStr">
        <is>
          <t>whole</t>
        </is>
      </c>
      <c r="S357" s="7" t="inlineStr">
        <is>
          <t>FG5</t>
        </is>
      </c>
      <c r="T357" s="7" t="inlineStr">
        <is>
          <t>Whole grain</t>
        </is>
      </c>
      <c r="U357" s="7" t="inlineStr">
        <is>
          <t>plant</t>
        </is>
      </c>
      <c r="V357" s="7" t="n"/>
      <c r="W357" s="7" t="n"/>
      <c r="X357" s="55" t="n">
        <v>1</v>
      </c>
      <c r="Y357" s="50" t="n">
        <v>1</v>
      </c>
      <c r="Z357" s="7" t="inlineStr">
        <is>
          <t>declared</t>
        </is>
      </c>
      <c r="AA357" s="19">
        <f>IF(ISBLANK(Welcome!D383),"",Welcome!D383)</f>
        <v/>
      </c>
      <c r="AB357" s="29">
        <f>IF(ISBLANK(Welcome!E383),"",Welcome!E383)</f>
        <v/>
      </c>
      <c r="AC357" s="29">
        <f>IF(N(AB357)&gt;0,N(AB357),N(AA357)*Y357)</f>
        <v/>
      </c>
      <c r="AD357" s="29">
        <f>IF(H357="yes",AC357,0)</f>
        <v/>
      </c>
      <c r="AE357" s="29">
        <f>AD357*N(M357)/100</f>
        <v/>
      </c>
      <c r="AF357" s="29">
        <f>AD357*N(O357)/100</f>
        <v/>
      </c>
      <c r="AG357" s="29">
        <f>AD357*N(P357)/100</f>
        <v/>
      </c>
      <c r="AH357" s="50">
        <f>IF(Q357="yes",AD357/1000,0)</f>
        <v/>
      </c>
      <c r="AI357" s="50">
        <f>IF(S357="FG2",AH357*X357,AH357)</f>
        <v/>
      </c>
    </row>
    <row r="358">
      <c r="A358" s="7" t="inlineStr">
        <is>
          <t>HM00507</t>
        </is>
      </c>
      <c r="B358" s="16" t="inlineStr">
        <is>
          <t>3012345731263</t>
        </is>
      </c>
      <c r="C358" s="7" t="inlineStr">
        <is>
          <t>HM MIXED PEPPERS 300G</t>
        </is>
      </c>
      <c r="D358" s="7" t="inlineStr">
        <is>
          <t>Mixed peppers, 300g</t>
        </is>
      </c>
      <c r="E358" s="7" t="inlineStr">
        <is>
          <t>Harbour Market</t>
        </is>
      </c>
      <c r="F358" s="7" t="inlineStr">
        <is>
          <t>Fruit &amp; Vegetables</t>
        </is>
      </c>
      <c r="G358" s="7" t="inlineStr">
        <is>
          <t>Vegetables</t>
        </is>
      </c>
      <c r="H358" s="7" t="inlineStr">
        <is>
          <t>yes</t>
        </is>
      </c>
      <c r="I358" s="7" t="inlineStr">
        <is>
          <t>Plant-based non-core</t>
        </is>
      </c>
      <c r="J358" s="7" t="inlineStr">
        <is>
          <t>Fruit and vegetables</t>
        </is>
      </c>
      <c r="K358" s="7" t="inlineStr">
        <is>
          <t>B</t>
        </is>
      </c>
      <c r="L358" s="7" t="inlineStr">
        <is>
          <t>Follows the class</t>
        </is>
      </c>
      <c r="M358" s="51" t="n">
        <v>0.88</v>
      </c>
      <c r="N358" s="7" t="inlineStr">
        <is>
          <t>Open Food Facts and NEVO, by EAN</t>
        </is>
      </c>
      <c r="O358" s="54" t="n">
        <v>0.88</v>
      </c>
      <c r="P358" s="54" t="n">
        <v>0</v>
      </c>
      <c r="Q358" s="7" t="inlineStr">
        <is>
          <t>yes</t>
        </is>
      </c>
      <c r="R358" s="7" t="inlineStr">
        <is>
          <t>whole</t>
        </is>
      </c>
      <c r="S358" s="7" t="inlineStr">
        <is>
          <t>FG4</t>
        </is>
      </c>
      <c r="T358" s="7" t="n"/>
      <c r="U358" s="7" t="inlineStr">
        <is>
          <t>plant</t>
        </is>
      </c>
      <c r="V358" s="7" t="n"/>
      <c r="W358" s="7" t="n"/>
      <c r="X358" s="55" t="n">
        <v>1</v>
      </c>
      <c r="Y358" s="50" t="n">
        <v>0.3</v>
      </c>
      <c r="Z358" s="7" t="inlineStr">
        <is>
          <t>declared</t>
        </is>
      </c>
      <c r="AA358" s="19">
        <f>IF(ISBLANK(Welcome!D384),"",Welcome!D384)</f>
        <v/>
      </c>
      <c r="AB358" s="29">
        <f>IF(ISBLANK(Welcome!E384),"",Welcome!E384)</f>
        <v/>
      </c>
      <c r="AC358" s="29">
        <f>IF(N(AB358)&gt;0,N(AB358),N(AA358)*Y358)</f>
        <v/>
      </c>
      <c r="AD358" s="29">
        <f>IF(H358="yes",AC358,0)</f>
        <v/>
      </c>
      <c r="AE358" s="29">
        <f>AD358*N(M358)/100</f>
        <v/>
      </c>
      <c r="AF358" s="29">
        <f>AD358*N(O358)/100</f>
        <v/>
      </c>
      <c r="AG358" s="29">
        <f>AD358*N(P358)/100</f>
        <v/>
      </c>
      <c r="AH358" s="50">
        <f>IF(Q358="yes",AD358/1000,0)</f>
        <v/>
      </c>
      <c r="AI358" s="50">
        <f>IF(S358="FG2",AH358*X358,AH358)</f>
        <v/>
      </c>
    </row>
    <row r="359">
      <c r="A359" s="7" t="inlineStr">
        <is>
          <t>HM00557</t>
        </is>
      </c>
      <c r="B359" s="16" t="inlineStr">
        <is>
          <t>4012345139419</t>
        </is>
      </c>
      <c r="C359" s="7" t="inlineStr">
        <is>
          <t>HM BROCCOLI 500G</t>
        </is>
      </c>
      <c r="D359" s="7" t="inlineStr">
        <is>
          <t>Broccoli, 500g</t>
        </is>
      </c>
      <c r="E359" s="7" t="inlineStr">
        <is>
          <t>Harbour Market</t>
        </is>
      </c>
      <c r="F359" s="7" t="inlineStr">
        <is>
          <t>Fruit &amp; Vegetables</t>
        </is>
      </c>
      <c r="G359" s="7" t="inlineStr">
        <is>
          <t>Vegetables</t>
        </is>
      </c>
      <c r="H359" s="7" t="inlineStr">
        <is>
          <t>yes</t>
        </is>
      </c>
      <c r="I359" s="7" t="inlineStr">
        <is>
          <t>Plant-based non-core</t>
        </is>
      </c>
      <c r="J359" s="7" t="inlineStr">
        <is>
          <t>Fruit and vegetables</t>
        </is>
      </c>
      <c r="K359" s="7" t="inlineStr">
        <is>
          <t>B</t>
        </is>
      </c>
      <c r="L359" s="7" t="inlineStr">
        <is>
          <t>Follows the class</t>
        </is>
      </c>
      <c r="M359" s="51" t="n">
        <v>2.9</v>
      </c>
      <c r="N359" s="7" t="inlineStr">
        <is>
          <t>Declared by the retailer</t>
        </is>
      </c>
      <c r="O359" s="54" t="n">
        <v>2.9</v>
      </c>
      <c r="P359" s="54" t="n">
        <v>0</v>
      </c>
      <c r="Q359" s="7" t="inlineStr">
        <is>
          <t>yes</t>
        </is>
      </c>
      <c r="R359" s="7" t="inlineStr">
        <is>
          <t>whole</t>
        </is>
      </c>
      <c r="S359" s="7" t="inlineStr">
        <is>
          <t>FG4</t>
        </is>
      </c>
      <c r="T359" s="7" t="n"/>
      <c r="U359" s="7" t="inlineStr">
        <is>
          <t>plant</t>
        </is>
      </c>
      <c r="V359" s="7" t="n"/>
      <c r="W359" s="7" t="n"/>
      <c r="X359" s="55" t="n">
        <v>1</v>
      </c>
      <c r="Y359" s="50" t="n">
        <v>0.5</v>
      </c>
      <c r="Z359" s="7" t="inlineStr">
        <is>
          <t>declared</t>
        </is>
      </c>
      <c r="AA359" s="19">
        <f>IF(ISBLANK(Welcome!D385),"",Welcome!D385)</f>
        <v/>
      </c>
      <c r="AB359" s="29">
        <f>IF(ISBLANK(Welcome!E385),"",Welcome!E385)</f>
        <v/>
      </c>
      <c r="AC359" s="29">
        <f>IF(N(AB359)&gt;0,N(AB359),N(AA359)*Y359)</f>
        <v/>
      </c>
      <c r="AD359" s="29">
        <f>IF(H359="yes",AC359,0)</f>
        <v/>
      </c>
      <c r="AE359" s="29">
        <f>AD359*N(M359)/100</f>
        <v/>
      </c>
      <c r="AF359" s="29">
        <f>AD359*N(O359)/100</f>
        <v/>
      </c>
      <c r="AG359" s="29">
        <f>AD359*N(P359)/100</f>
        <v/>
      </c>
      <c r="AH359" s="50">
        <f>IF(Q359="yes",AD359/1000,0)</f>
        <v/>
      </c>
      <c r="AI359" s="50">
        <f>IF(S359="FG2",AH359*X359,AH359)</f>
        <v/>
      </c>
    </row>
    <row r="360">
      <c r="A360" s="7" t="inlineStr">
        <is>
          <t>HM00698</t>
        </is>
      </c>
      <c r="B360" s="16" t="inlineStr">
        <is>
          <t>4012345671766</t>
        </is>
      </c>
      <c r="C360" s="7" t="inlineStr">
        <is>
          <t>HM CLOSED CUP MUSHROOMS 300G</t>
        </is>
      </c>
      <c r="D360" s="7" t="inlineStr">
        <is>
          <t>Closed cup mushrooms, 300g</t>
        </is>
      </c>
      <c r="E360" s="7" t="inlineStr">
        <is>
          <t>Harbour Market</t>
        </is>
      </c>
      <c r="F360" s="7" t="inlineStr">
        <is>
          <t>Fruit &amp; Vegetables</t>
        </is>
      </c>
      <c r="G360" s="7" t="inlineStr">
        <is>
          <t>Vegetables</t>
        </is>
      </c>
      <c r="H360" s="7" t="inlineStr">
        <is>
          <t>yes</t>
        </is>
      </c>
      <c r="I360" s="7" t="inlineStr">
        <is>
          <t>Plant-based non-core</t>
        </is>
      </c>
      <c r="J360" s="7" t="inlineStr">
        <is>
          <t>Fruit and vegetables</t>
        </is>
      </c>
      <c r="K360" s="7" t="inlineStr">
        <is>
          <t>B</t>
        </is>
      </c>
      <c r="L360" s="7" t="inlineStr">
        <is>
          <t>Follows the class</t>
        </is>
      </c>
      <c r="M360" s="51" t="n">
        <v>3.2</v>
      </c>
      <c r="N360" s="7" t="inlineStr">
        <is>
          <t>Declared by the retailer</t>
        </is>
      </c>
      <c r="O360" s="54" t="n">
        <v>3.2</v>
      </c>
      <c r="P360" s="54" t="n">
        <v>0</v>
      </c>
      <c r="Q360" s="7" t="inlineStr">
        <is>
          <t>yes</t>
        </is>
      </c>
      <c r="R360" s="7" t="inlineStr">
        <is>
          <t>whole</t>
        </is>
      </c>
      <c r="S360" s="7" t="inlineStr">
        <is>
          <t>FG4</t>
        </is>
      </c>
      <c r="T360" s="7" t="n"/>
      <c r="U360" s="7" t="inlineStr">
        <is>
          <t>plant</t>
        </is>
      </c>
      <c r="V360" s="7" t="n"/>
      <c r="W360" s="7" t="n"/>
      <c r="X360" s="55" t="n">
        <v>1</v>
      </c>
      <c r="Y360" s="50" t="n">
        <v>0.3</v>
      </c>
      <c r="Z360" s="7" t="inlineStr">
        <is>
          <t>declared</t>
        </is>
      </c>
      <c r="AA360" s="19">
        <f>IF(ISBLANK(Welcome!D386),"",Welcome!D386)</f>
        <v/>
      </c>
      <c r="AB360" s="29">
        <f>IF(ISBLANK(Welcome!E386),"",Welcome!E386)</f>
        <v/>
      </c>
      <c r="AC360" s="29">
        <f>IF(N(AB360)&gt;0,N(AB360),N(AA360)*Y360)</f>
        <v/>
      </c>
      <c r="AD360" s="29">
        <f>IF(H360="yes",AC360,0)</f>
        <v/>
      </c>
      <c r="AE360" s="29">
        <f>AD360*N(M360)/100</f>
        <v/>
      </c>
      <c r="AF360" s="29">
        <f>AD360*N(O360)/100</f>
        <v/>
      </c>
      <c r="AG360" s="29">
        <f>AD360*N(P360)/100</f>
        <v/>
      </c>
      <c r="AH360" s="50">
        <f>IF(Q360="yes",AD360/1000,0)</f>
        <v/>
      </c>
      <c r="AI360" s="50">
        <f>IF(S360="FG2",AH360*X360,AH360)</f>
        <v/>
      </c>
    </row>
    <row r="361">
      <c r="A361" s="7" t="inlineStr">
        <is>
          <t>HM00277</t>
        </is>
      </c>
      <c r="B361" s="16" t="inlineStr">
        <is>
          <t>3012345751889</t>
        </is>
      </c>
      <c r="C361" s="7" t="inlineStr">
        <is>
          <t>HM RED LEICESTER 10SL 250G</t>
        </is>
      </c>
      <c r="D361" s="7" t="inlineStr">
        <is>
          <t>Red Leicester, 10sl 250g</t>
        </is>
      </c>
      <c r="E361" s="7" t="inlineStr">
        <is>
          <t>Harbour Market</t>
        </is>
      </c>
      <c r="F361" s="7" t="inlineStr">
        <is>
          <t>Cheese</t>
        </is>
      </c>
      <c r="G361" s="7" t="inlineStr">
        <is>
          <t>Hard Cheese</t>
        </is>
      </c>
      <c r="H361" s="7" t="inlineStr">
        <is>
          <t>yes</t>
        </is>
      </c>
      <c r="I361" s="7" t="inlineStr">
        <is>
          <t>Animal core</t>
        </is>
      </c>
      <c r="J361" s="7" t="inlineStr">
        <is>
          <t>Cheese</t>
        </is>
      </c>
      <c r="K361" s="7" t="inlineStr">
        <is>
          <t>A</t>
        </is>
      </c>
      <c r="L361" s="7" t="inlineStr">
        <is>
          <t>All ingredients on one side</t>
        </is>
      </c>
      <c r="M361" s="51" t="n">
        <v>25.2</v>
      </c>
      <c r="N361" s="7" t="inlineStr">
        <is>
          <t>Declared by the retailer</t>
        </is>
      </c>
      <c r="O361" s="54" t="n">
        <v>0</v>
      </c>
      <c r="P361" s="54" t="n">
        <v>25.2</v>
      </c>
      <c r="Q361" s="7" t="inlineStr">
        <is>
          <t>yes</t>
        </is>
      </c>
      <c r="R361" s="7" t="inlineStr">
        <is>
          <t>whole</t>
        </is>
      </c>
      <c r="S361" s="7" t="inlineStr">
        <is>
          <t>FG2</t>
        </is>
      </c>
      <c r="T361" s="7" t="inlineStr">
        <is>
          <t>Dairy</t>
        </is>
      </c>
      <c r="U361" s="7" t="inlineStr">
        <is>
          <t>animal</t>
        </is>
      </c>
      <c r="V361" s="7" t="n"/>
      <c r="W361" s="7" t="n"/>
      <c r="X361" s="55" t="n">
        <v>10</v>
      </c>
      <c r="Y361" s="50" t="n">
        <v>0.25</v>
      </c>
      <c r="Z361" s="7" t="inlineStr">
        <is>
          <t>declared</t>
        </is>
      </c>
      <c r="AA361" s="19">
        <f>IF(ISBLANK(Welcome!D387),"",Welcome!D387)</f>
        <v/>
      </c>
      <c r="AB361" s="29">
        <f>IF(ISBLANK(Welcome!E387),"",Welcome!E387)</f>
        <v/>
      </c>
      <c r="AC361" s="29">
        <f>IF(N(AB361)&gt;0,N(AB361),N(AA361)*Y361)</f>
        <v/>
      </c>
      <c r="AD361" s="29">
        <f>IF(H361="yes",AC361,0)</f>
        <v/>
      </c>
      <c r="AE361" s="29">
        <f>AD361*N(M361)/100</f>
        <v/>
      </c>
      <c r="AF361" s="29">
        <f>AD361*N(O361)/100</f>
        <v/>
      </c>
      <c r="AG361" s="29">
        <f>AD361*N(P361)/100</f>
        <v/>
      </c>
      <c r="AH361" s="50">
        <f>IF(Q361="yes",AD361/1000,0)</f>
        <v/>
      </c>
      <c r="AI361" s="50">
        <f>IF(S361="FG2",AH361*X361,AH361)</f>
        <v/>
      </c>
    </row>
    <row r="362">
      <c r="A362" s="7" t="inlineStr">
        <is>
          <t>HM00734</t>
        </is>
      </c>
      <c r="B362" s="16" t="inlineStr">
        <is>
          <t>4012345864861</t>
        </is>
      </c>
      <c r="C362" s="7" t="inlineStr">
        <is>
          <t>HM MIXED VEG 750G</t>
        </is>
      </c>
      <c r="D362" s="7" t="inlineStr">
        <is>
          <t>Mixed vegetables, 750g</t>
        </is>
      </c>
      <c r="E362" s="7" t="inlineStr">
        <is>
          <t>Harbour Market</t>
        </is>
      </c>
      <c r="F362" s="7" t="inlineStr">
        <is>
          <t>Frozen</t>
        </is>
      </c>
      <c r="G362" s="7" t="inlineStr">
        <is>
          <t>Frozen Vegetables</t>
        </is>
      </c>
      <c r="H362" s="7" t="inlineStr">
        <is>
          <t>yes</t>
        </is>
      </c>
      <c r="I362" s="7" t="inlineStr">
        <is>
          <t>Plant-based non-core</t>
        </is>
      </c>
      <c r="J362" s="7" t="inlineStr">
        <is>
          <t>Fruit and vegetables</t>
        </is>
      </c>
      <c r="K362" s="7" t="inlineStr">
        <is>
          <t>A</t>
        </is>
      </c>
      <c r="L362" s="7" t="inlineStr">
        <is>
          <t>All ingredients on one side</t>
        </is>
      </c>
      <c r="M362" s="51" t="n">
        <v>2.6</v>
      </c>
      <c r="N362" s="7" t="inlineStr">
        <is>
          <t>Declared by the retailer</t>
        </is>
      </c>
      <c r="O362" s="54" t="n">
        <v>2.6</v>
      </c>
      <c r="P362" s="54" t="n">
        <v>0</v>
      </c>
      <c r="Q362" s="7" t="inlineStr">
        <is>
          <t>yes</t>
        </is>
      </c>
      <c r="R362" s="7" t="inlineStr">
        <is>
          <t>whole</t>
        </is>
      </c>
      <c r="S362" s="7" t="inlineStr">
        <is>
          <t>FG4</t>
        </is>
      </c>
      <c r="T362" s="7" t="n"/>
      <c r="U362" s="7" t="inlineStr">
        <is>
          <t>plant</t>
        </is>
      </c>
      <c r="V362" s="7" t="n"/>
      <c r="W362" s="7" t="n"/>
      <c r="X362" s="55" t="n">
        <v>1</v>
      </c>
      <c r="Y362" s="50" t="n">
        <v>0.75</v>
      </c>
      <c r="Z362" s="7" t="inlineStr">
        <is>
          <t>declared</t>
        </is>
      </c>
      <c r="AA362" s="19">
        <f>IF(ISBLANK(Welcome!D388),"",Welcome!D388)</f>
        <v/>
      </c>
      <c r="AB362" s="29">
        <f>IF(ISBLANK(Welcome!E388),"",Welcome!E388)</f>
        <v/>
      </c>
      <c r="AC362" s="29">
        <f>IF(N(AB362)&gt;0,N(AB362),N(AA362)*Y362)</f>
        <v/>
      </c>
      <c r="AD362" s="29">
        <f>IF(H362="yes",AC362,0)</f>
        <v/>
      </c>
      <c r="AE362" s="29">
        <f>AD362*N(M362)/100</f>
        <v/>
      </c>
      <c r="AF362" s="29">
        <f>AD362*N(O362)/100</f>
        <v/>
      </c>
      <c r="AG362" s="29">
        <f>AD362*N(P362)/100</f>
        <v/>
      </c>
      <c r="AH362" s="50">
        <f>IF(Q362="yes",AD362/1000,0)</f>
        <v/>
      </c>
      <c r="AI362" s="50">
        <f>IF(S362="FG2",AH362*X362,AH362)</f>
        <v/>
      </c>
    </row>
    <row r="363">
      <c r="A363" s="7" t="inlineStr">
        <is>
          <t>HM00381</t>
        </is>
      </c>
      <c r="B363" s="16" t="inlineStr">
        <is>
          <t>8712345635824</t>
        </is>
      </c>
      <c r="C363" s="7" t="inlineStr">
        <is>
          <t>HM RED LEICESTER 800G</t>
        </is>
      </c>
      <c r="D363" s="7" t="inlineStr">
        <is>
          <t>Red Leicester, 800g</t>
        </is>
      </c>
      <c r="E363" s="7" t="inlineStr">
        <is>
          <t>Harbour Market</t>
        </is>
      </c>
      <c r="F363" s="7" t="inlineStr">
        <is>
          <t>Cheese</t>
        </is>
      </c>
      <c r="G363" s="7" t="inlineStr">
        <is>
          <t>Hard Cheese</t>
        </is>
      </c>
      <c r="H363" s="7" t="inlineStr">
        <is>
          <t>yes</t>
        </is>
      </c>
      <c r="I363" s="7" t="inlineStr">
        <is>
          <t>Animal core</t>
        </is>
      </c>
      <c r="J363" s="7" t="inlineStr">
        <is>
          <t>Cheese</t>
        </is>
      </c>
      <c r="K363" s="7" t="inlineStr">
        <is>
          <t>A</t>
        </is>
      </c>
      <c r="L363" s="7" t="inlineStr">
        <is>
          <t>All ingredients on one side</t>
        </is>
      </c>
      <c r="M363" s="51" t="n">
        <v>25.8</v>
      </c>
      <c r="N363" s="7" t="inlineStr">
        <is>
          <t>National food table (CIQUAL in France)</t>
        </is>
      </c>
      <c r="O363" s="54" t="n">
        <v>0</v>
      </c>
      <c r="P363" s="54" t="n">
        <v>25.8</v>
      </c>
      <c r="Q363" s="7" t="inlineStr">
        <is>
          <t>yes</t>
        </is>
      </c>
      <c r="R363" s="7" t="inlineStr">
        <is>
          <t>whole</t>
        </is>
      </c>
      <c r="S363" s="7" t="inlineStr">
        <is>
          <t>FG2</t>
        </is>
      </c>
      <c r="T363" s="7" t="inlineStr">
        <is>
          <t>Dairy</t>
        </is>
      </c>
      <c r="U363" s="7" t="inlineStr">
        <is>
          <t>animal</t>
        </is>
      </c>
      <c r="V363" s="7" t="n"/>
      <c r="W363" s="7" t="n"/>
      <c r="X363" s="55" t="n">
        <v>10</v>
      </c>
      <c r="Y363" s="50" t="n">
        <v>0.8</v>
      </c>
      <c r="Z363" s="7" t="inlineStr">
        <is>
          <t>declared</t>
        </is>
      </c>
      <c r="AA363" s="19">
        <f>IF(ISBLANK(Welcome!D389),"",Welcome!D389)</f>
        <v/>
      </c>
      <c r="AB363" s="29">
        <f>IF(ISBLANK(Welcome!E389),"",Welcome!E389)</f>
        <v/>
      </c>
      <c r="AC363" s="29">
        <f>IF(N(AB363)&gt;0,N(AB363),N(AA363)*Y363)</f>
        <v/>
      </c>
      <c r="AD363" s="29">
        <f>IF(H363="yes",AC363,0)</f>
        <v/>
      </c>
      <c r="AE363" s="29">
        <f>AD363*N(M363)/100</f>
        <v/>
      </c>
      <c r="AF363" s="29">
        <f>AD363*N(O363)/100</f>
        <v/>
      </c>
      <c r="AG363" s="29">
        <f>AD363*N(P363)/100</f>
        <v/>
      </c>
      <c r="AH363" s="50">
        <f>IF(Q363="yes",AD363/1000,0)</f>
        <v/>
      </c>
      <c r="AI363" s="50">
        <f>IF(S363="FG2",AH363*X363,AH363)</f>
        <v/>
      </c>
    </row>
    <row r="364">
      <c r="A364" s="7" t="inlineStr">
        <is>
          <t>HM00722</t>
        </is>
      </c>
      <c r="B364" s="16" t="inlineStr">
        <is>
          <t>5012345718514</t>
        </is>
      </c>
      <c r="C364" s="7" t="inlineStr">
        <is>
          <t>FJELDA STRAWB YOG 4X125G</t>
        </is>
      </c>
      <c r="D364" s="7" t="inlineStr">
        <is>
          <t>Strawberry yoghurt, 4x125g</t>
        </is>
      </c>
      <c r="E364" s="7" t="inlineStr">
        <is>
          <t>Fjelda</t>
        </is>
      </c>
      <c r="F364" s="7" t="inlineStr">
        <is>
          <t>Dairy &amp; Eggs</t>
        </is>
      </c>
      <c r="G364" s="7" t="inlineStr">
        <is>
          <t>Yoghurt</t>
        </is>
      </c>
      <c r="H364" s="7" t="inlineStr">
        <is>
          <t>yes</t>
        </is>
      </c>
      <c r="I364" s="7" t="inlineStr">
        <is>
          <t>Animal core</t>
        </is>
      </c>
      <c r="J364" s="7" t="inlineStr">
        <is>
          <t>Milk, yoghurt and cream</t>
        </is>
      </c>
      <c r="K364" s="7" t="inlineStr">
        <is>
          <t>B</t>
        </is>
      </c>
      <c r="L364" s="7" t="inlineStr">
        <is>
          <t>First ingredient</t>
        </is>
      </c>
      <c r="M364" s="51" t="n">
        <v>3.4</v>
      </c>
      <c r="N364" s="7" t="inlineStr">
        <is>
          <t>Declared by the retailer</t>
        </is>
      </c>
      <c r="O364" s="54" t="n">
        <v>0</v>
      </c>
      <c r="P364" s="54" t="n">
        <v>3.4</v>
      </c>
      <c r="Q364" s="7" t="inlineStr">
        <is>
          <t>yes</t>
        </is>
      </c>
      <c r="R364" s="7" t="inlineStr">
        <is>
          <t>whole</t>
        </is>
      </c>
      <c r="S364" s="7" t="inlineStr">
        <is>
          <t>FG2</t>
        </is>
      </c>
      <c r="T364" s="7" t="inlineStr">
        <is>
          <t>Dairy</t>
        </is>
      </c>
      <c r="U364" s="7" t="inlineStr">
        <is>
          <t>animal</t>
        </is>
      </c>
      <c r="V364" s="7" t="n"/>
      <c r="W364" s="7" t="n"/>
      <c r="X364" s="55" t="n">
        <v>1</v>
      </c>
      <c r="Y364" s="50" t="n">
        <v>0.5</v>
      </c>
      <c r="Z364" s="7" t="inlineStr">
        <is>
          <t>declared</t>
        </is>
      </c>
      <c r="AA364" s="19">
        <f>IF(ISBLANK(Welcome!D390),"",Welcome!D390)</f>
        <v/>
      </c>
      <c r="AB364" s="29">
        <f>IF(ISBLANK(Welcome!E390),"",Welcome!E390)</f>
        <v/>
      </c>
      <c r="AC364" s="29">
        <f>IF(N(AB364)&gt;0,N(AB364),N(AA364)*Y364)</f>
        <v/>
      </c>
      <c r="AD364" s="29">
        <f>IF(H364="yes",AC364,0)</f>
        <v/>
      </c>
      <c r="AE364" s="29">
        <f>AD364*N(M364)/100</f>
        <v/>
      </c>
      <c r="AF364" s="29">
        <f>AD364*N(O364)/100</f>
        <v/>
      </c>
      <c r="AG364" s="29">
        <f>AD364*N(P364)/100</f>
        <v/>
      </c>
      <c r="AH364" s="50">
        <f>IF(Q364="yes",AD364/1000,0)</f>
        <v/>
      </c>
      <c r="AI364" s="50">
        <f>IF(S364="FG2",AH364*X364,AH364)</f>
        <v/>
      </c>
    </row>
    <row r="365">
      <c r="A365" s="7" t="inlineStr">
        <is>
          <t>HM00009</t>
        </is>
      </c>
      <c r="B365" s="16" t="inlineStr">
        <is>
          <t>5012345329642</t>
        </is>
      </c>
      <c r="C365" s="7" t="inlineStr">
        <is>
          <t>HM COURGETTES EACH</t>
        </is>
      </c>
      <c r="D365" s="7" t="inlineStr">
        <is>
          <t>Courgettes</t>
        </is>
      </c>
      <c r="E365" s="7" t="inlineStr">
        <is>
          <t>Harbour Market</t>
        </is>
      </c>
      <c r="F365" s="7" t="inlineStr">
        <is>
          <t>Fruit &amp; Vegetables</t>
        </is>
      </c>
      <c r="G365" s="7" t="inlineStr">
        <is>
          <t>Vegetables</t>
        </is>
      </c>
      <c r="H365" s="7" t="inlineStr">
        <is>
          <t>yes</t>
        </is>
      </c>
      <c r="I365" s="7" t="inlineStr">
        <is>
          <t>Plant-based non-core</t>
        </is>
      </c>
      <c r="J365" s="7" t="inlineStr">
        <is>
          <t>Fruit and vegetables</t>
        </is>
      </c>
      <c r="K365" s="7" t="inlineStr">
        <is>
          <t>B</t>
        </is>
      </c>
      <c r="L365" s="7" t="inlineStr">
        <is>
          <t>Follows the class</t>
        </is>
      </c>
      <c r="M365" s="51" t="n">
        <v>1.7</v>
      </c>
      <c r="N365" s="7" t="inlineStr">
        <is>
          <t>Altera reference base</t>
        </is>
      </c>
      <c r="O365" s="54" t="n">
        <v>1.7</v>
      </c>
      <c r="P365" s="54" t="n">
        <v>0</v>
      </c>
      <c r="Q365" s="7" t="inlineStr">
        <is>
          <t>yes</t>
        </is>
      </c>
      <c r="R365" s="7" t="inlineStr">
        <is>
          <t>whole</t>
        </is>
      </c>
      <c r="S365" s="7" t="inlineStr">
        <is>
          <t>FG4</t>
        </is>
      </c>
      <c r="T365" s="7" t="n"/>
      <c r="U365" s="7" t="inlineStr">
        <is>
          <t>plant</t>
        </is>
      </c>
      <c r="V365" s="7" t="n"/>
      <c r="W365" s="7" t="n"/>
      <c r="X365" s="55" t="n">
        <v>1</v>
      </c>
      <c r="Y365" s="50" t="n">
        <v>0.25</v>
      </c>
      <c r="Z365" s="7" t="inlineStr">
        <is>
          <t>typical_piece</t>
        </is>
      </c>
      <c r="AA365" s="19">
        <f>IF(ISBLANK(Welcome!D391),"",Welcome!D391)</f>
        <v/>
      </c>
      <c r="AB365" s="29">
        <f>IF(ISBLANK(Welcome!E391),"",Welcome!E391)</f>
        <v/>
      </c>
      <c r="AC365" s="29">
        <f>IF(N(AB365)&gt;0,N(AB365),N(AA365)*Y365)</f>
        <v/>
      </c>
      <c r="AD365" s="29">
        <f>IF(H365="yes",AC365,0)</f>
        <v/>
      </c>
      <c r="AE365" s="29">
        <f>AD365*N(M365)/100</f>
        <v/>
      </c>
      <c r="AF365" s="29">
        <f>AD365*N(O365)/100</f>
        <v/>
      </c>
      <c r="AG365" s="29">
        <f>AD365*N(P365)/100</f>
        <v/>
      </c>
      <c r="AH365" s="50">
        <f>IF(Q365="yes",AD365/1000,0)</f>
        <v/>
      </c>
      <c r="AI365" s="50">
        <f>IF(S365="FG2",AH365*X365,AH365)</f>
        <v/>
      </c>
    </row>
    <row r="366">
      <c r="A366" s="7" t="inlineStr">
        <is>
          <t>HM00002</t>
        </is>
      </c>
      <c r="B366" s="16" t="inlineStr">
        <is>
          <t>5012345864327</t>
        </is>
      </c>
      <c r="C366" s="7" t="inlineStr">
        <is>
          <t>HM CHKN BREAST FLT 500G</t>
        </is>
      </c>
      <c r="D366" s="7" t="inlineStr">
        <is>
          <t>Chicken breast fillets, 500g</t>
        </is>
      </c>
      <c r="E366" s="7" t="inlineStr">
        <is>
          <t>Harbour Market</t>
        </is>
      </c>
      <c r="F366" s="7" t="inlineStr">
        <is>
          <t>Fresh Meat &amp; Poultry</t>
        </is>
      </c>
      <c r="G366" s="7" t="inlineStr">
        <is>
          <t>Poultry</t>
        </is>
      </c>
      <c r="H366" s="7" t="inlineStr">
        <is>
          <t>yes</t>
        </is>
      </c>
      <c r="I366" s="7" t="inlineStr">
        <is>
          <t>Animal core</t>
        </is>
      </c>
      <c r="J366" s="7" t="inlineStr">
        <is>
          <t>Poultry</t>
        </is>
      </c>
      <c r="K366" s="7" t="inlineStr">
        <is>
          <t>B</t>
        </is>
      </c>
      <c r="L366" s="7" t="inlineStr">
        <is>
          <t>Follows the class</t>
        </is>
      </c>
      <c r="M366" s="51" t="n">
        <v>25</v>
      </c>
      <c r="N366" s="7" t="inlineStr">
        <is>
          <t>National food table (CIQUAL in France)</t>
        </is>
      </c>
      <c r="O366" s="54" t="n">
        <v>0</v>
      </c>
      <c r="P366" s="54" t="n">
        <v>25</v>
      </c>
      <c r="Q366" s="7" t="inlineStr">
        <is>
          <t>yes</t>
        </is>
      </c>
      <c r="R366" s="7" t="inlineStr">
        <is>
          <t>whole</t>
        </is>
      </c>
      <c r="S366" s="7" t="inlineStr">
        <is>
          <t>FG1</t>
        </is>
      </c>
      <c r="T366" s="7" t="inlineStr">
        <is>
          <t>Poultry</t>
        </is>
      </c>
      <c r="U366" s="7" t="inlineStr">
        <is>
          <t>animal</t>
        </is>
      </c>
      <c r="V366" s="7" t="n"/>
      <c r="W366" s="7" t="n"/>
      <c r="X366" s="55" t="n">
        <v>1</v>
      </c>
      <c r="Y366" s="50" t="n">
        <v>0.5</v>
      </c>
      <c r="Z366" s="7" t="inlineStr">
        <is>
          <t>declared</t>
        </is>
      </c>
      <c r="AA366" s="19">
        <f>IF(ISBLANK(Welcome!D392),"",Welcome!D392)</f>
        <v/>
      </c>
      <c r="AB366" s="29">
        <f>IF(ISBLANK(Welcome!E392),"",Welcome!E392)</f>
        <v/>
      </c>
      <c r="AC366" s="29">
        <f>IF(N(AB366)&gt;0,N(AB366),N(AA366)*Y366)</f>
        <v/>
      </c>
      <c r="AD366" s="29">
        <f>IF(H366="yes",AC366,0)</f>
        <v/>
      </c>
      <c r="AE366" s="29">
        <f>AD366*N(M366)/100</f>
        <v/>
      </c>
      <c r="AF366" s="29">
        <f>AD366*N(O366)/100</f>
        <v/>
      </c>
      <c r="AG366" s="29">
        <f>AD366*N(P366)/100</f>
        <v/>
      </c>
      <c r="AH366" s="50">
        <f>IF(Q366="yes",AD366/1000,0)</f>
        <v/>
      </c>
      <c r="AI366" s="50">
        <f>IF(S366="FG2",AH366*X366,AH366)</f>
        <v/>
      </c>
    </row>
    <row r="367">
      <c r="A367" s="7" t="inlineStr">
        <is>
          <t>HM00439</t>
        </is>
      </c>
      <c r="B367" s="16" t="inlineStr">
        <is>
          <t>5012345219240</t>
        </is>
      </c>
      <c r="C367" s="7" t="inlineStr">
        <is>
          <t>HM PORK MINCE 1KG</t>
        </is>
      </c>
      <c r="D367" s="7" t="inlineStr">
        <is>
          <t>Pork mince, 1kg</t>
        </is>
      </c>
      <c r="E367" s="7" t="inlineStr">
        <is>
          <t>Harbour Market</t>
        </is>
      </c>
      <c r="F367" s="7" t="inlineStr">
        <is>
          <t>Fresh Meat &amp; Poultry</t>
        </is>
      </c>
      <c r="G367" s="7" t="inlineStr">
        <is>
          <t>Pork</t>
        </is>
      </c>
      <c r="H367" s="7" t="inlineStr">
        <is>
          <t>yes</t>
        </is>
      </c>
      <c r="I367" s="7" t="inlineStr">
        <is>
          <t>Animal core</t>
        </is>
      </c>
      <c r="J367" s="7" t="inlineStr">
        <is>
          <t>Red meat</t>
        </is>
      </c>
      <c r="K367" s="7" t="inlineStr">
        <is>
          <t>B</t>
        </is>
      </c>
      <c r="L367" s="7" t="inlineStr">
        <is>
          <t>Follows the class</t>
        </is>
      </c>
      <c r="M367" s="51" t="n">
        <v>20.6</v>
      </c>
      <c r="N367" s="7" t="inlineStr">
        <is>
          <t>National food table (CIQUAL in France)</t>
        </is>
      </c>
      <c r="O367" s="54" t="n">
        <v>0</v>
      </c>
      <c r="P367" s="54" t="n">
        <v>20.6</v>
      </c>
      <c r="Q367" s="7" t="inlineStr">
        <is>
          <t>yes</t>
        </is>
      </c>
      <c r="R367" s="7" t="inlineStr">
        <is>
          <t>whole</t>
        </is>
      </c>
      <c r="S367" s="7" t="inlineStr">
        <is>
          <t>FG1</t>
        </is>
      </c>
      <c r="T367" s="7" t="inlineStr">
        <is>
          <t>Red meat</t>
        </is>
      </c>
      <c r="U367" s="7" t="inlineStr">
        <is>
          <t>animal</t>
        </is>
      </c>
      <c r="V367" s="7" t="n"/>
      <c r="W367" s="7" t="n"/>
      <c r="X367" s="55" t="n">
        <v>1</v>
      </c>
      <c r="Y367" s="50" t="n">
        <v>1</v>
      </c>
      <c r="Z367" s="7" t="inlineStr">
        <is>
          <t>label</t>
        </is>
      </c>
      <c r="AA367" s="19">
        <f>IF(ISBLANK(Welcome!D393),"",Welcome!D393)</f>
        <v/>
      </c>
      <c r="AB367" s="29">
        <f>IF(ISBLANK(Welcome!E393),"",Welcome!E393)</f>
        <v/>
      </c>
      <c r="AC367" s="29">
        <f>IF(N(AB367)&gt;0,N(AB367),N(AA367)*Y367)</f>
        <v/>
      </c>
      <c r="AD367" s="29">
        <f>IF(H367="yes",AC367,0)</f>
        <v/>
      </c>
      <c r="AE367" s="29">
        <f>AD367*N(M367)/100</f>
        <v/>
      </c>
      <c r="AF367" s="29">
        <f>AD367*N(O367)/100</f>
        <v/>
      </c>
      <c r="AG367" s="29">
        <f>AD367*N(P367)/100</f>
        <v/>
      </c>
      <c r="AH367" s="50">
        <f>IF(Q367="yes",AD367/1000,0)</f>
        <v/>
      </c>
      <c r="AI367" s="50">
        <f>IF(S367="FG2",AH367*X367,AH367)</f>
        <v/>
      </c>
    </row>
    <row r="368">
      <c r="A368" s="7" t="inlineStr">
        <is>
          <t>HM00291</t>
        </is>
      </c>
      <c r="B368" s="16" t="inlineStr">
        <is>
          <t>3012345079389</t>
        </is>
      </c>
      <c r="C368" s="7" t="inlineStr">
        <is>
          <t>HM MILK CHOC HAZELNUT 100G</t>
        </is>
      </c>
      <c r="D368" s="7" t="inlineStr">
        <is>
          <t>Milk chocolate with hazelnuts, 100g</t>
        </is>
      </c>
      <c r="E368" s="7" t="inlineStr">
        <is>
          <t>Harbour Market</t>
        </is>
      </c>
      <c r="F368" s="7" t="inlineStr">
        <is>
          <t>Breakfast &amp; Snacks</t>
        </is>
      </c>
      <c r="G368" s="7" t="inlineStr">
        <is>
          <t>Chocolate</t>
        </is>
      </c>
      <c r="H368" s="7" t="inlineStr">
        <is>
          <t>yes</t>
        </is>
      </c>
      <c r="I368" s="7" t="inlineStr">
        <is>
          <t>Animal &amp; plant composite</t>
        </is>
      </c>
      <c r="J368" s="7" t="inlineStr">
        <is>
          <t>Discretionary products</t>
        </is>
      </c>
      <c r="K368" s="7" t="inlineStr">
        <is>
          <t>A</t>
        </is>
      </c>
      <c r="L368" s="7" t="inlineStr">
        <is>
          <t>Ingredient list</t>
        </is>
      </c>
      <c r="M368" s="51" t="n">
        <v>7.2</v>
      </c>
      <c r="N368" s="7" t="inlineStr">
        <is>
          <t>Declared by the retailer</t>
        </is>
      </c>
      <c r="O368" s="54" t="n">
        <v>3.31</v>
      </c>
      <c r="P368" s="54" t="n">
        <v>3.89</v>
      </c>
      <c r="Q368" s="7" t="inlineStr">
        <is>
          <t>yes</t>
        </is>
      </c>
      <c r="R368" s="7" t="inlineStr">
        <is>
          <t>whole</t>
        </is>
      </c>
      <c r="S368" s="7" t="inlineStr">
        <is>
          <t>FG7</t>
        </is>
      </c>
      <c r="T368" s="7" t="n"/>
      <c r="U368" s="7" t="inlineStr">
        <is>
          <t>plant</t>
        </is>
      </c>
      <c r="V368" s="7" t="n"/>
      <c r="W368" s="7" t="n"/>
      <c r="X368" s="55" t="n">
        <v>1</v>
      </c>
      <c r="Y368" s="50" t="n">
        <v>0.1</v>
      </c>
      <c r="Z368" s="7" t="inlineStr">
        <is>
          <t>declared</t>
        </is>
      </c>
      <c r="AA368" s="19">
        <f>IF(ISBLANK(Welcome!D394),"",Welcome!D394)</f>
        <v/>
      </c>
      <c r="AB368" s="29">
        <f>IF(ISBLANK(Welcome!E394),"",Welcome!E394)</f>
        <v/>
      </c>
      <c r="AC368" s="29">
        <f>IF(N(AB368)&gt;0,N(AB368),N(AA368)*Y368)</f>
        <v/>
      </c>
      <c r="AD368" s="29">
        <f>IF(H368="yes",AC368,0)</f>
        <v/>
      </c>
      <c r="AE368" s="29">
        <f>AD368*N(M368)/100</f>
        <v/>
      </c>
      <c r="AF368" s="29">
        <f>AD368*N(O368)/100</f>
        <v/>
      </c>
      <c r="AG368" s="29">
        <f>AD368*N(P368)/100</f>
        <v/>
      </c>
      <c r="AH368" s="50">
        <f>IF(Q368="yes",AD368/1000,0)</f>
        <v/>
      </c>
      <c r="AI368" s="50">
        <f>IF(S368="FG2",AH368*X368,AH368)</f>
        <v/>
      </c>
    </row>
    <row r="369">
      <c r="A369" s="7" t="inlineStr">
        <is>
          <t>HM00457</t>
        </is>
      </c>
      <c r="B369" s="16" t="inlineStr">
        <is>
          <t>5012345377346</t>
        </is>
      </c>
      <c r="C369" s="7" t="inlineStr">
        <is>
          <t>HM SKYR STRAWB 450G</t>
        </is>
      </c>
      <c r="D369" s="7" t="inlineStr">
        <is>
          <t>Strawberry skyr, 450g</t>
        </is>
      </c>
      <c r="E369" s="7" t="inlineStr">
        <is>
          <t>Harbour Market</t>
        </is>
      </c>
      <c r="F369" s="7" t="inlineStr">
        <is>
          <t>Dairy &amp; Eggs</t>
        </is>
      </c>
      <c r="G369" s="7" t="inlineStr">
        <is>
          <t>Yoghurt</t>
        </is>
      </c>
      <c r="H369" s="7" t="inlineStr">
        <is>
          <t>yes</t>
        </is>
      </c>
      <c r="I369" s="7" t="inlineStr">
        <is>
          <t>Animal core</t>
        </is>
      </c>
      <c r="J369" s="7" t="inlineStr">
        <is>
          <t>Milk, yoghurt and cream</t>
        </is>
      </c>
      <c r="K369" s="7" t="inlineStr">
        <is>
          <t>B</t>
        </is>
      </c>
      <c r="L369" s="7" t="inlineStr">
        <is>
          <t>First ingredient</t>
        </is>
      </c>
      <c r="M369" s="51" t="n">
        <v>10</v>
      </c>
      <c r="N369" s="7" t="inlineStr">
        <is>
          <t>Open Food Facts and NEVO, by EAN</t>
        </is>
      </c>
      <c r="O369" s="54" t="n">
        <v>0</v>
      </c>
      <c r="P369" s="54" t="n">
        <v>10</v>
      </c>
      <c r="Q369" s="7" t="inlineStr">
        <is>
          <t>yes</t>
        </is>
      </c>
      <c r="R369" s="7" t="inlineStr">
        <is>
          <t>whole</t>
        </is>
      </c>
      <c r="S369" s="7" t="inlineStr">
        <is>
          <t>FG2</t>
        </is>
      </c>
      <c r="T369" s="7" t="inlineStr">
        <is>
          <t>Dairy</t>
        </is>
      </c>
      <c r="U369" s="7" t="inlineStr">
        <is>
          <t>animal</t>
        </is>
      </c>
      <c r="V369" s="7" t="n"/>
      <c r="W369" s="7" t="n"/>
      <c r="X369" s="55" t="n">
        <v>1</v>
      </c>
      <c r="Y369" s="50" t="n">
        <v>0.45</v>
      </c>
      <c r="Z369" s="7" t="inlineStr">
        <is>
          <t>declared</t>
        </is>
      </c>
      <c r="AA369" s="19">
        <f>IF(ISBLANK(Welcome!D395),"",Welcome!D395)</f>
        <v/>
      </c>
      <c r="AB369" s="29">
        <f>IF(ISBLANK(Welcome!E395),"",Welcome!E395)</f>
        <v/>
      </c>
      <c r="AC369" s="29">
        <f>IF(N(AB369)&gt;0,N(AB369),N(AA369)*Y369)</f>
        <v/>
      </c>
      <c r="AD369" s="29">
        <f>IF(H369="yes",AC369,0)</f>
        <v/>
      </c>
      <c r="AE369" s="29">
        <f>AD369*N(M369)/100</f>
        <v/>
      </c>
      <c r="AF369" s="29">
        <f>AD369*N(O369)/100</f>
        <v/>
      </c>
      <c r="AG369" s="29">
        <f>AD369*N(P369)/100</f>
        <v/>
      </c>
      <c r="AH369" s="50">
        <f>IF(Q369="yes",AD369/1000,0)</f>
        <v/>
      </c>
      <c r="AI369" s="50">
        <f>IF(S369="FG2",AH369*X369,AH369)</f>
        <v/>
      </c>
    </row>
    <row r="370">
      <c r="A370" s="7" t="inlineStr">
        <is>
          <t>HM00295</t>
        </is>
      </c>
      <c r="B370" s="16" t="inlineStr">
        <is>
          <t>5012345484563</t>
        </is>
      </c>
      <c r="C370" s="7" t="inlineStr">
        <is>
          <t>HM RYE BREAD 800G</t>
        </is>
      </c>
      <c r="D370" s="7" t="inlineStr">
        <is>
          <t>Rye bread, 800g</t>
        </is>
      </c>
      <c r="E370" s="7" t="inlineStr">
        <is>
          <t>Harbour Market</t>
        </is>
      </c>
      <c r="F370" s="7" t="inlineStr">
        <is>
          <t>Bakery</t>
        </is>
      </c>
      <c r="G370" s="7" t="inlineStr">
        <is>
          <t>Bread</t>
        </is>
      </c>
      <c r="H370" s="7" t="inlineStr">
        <is>
          <t>yes</t>
        </is>
      </c>
      <c r="I370" s="7" t="inlineStr">
        <is>
          <t>Plant-based non-core</t>
        </is>
      </c>
      <c r="J370" s="7" t="inlineStr">
        <is>
          <t>Refined grains</t>
        </is>
      </c>
      <c r="K370" s="7" t="inlineStr">
        <is>
          <t>B</t>
        </is>
      </c>
      <c r="L370" s="7" t="inlineStr">
        <is>
          <t>Follows the class</t>
        </is>
      </c>
      <c r="M370" s="51" t="n">
        <v>9.5</v>
      </c>
      <c r="N370" s="7" t="inlineStr">
        <is>
          <t>Open Food Facts and NEVO, by EAN</t>
        </is>
      </c>
      <c r="O370" s="54" t="n">
        <v>9.5</v>
      </c>
      <c r="P370" s="54" t="n">
        <v>0</v>
      </c>
      <c r="Q370" s="7" t="inlineStr">
        <is>
          <t>yes</t>
        </is>
      </c>
      <c r="R370" s="7" t="inlineStr">
        <is>
          <t>whole</t>
        </is>
      </c>
      <c r="S370" s="7" t="inlineStr">
        <is>
          <t>FG5</t>
        </is>
      </c>
      <c r="T370" s="7" t="inlineStr">
        <is>
          <t>Refined grain</t>
        </is>
      </c>
      <c r="U370" s="7" t="inlineStr">
        <is>
          <t>plant</t>
        </is>
      </c>
      <c r="V370" s="7" t="n"/>
      <c r="W370" s="7" t="n"/>
      <c r="X370" s="55" t="n">
        <v>1</v>
      </c>
      <c r="Y370" s="50" t="n">
        <v>0.8</v>
      </c>
      <c r="Z370" s="7" t="inlineStr">
        <is>
          <t>declared</t>
        </is>
      </c>
      <c r="AA370" s="19">
        <f>IF(ISBLANK(Welcome!D396),"",Welcome!D396)</f>
        <v/>
      </c>
      <c r="AB370" s="29">
        <f>IF(ISBLANK(Welcome!E396),"",Welcome!E396)</f>
        <v/>
      </c>
      <c r="AC370" s="29">
        <f>IF(N(AB370)&gt;0,N(AB370),N(AA370)*Y370)</f>
        <v/>
      </c>
      <c r="AD370" s="29">
        <f>IF(H370="yes",AC370,0)</f>
        <v/>
      </c>
      <c r="AE370" s="29">
        <f>AD370*N(M370)/100</f>
        <v/>
      </c>
      <c r="AF370" s="29">
        <f>AD370*N(O370)/100</f>
        <v/>
      </c>
      <c r="AG370" s="29">
        <f>AD370*N(P370)/100</f>
        <v/>
      </c>
      <c r="AH370" s="50">
        <f>IF(Q370="yes",AD370/1000,0)</f>
        <v/>
      </c>
      <c r="AI370" s="50">
        <f>IF(S370="FG2",AH370*X370,AH370)</f>
        <v/>
      </c>
    </row>
    <row r="371">
      <c r="A371" s="7" t="inlineStr">
        <is>
          <t>HM00210</t>
        </is>
      </c>
      <c r="B371" s="16" t="inlineStr">
        <is>
          <t>8712345734886</t>
        </is>
      </c>
      <c r="C371" s="7" t="inlineStr">
        <is>
          <t>HM CUCUMBER 300G</t>
        </is>
      </c>
      <c r="D371" s="7" t="inlineStr">
        <is>
          <t>Cucumber, 300g</t>
        </is>
      </c>
      <c r="E371" s="7" t="inlineStr">
        <is>
          <t>Harbour Market</t>
        </is>
      </c>
      <c r="F371" s="7" t="inlineStr">
        <is>
          <t>Fruit &amp; Vegetables</t>
        </is>
      </c>
      <c r="G371" s="7" t="inlineStr">
        <is>
          <t>Vegetables</t>
        </is>
      </c>
      <c r="H371" s="7" t="inlineStr">
        <is>
          <t>yes</t>
        </is>
      </c>
      <c r="I371" s="7" t="inlineStr">
        <is>
          <t>Plant-based non-core</t>
        </is>
      </c>
      <c r="J371" s="7" t="inlineStr">
        <is>
          <t>Fruit and vegetables</t>
        </is>
      </c>
      <c r="K371" s="7" t="inlineStr">
        <is>
          <t>B</t>
        </is>
      </c>
      <c r="L371" s="7" t="inlineStr">
        <is>
          <t>Follows the class</t>
        </is>
      </c>
      <c r="M371" s="51" t="n">
        <v>0.61</v>
      </c>
      <c r="N371" s="7" t="inlineStr">
        <is>
          <t>Median of the family</t>
        </is>
      </c>
      <c r="O371" s="54" t="n">
        <v>0.61</v>
      </c>
      <c r="P371" s="54" t="n">
        <v>0</v>
      </c>
      <c r="Q371" s="7" t="inlineStr">
        <is>
          <t>yes</t>
        </is>
      </c>
      <c r="R371" s="7" t="inlineStr">
        <is>
          <t>whole</t>
        </is>
      </c>
      <c r="S371" s="7" t="inlineStr">
        <is>
          <t>FG4</t>
        </is>
      </c>
      <c r="T371" s="7" t="n"/>
      <c r="U371" s="7" t="inlineStr">
        <is>
          <t>plant</t>
        </is>
      </c>
      <c r="V371" s="7" t="n"/>
      <c r="W371" s="7" t="n"/>
      <c r="X371" s="55" t="n">
        <v>1</v>
      </c>
      <c r="Y371" s="50" t="n">
        <v>0.3</v>
      </c>
      <c r="Z371" s="7" t="inlineStr">
        <is>
          <t>label</t>
        </is>
      </c>
      <c r="AA371" s="19">
        <f>IF(ISBLANK(Welcome!D397),"",Welcome!D397)</f>
        <v/>
      </c>
      <c r="AB371" s="29">
        <f>IF(ISBLANK(Welcome!E397),"",Welcome!E397)</f>
        <v/>
      </c>
      <c r="AC371" s="29">
        <f>IF(N(AB371)&gt;0,N(AB371),N(AA371)*Y371)</f>
        <v/>
      </c>
      <c r="AD371" s="29">
        <f>IF(H371="yes",AC371,0)</f>
        <v/>
      </c>
      <c r="AE371" s="29">
        <f>AD371*N(M371)/100</f>
        <v/>
      </c>
      <c r="AF371" s="29">
        <f>AD371*N(O371)/100</f>
        <v/>
      </c>
      <c r="AG371" s="29">
        <f>AD371*N(P371)/100</f>
        <v/>
      </c>
      <c r="AH371" s="50">
        <f>IF(Q371="yes",AD371/1000,0)</f>
        <v/>
      </c>
      <c r="AI371" s="50">
        <f>IF(S371="FG2",AH371*X371,AH371)</f>
        <v/>
      </c>
    </row>
    <row r="372">
      <c r="A372" s="7" t="inlineStr">
        <is>
          <t>HM00635</t>
        </is>
      </c>
      <c r="B372" s="16" t="inlineStr">
        <is>
          <t>5012345767246</t>
        </is>
      </c>
      <c r="C372" s="7" t="inlineStr">
        <is>
          <t>HM BROCCOLI EACH</t>
        </is>
      </c>
      <c r="D372" s="7" t="inlineStr">
        <is>
          <t>Broccoli</t>
        </is>
      </c>
      <c r="E372" s="7" t="inlineStr">
        <is>
          <t>Harbour Market</t>
        </is>
      </c>
      <c r="F372" s="7" t="inlineStr">
        <is>
          <t>Fruit &amp; Vegetables</t>
        </is>
      </c>
      <c r="G372" s="7" t="inlineStr">
        <is>
          <t>Vegetables</t>
        </is>
      </c>
      <c r="H372" s="7" t="inlineStr">
        <is>
          <t>yes</t>
        </is>
      </c>
      <c r="I372" s="7" t="inlineStr">
        <is>
          <t>Plant-based non-core</t>
        </is>
      </c>
      <c r="J372" s="7" t="inlineStr">
        <is>
          <t>Fruit and vegetables</t>
        </is>
      </c>
      <c r="K372" s="7" t="inlineStr">
        <is>
          <t>B</t>
        </is>
      </c>
      <c r="L372" s="7" t="inlineStr">
        <is>
          <t>Follows the class</t>
        </is>
      </c>
      <c r="M372" s="51" t="n">
        <v>2.7</v>
      </c>
      <c r="N372" s="7" t="inlineStr">
        <is>
          <t>Declared by the retailer</t>
        </is>
      </c>
      <c r="O372" s="54" t="n">
        <v>2.7</v>
      </c>
      <c r="P372" s="54" t="n">
        <v>0</v>
      </c>
      <c r="Q372" s="7" t="inlineStr">
        <is>
          <t>yes</t>
        </is>
      </c>
      <c r="R372" s="7" t="inlineStr">
        <is>
          <t>whole</t>
        </is>
      </c>
      <c r="S372" s="7" t="inlineStr">
        <is>
          <t>FG4</t>
        </is>
      </c>
      <c r="T372" s="7" t="n"/>
      <c r="U372" s="7" t="inlineStr">
        <is>
          <t>plant</t>
        </is>
      </c>
      <c r="V372" s="7" t="n"/>
      <c r="W372" s="7" t="n"/>
      <c r="X372" s="55" t="n">
        <v>1</v>
      </c>
      <c r="Y372" s="50" t="n">
        <v>0.35</v>
      </c>
      <c r="Z372" s="7" t="inlineStr">
        <is>
          <t>typical_piece</t>
        </is>
      </c>
      <c r="AA372" s="19">
        <f>IF(ISBLANK(Welcome!D398),"",Welcome!D398)</f>
        <v/>
      </c>
      <c r="AB372" s="29">
        <f>IF(ISBLANK(Welcome!E398),"",Welcome!E398)</f>
        <v/>
      </c>
      <c r="AC372" s="29">
        <f>IF(N(AB372)&gt;0,N(AB372),N(AA372)*Y372)</f>
        <v/>
      </c>
      <c r="AD372" s="29">
        <f>IF(H372="yes",AC372,0)</f>
        <v/>
      </c>
      <c r="AE372" s="29">
        <f>AD372*N(M372)/100</f>
        <v/>
      </c>
      <c r="AF372" s="29">
        <f>AD372*N(O372)/100</f>
        <v/>
      </c>
      <c r="AG372" s="29">
        <f>AD372*N(P372)/100</f>
        <v/>
      </c>
      <c r="AH372" s="50">
        <f>IF(Q372="yes",AD372/1000,0)</f>
        <v/>
      </c>
      <c r="AI372" s="50">
        <f>IF(S372="FG2",AH372*X372,AH372)</f>
        <v/>
      </c>
    </row>
    <row r="373">
      <c r="A373" s="7" t="inlineStr">
        <is>
          <t>HM00799</t>
        </is>
      </c>
      <c r="B373" s="16" t="inlineStr">
        <is>
          <t>8712345685164</t>
        </is>
      </c>
      <c r="C373" s="7" t="inlineStr">
        <is>
          <t>HM CHERRY TOMATOES 500G</t>
        </is>
      </c>
      <c r="D373" s="7" t="inlineStr">
        <is>
          <t>Cherry tomatoes, 500g</t>
        </is>
      </c>
      <c r="E373" s="7" t="inlineStr">
        <is>
          <t>Harbour Market</t>
        </is>
      </c>
      <c r="F373" s="7" t="inlineStr">
        <is>
          <t>Fruit &amp; Vegetables</t>
        </is>
      </c>
      <c r="G373" s="7" t="inlineStr">
        <is>
          <t>Vegetables</t>
        </is>
      </c>
      <c r="H373" s="7" t="inlineStr">
        <is>
          <t>yes</t>
        </is>
      </c>
      <c r="I373" s="7" t="inlineStr">
        <is>
          <t>Plant-based non-core</t>
        </is>
      </c>
      <c r="J373" s="7" t="inlineStr">
        <is>
          <t>Fruit and vegetables</t>
        </is>
      </c>
      <c r="K373" s="7" t="inlineStr">
        <is>
          <t>B</t>
        </is>
      </c>
      <c r="L373" s="7" t="inlineStr">
        <is>
          <t>Follows the class</t>
        </is>
      </c>
      <c r="M373" s="51" t="n">
        <v>0.92</v>
      </c>
      <c r="N373" s="7" t="inlineStr">
        <is>
          <t>Declared by the retailer</t>
        </is>
      </c>
      <c r="O373" s="54" t="n">
        <v>0.92</v>
      </c>
      <c r="P373" s="54" t="n">
        <v>0</v>
      </c>
      <c r="Q373" s="7" t="inlineStr">
        <is>
          <t>yes</t>
        </is>
      </c>
      <c r="R373" s="7" t="inlineStr">
        <is>
          <t>whole</t>
        </is>
      </c>
      <c r="S373" s="7" t="inlineStr">
        <is>
          <t>FG4</t>
        </is>
      </c>
      <c r="T373" s="7" t="n"/>
      <c r="U373" s="7" t="inlineStr">
        <is>
          <t>plant</t>
        </is>
      </c>
      <c r="V373" s="7" t="n"/>
      <c r="W373" s="7" t="n"/>
      <c r="X373" s="55" t="n">
        <v>1</v>
      </c>
      <c r="Y373" s="50" t="n">
        <v>0.5</v>
      </c>
      <c r="Z373" s="7" t="inlineStr">
        <is>
          <t>declared</t>
        </is>
      </c>
      <c r="AA373" s="19">
        <f>IF(ISBLANK(Welcome!D399),"",Welcome!D399)</f>
        <v/>
      </c>
      <c r="AB373" s="29">
        <f>IF(ISBLANK(Welcome!E399),"",Welcome!E399)</f>
        <v/>
      </c>
      <c r="AC373" s="29">
        <f>IF(N(AB373)&gt;0,N(AB373),N(AA373)*Y373)</f>
        <v/>
      </c>
      <c r="AD373" s="29">
        <f>IF(H373="yes",AC373,0)</f>
        <v/>
      </c>
      <c r="AE373" s="29">
        <f>AD373*N(M373)/100</f>
        <v/>
      </c>
      <c r="AF373" s="29">
        <f>AD373*N(O373)/100</f>
        <v/>
      </c>
      <c r="AG373" s="29">
        <f>AD373*N(P373)/100</f>
        <v/>
      </c>
      <c r="AH373" s="50">
        <f>IF(Q373="yes",AD373/1000,0)</f>
        <v/>
      </c>
      <c r="AI373" s="50">
        <f>IF(S373="FG2",AH373*X373,AH373)</f>
        <v/>
      </c>
    </row>
    <row r="374">
      <c r="A374" s="7" t="inlineStr">
        <is>
          <t>HM00302</t>
        </is>
      </c>
      <c r="B374" s="16" t="inlineStr">
        <is>
          <t>4012345387292</t>
        </is>
      </c>
      <c r="C374" s="7" t="inlineStr">
        <is>
          <t>HM RICH TEA BISCUITS 400G</t>
        </is>
      </c>
      <c r="D374" s="7" t="inlineStr">
        <is>
          <t>Rich tea biscuits, 400g</t>
        </is>
      </c>
      <c r="E374" s="7" t="inlineStr">
        <is>
          <t>Harbour Market</t>
        </is>
      </c>
      <c r="F374" s="7" t="inlineStr">
        <is>
          <t>Breakfast &amp; Snacks</t>
        </is>
      </c>
      <c r="G374" s="7" t="inlineStr">
        <is>
          <t>Biscuits</t>
        </is>
      </c>
      <c r="H374" s="7" t="inlineStr">
        <is>
          <t>yes</t>
        </is>
      </c>
      <c r="I374" s="7" t="inlineStr">
        <is>
          <t>Plant-based non-core</t>
        </is>
      </c>
      <c r="J374" s="7" t="inlineStr">
        <is>
          <t>Discretionary products</t>
        </is>
      </c>
      <c r="K374" s="7" t="inlineStr">
        <is>
          <t>A</t>
        </is>
      </c>
      <c r="L374" s="7" t="inlineStr">
        <is>
          <t>All ingredients on one side</t>
        </is>
      </c>
      <c r="M374" s="51" t="n">
        <v>6.6</v>
      </c>
      <c r="N374" s="7" t="inlineStr">
        <is>
          <t>Declared by the retailer</t>
        </is>
      </c>
      <c r="O374" s="54" t="n">
        <v>6.6</v>
      </c>
      <c r="P374" s="54" t="n">
        <v>0</v>
      </c>
      <c r="Q374" s="7" t="inlineStr">
        <is>
          <t>yes</t>
        </is>
      </c>
      <c r="R374" s="7" t="inlineStr">
        <is>
          <t>whole</t>
        </is>
      </c>
      <c r="S374" s="7" t="inlineStr">
        <is>
          <t>FG7</t>
        </is>
      </c>
      <c r="T374" s="7" t="n"/>
      <c r="U374" s="7" t="inlineStr">
        <is>
          <t>plant</t>
        </is>
      </c>
      <c r="V374" s="7" t="n"/>
      <c r="W374" s="7" t="n"/>
      <c r="X374" s="55" t="n">
        <v>1</v>
      </c>
      <c r="Y374" s="50" t="n">
        <v>0.4</v>
      </c>
      <c r="Z374" s="7" t="inlineStr">
        <is>
          <t>declared</t>
        </is>
      </c>
      <c r="AA374" s="19">
        <f>IF(ISBLANK(Welcome!D400),"",Welcome!D400)</f>
        <v/>
      </c>
      <c r="AB374" s="29">
        <f>IF(ISBLANK(Welcome!E400),"",Welcome!E400)</f>
        <v/>
      </c>
      <c r="AC374" s="29">
        <f>IF(N(AB374)&gt;0,N(AB374),N(AA374)*Y374)</f>
        <v/>
      </c>
      <c r="AD374" s="29">
        <f>IF(H374="yes",AC374,0)</f>
        <v/>
      </c>
      <c r="AE374" s="29">
        <f>AD374*N(M374)/100</f>
        <v/>
      </c>
      <c r="AF374" s="29">
        <f>AD374*N(O374)/100</f>
        <v/>
      </c>
      <c r="AG374" s="29">
        <f>AD374*N(P374)/100</f>
        <v/>
      </c>
      <c r="AH374" s="50">
        <f>IF(Q374="yes",AD374/1000,0)</f>
        <v/>
      </c>
      <c r="AI374" s="50">
        <f>IF(S374="FG2",AH374*X374,AH374)</f>
        <v/>
      </c>
    </row>
    <row r="375">
      <c r="A375" s="7" t="inlineStr">
        <is>
          <t>HM00403</t>
        </is>
      </c>
      <c r="B375" s="16" t="inlineStr">
        <is>
          <t>3012345889223</t>
        </is>
      </c>
      <c r="C375" s="7" t="inlineStr">
        <is>
          <t>HM PIZZA HAM MUSHROOM 2X320G</t>
        </is>
      </c>
      <c r="D375" s="7" t="inlineStr">
        <is>
          <t>Ham &amp; mushroom pizza, 2x320g</t>
        </is>
      </c>
      <c r="E375" s="7" t="inlineStr">
        <is>
          <t>Harbour Market</t>
        </is>
      </c>
      <c r="F375" s="7" t="inlineStr">
        <is>
          <t>Frozen</t>
        </is>
      </c>
      <c r="G375" s="7" t="inlineStr">
        <is>
          <t>Pizza</t>
        </is>
      </c>
      <c r="H375" s="7" t="inlineStr">
        <is>
          <t>yes</t>
        </is>
      </c>
      <c r="I375" s="7" t="inlineStr">
        <is>
          <t>Animal &amp; plant composite</t>
        </is>
      </c>
      <c r="J375" s="7" t="inlineStr">
        <is>
          <t>Meat-based dishes</t>
        </is>
      </c>
      <c r="K375" s="7" t="inlineStr">
        <is>
          <t>B</t>
        </is>
      </c>
      <c r="L375" s="7" t="inlineStr">
        <is>
          <t>50/50 convention</t>
        </is>
      </c>
      <c r="M375" s="51" t="n">
        <v>9.699999999999999</v>
      </c>
      <c r="N375" s="7" t="inlineStr">
        <is>
          <t>National food table (CIQUAL in France)</t>
        </is>
      </c>
      <c r="O375" s="54" t="n">
        <v>4.85</v>
      </c>
      <c r="P375" s="54" t="n">
        <v>4.85</v>
      </c>
      <c r="Q375" s="7" t="inlineStr">
        <is>
          <t>yes</t>
        </is>
      </c>
      <c r="R375" s="7" t="inlineStr">
        <is>
          <t>composite</t>
        </is>
      </c>
      <c r="S375" s="7" t="n"/>
      <c r="T375" s="7" t="n"/>
      <c r="U375" s="7" t="n"/>
      <c r="V375" s="7" t="inlineStr">
        <is>
          <t>meat-based</t>
        </is>
      </c>
      <c r="W375" s="7" t="n"/>
      <c r="X375" s="55" t="n">
        <v>1</v>
      </c>
      <c r="Y375" s="50" t="n">
        <v>0.64</v>
      </c>
      <c r="Z375" s="7" t="inlineStr">
        <is>
          <t>declared</t>
        </is>
      </c>
      <c r="AA375" s="19">
        <f>IF(ISBLANK(Welcome!D401),"",Welcome!D401)</f>
        <v/>
      </c>
      <c r="AB375" s="29">
        <f>IF(ISBLANK(Welcome!E401),"",Welcome!E401)</f>
        <v/>
      </c>
      <c r="AC375" s="29">
        <f>IF(N(AB375)&gt;0,N(AB375),N(AA375)*Y375)</f>
        <v/>
      </c>
      <c r="AD375" s="29">
        <f>IF(H375="yes",AC375,0)</f>
        <v/>
      </c>
      <c r="AE375" s="29">
        <f>AD375*N(M375)/100</f>
        <v/>
      </c>
      <c r="AF375" s="29">
        <f>AD375*N(O375)/100</f>
        <v/>
      </c>
      <c r="AG375" s="29">
        <f>AD375*N(P375)/100</f>
        <v/>
      </c>
      <c r="AH375" s="50">
        <f>IF(Q375="yes",AD375/1000,0)</f>
        <v/>
      </c>
      <c r="AI375" s="50">
        <f>IF(S375="FG2",AH375*X375,AH375)</f>
        <v/>
      </c>
    </row>
    <row r="376">
      <c r="A376" s="7" t="inlineStr">
        <is>
          <t>HM00245</t>
        </is>
      </c>
      <c r="B376" s="16" t="inlineStr">
        <is>
          <t>8712345219741</t>
        </is>
      </c>
      <c r="C376" s="7" t="inlineStr">
        <is>
          <t>CHICKPEAS IN WATER 400G ORVALIS</t>
        </is>
      </c>
      <c r="D376" s="7" t="inlineStr">
        <is>
          <t>Chickpeas in water, 400g</t>
        </is>
      </c>
      <c r="E376" s="7" t="inlineStr">
        <is>
          <t>Orvalis</t>
        </is>
      </c>
      <c r="F376" s="7" t="inlineStr">
        <is>
          <t>Grocery</t>
        </is>
      </c>
      <c r="G376" s="7" t="inlineStr">
        <is>
          <t>Pulses</t>
        </is>
      </c>
      <c r="H376" s="7" t="inlineStr">
        <is>
          <t>yes</t>
        </is>
      </c>
      <c r="I376" s="7" t="inlineStr">
        <is>
          <t>Plant-based core</t>
        </is>
      </c>
      <c r="J376" s="7" t="inlineStr">
        <is>
          <t>Pulses</t>
        </is>
      </c>
      <c r="K376" s="7" t="inlineStr">
        <is>
          <t>A</t>
        </is>
      </c>
      <c r="L376" s="7" t="inlineStr">
        <is>
          <t>All ingredients on one side</t>
        </is>
      </c>
      <c r="M376" s="51" t="n">
        <v>6.8</v>
      </c>
      <c r="N376" s="7" t="inlineStr">
        <is>
          <t>Altera reference base</t>
        </is>
      </c>
      <c r="O376" s="54" t="n">
        <v>6.8</v>
      </c>
      <c r="P376" s="54" t="n">
        <v>0</v>
      </c>
      <c r="Q376" s="7" t="inlineStr">
        <is>
          <t>yes</t>
        </is>
      </c>
      <c r="R376" s="7" t="inlineStr">
        <is>
          <t>whole</t>
        </is>
      </c>
      <c r="S376" s="7" t="inlineStr">
        <is>
          <t>FG1</t>
        </is>
      </c>
      <c r="T376" s="7" t="inlineStr">
        <is>
          <t>Pulses</t>
        </is>
      </c>
      <c r="U376" s="7" t="inlineStr">
        <is>
          <t>plant</t>
        </is>
      </c>
      <c r="V376" s="7" t="n"/>
      <c r="W376" s="7" t="n"/>
      <c r="X376" s="55" t="n">
        <v>1</v>
      </c>
      <c r="Y376" s="50" t="n">
        <v>0.4</v>
      </c>
      <c r="Z376" s="7" t="inlineStr">
        <is>
          <t>declared</t>
        </is>
      </c>
      <c r="AA376" s="19">
        <f>IF(ISBLANK(Welcome!D402),"",Welcome!D402)</f>
        <v/>
      </c>
      <c r="AB376" s="29">
        <f>IF(ISBLANK(Welcome!E402),"",Welcome!E402)</f>
        <v/>
      </c>
      <c r="AC376" s="29">
        <f>IF(N(AB376)&gt;0,N(AB376),N(AA376)*Y376)</f>
        <v/>
      </c>
      <c r="AD376" s="29">
        <f>IF(H376="yes",AC376,0)</f>
        <v/>
      </c>
      <c r="AE376" s="29">
        <f>AD376*N(M376)/100</f>
        <v/>
      </c>
      <c r="AF376" s="29">
        <f>AD376*N(O376)/100</f>
        <v/>
      </c>
      <c r="AG376" s="29">
        <f>AD376*N(P376)/100</f>
        <v/>
      </c>
      <c r="AH376" s="50">
        <f>IF(Q376="yes",AD376/1000,0)</f>
        <v/>
      </c>
      <c r="AI376" s="50">
        <f>IF(S376="FG2",AH376*X376,AH376)</f>
        <v/>
      </c>
    </row>
    <row r="377">
      <c r="A377" s="7" t="inlineStr">
        <is>
          <t>HM00431</t>
        </is>
      </c>
      <c r="B377" s="16" t="inlineStr">
        <is>
          <t>8712345790448</t>
        </is>
      </c>
      <c r="C377" s="7" t="inlineStr">
        <is>
          <t>SKYR NAT 450G FJELDA</t>
        </is>
      </c>
      <c r="D377" s="7" t="inlineStr">
        <is>
          <t>Natural skyr, 450g</t>
        </is>
      </c>
      <c r="E377" s="7" t="inlineStr">
        <is>
          <t>Fjelda</t>
        </is>
      </c>
      <c r="F377" s="7" t="inlineStr">
        <is>
          <t>Dairy &amp; Eggs</t>
        </is>
      </c>
      <c r="G377" s="7" t="inlineStr">
        <is>
          <t>Yoghurt</t>
        </is>
      </c>
      <c r="H377" s="7" t="inlineStr">
        <is>
          <t>yes</t>
        </is>
      </c>
      <c r="I377" s="7" t="inlineStr">
        <is>
          <t>Animal core</t>
        </is>
      </c>
      <c r="J377" s="7" t="inlineStr">
        <is>
          <t>Milk, yoghurt and cream</t>
        </is>
      </c>
      <c r="K377" s="7" t="inlineStr">
        <is>
          <t>A</t>
        </is>
      </c>
      <c r="L377" s="7" t="inlineStr">
        <is>
          <t>All ingredients on one side</t>
        </is>
      </c>
      <c r="M377" s="51" t="n">
        <v>11.3</v>
      </c>
      <c r="N377" s="7" t="inlineStr">
        <is>
          <t>Declared by the retailer</t>
        </is>
      </c>
      <c r="O377" s="54" t="n">
        <v>0</v>
      </c>
      <c r="P377" s="54" t="n">
        <v>11.3</v>
      </c>
      <c r="Q377" s="7" t="inlineStr">
        <is>
          <t>yes</t>
        </is>
      </c>
      <c r="R377" s="7" t="inlineStr">
        <is>
          <t>whole</t>
        </is>
      </c>
      <c r="S377" s="7" t="inlineStr">
        <is>
          <t>FG2</t>
        </is>
      </c>
      <c r="T377" s="7" t="inlineStr">
        <is>
          <t>Dairy</t>
        </is>
      </c>
      <c r="U377" s="7" t="inlineStr">
        <is>
          <t>animal</t>
        </is>
      </c>
      <c r="V377" s="7" t="n"/>
      <c r="W377" s="7" t="n"/>
      <c r="X377" s="55" t="n">
        <v>1</v>
      </c>
      <c r="Y377" s="50" t="n">
        <v>0.45</v>
      </c>
      <c r="Z377" s="7" t="inlineStr">
        <is>
          <t>declared</t>
        </is>
      </c>
      <c r="AA377" s="19">
        <f>IF(ISBLANK(Welcome!D403),"",Welcome!D403)</f>
        <v/>
      </c>
      <c r="AB377" s="29">
        <f>IF(ISBLANK(Welcome!E403),"",Welcome!E403)</f>
        <v/>
      </c>
      <c r="AC377" s="29">
        <f>IF(N(AB377)&gt;0,N(AB377),N(AA377)*Y377)</f>
        <v/>
      </c>
      <c r="AD377" s="29">
        <f>IF(H377="yes",AC377,0)</f>
        <v/>
      </c>
      <c r="AE377" s="29">
        <f>AD377*N(M377)/100</f>
        <v/>
      </c>
      <c r="AF377" s="29">
        <f>AD377*N(O377)/100</f>
        <v/>
      </c>
      <c r="AG377" s="29">
        <f>AD377*N(P377)/100</f>
        <v/>
      </c>
      <c r="AH377" s="50">
        <f>IF(Q377="yes",AD377/1000,0)</f>
        <v/>
      </c>
      <c r="AI377" s="50">
        <f>IF(S377="FG2",AH377*X377,AH377)</f>
        <v/>
      </c>
    </row>
    <row r="378">
      <c r="A378" s="7" t="inlineStr">
        <is>
          <t>HM00331</t>
        </is>
      </c>
      <c r="B378" s="16" t="inlineStr">
        <is>
          <t>5012345447858</t>
        </is>
      </c>
      <c r="C378" s="7" t="inlineStr">
        <is>
          <t>HM HONEY ROAST HAM 8SL 200G</t>
        </is>
      </c>
      <c r="D378" s="7" t="inlineStr">
        <is>
          <t>Honey-roast ham, 8sl 200g</t>
        </is>
      </c>
      <c r="E378" s="7" t="inlineStr">
        <is>
          <t>Harbour Market</t>
        </is>
      </c>
      <c r="F378" s="7" t="inlineStr">
        <is>
          <t>Deli</t>
        </is>
      </c>
      <c r="G378" s="7" t="inlineStr">
        <is>
          <t>Cooked Meats</t>
        </is>
      </c>
      <c r="H378" s="7" t="inlineStr">
        <is>
          <t>yes</t>
        </is>
      </c>
      <c r="I378" s="7" t="inlineStr">
        <is>
          <t>Animal core</t>
        </is>
      </c>
      <c r="J378" s="7" t="inlineStr">
        <is>
          <t>Dishes and processed products</t>
        </is>
      </c>
      <c r="K378" s="7" t="inlineStr">
        <is>
          <t>B</t>
        </is>
      </c>
      <c r="L378" s="7" t="inlineStr">
        <is>
          <t>Follows the class</t>
        </is>
      </c>
      <c r="M378" s="51" t="n">
        <v>18.3</v>
      </c>
      <c r="N378" s="7" t="inlineStr">
        <is>
          <t>Median of the family</t>
        </is>
      </c>
      <c r="O378" s="54" t="n">
        <v>0</v>
      </c>
      <c r="P378" s="54" t="n">
        <v>18.3</v>
      </c>
      <c r="Q378" s="7" t="inlineStr">
        <is>
          <t>yes</t>
        </is>
      </c>
      <c r="R378" s="7" t="inlineStr">
        <is>
          <t>whole</t>
        </is>
      </c>
      <c r="S378" s="7" t="inlineStr">
        <is>
          <t>FG1</t>
        </is>
      </c>
      <c r="T378" s="7" t="inlineStr">
        <is>
          <t>Red meat</t>
        </is>
      </c>
      <c r="U378" s="7" t="inlineStr">
        <is>
          <t>animal</t>
        </is>
      </c>
      <c r="V378" s="7" t="n"/>
      <c r="W378" s="7" t="n"/>
      <c r="X378" s="55" t="n">
        <v>1</v>
      </c>
      <c r="Y378" s="50" t="n">
        <v>0.2</v>
      </c>
      <c r="Z378" s="7" t="inlineStr">
        <is>
          <t>declared</t>
        </is>
      </c>
      <c r="AA378" s="19">
        <f>IF(ISBLANK(Welcome!D404),"",Welcome!D404)</f>
        <v/>
      </c>
      <c r="AB378" s="29">
        <f>IF(ISBLANK(Welcome!E404),"",Welcome!E404)</f>
        <v/>
      </c>
      <c r="AC378" s="29">
        <f>IF(N(AB378)&gt;0,N(AB378),N(AA378)*Y378)</f>
        <v/>
      </c>
      <c r="AD378" s="29">
        <f>IF(H378="yes",AC378,0)</f>
        <v/>
      </c>
      <c r="AE378" s="29">
        <f>AD378*N(M378)/100</f>
        <v/>
      </c>
      <c r="AF378" s="29">
        <f>AD378*N(O378)/100</f>
        <v/>
      </c>
      <c r="AG378" s="29">
        <f>AD378*N(P378)/100</f>
        <v/>
      </c>
      <c r="AH378" s="50">
        <f>IF(Q378="yes",AD378/1000,0)</f>
        <v/>
      </c>
      <c r="AI378" s="50">
        <f>IF(S378="FG2",AH378*X378,AH378)</f>
        <v/>
      </c>
    </row>
    <row r="379">
      <c r="A379" s="7" t="inlineStr">
        <is>
          <t>HM00562</t>
        </is>
      </c>
      <c r="B379" s="16" t="inlineStr">
        <is>
          <t>4012345519990</t>
        </is>
      </c>
      <c r="C379" s="7" t="inlineStr">
        <is>
          <t>FJELDA STRAWB MILKSHAKE 1L</t>
        </is>
      </c>
      <c r="D379" s="7" t="inlineStr">
        <is>
          <t>Strawberry milkshake, 1l</t>
        </is>
      </c>
      <c r="E379" s="7" t="inlineStr">
        <is>
          <t>Fjelda</t>
        </is>
      </c>
      <c r="F379" s="7" t="inlineStr">
        <is>
          <t>Dairy &amp; Eggs</t>
        </is>
      </c>
      <c r="G379" s="7" t="inlineStr">
        <is>
          <t>Milk Drinks</t>
        </is>
      </c>
      <c r="H379" s="7" t="inlineStr">
        <is>
          <t>yes</t>
        </is>
      </c>
      <c r="I379" s="7" t="inlineStr">
        <is>
          <t>Animal core</t>
        </is>
      </c>
      <c r="J379" s="7" t="inlineStr">
        <is>
          <t>Milk, yoghurt and cream</t>
        </is>
      </c>
      <c r="K379" s="7" t="inlineStr">
        <is>
          <t>B</t>
        </is>
      </c>
      <c r="L379" s="7" t="inlineStr">
        <is>
          <t>First ingredient</t>
        </is>
      </c>
      <c r="M379" s="51" t="n">
        <v>3.4</v>
      </c>
      <c r="N379" s="7" t="inlineStr">
        <is>
          <t>National food table (CIQUAL in France)</t>
        </is>
      </c>
      <c r="O379" s="54" t="n">
        <v>0</v>
      </c>
      <c r="P379" s="54" t="n">
        <v>3.4</v>
      </c>
      <c r="Q379" s="7" t="inlineStr">
        <is>
          <t>yes</t>
        </is>
      </c>
      <c r="R379" s="7" t="inlineStr">
        <is>
          <t>whole</t>
        </is>
      </c>
      <c r="S379" s="7" t="inlineStr">
        <is>
          <t>FG2</t>
        </is>
      </c>
      <c r="T379" s="7" t="inlineStr">
        <is>
          <t>Dairy</t>
        </is>
      </c>
      <c r="U379" s="7" t="inlineStr">
        <is>
          <t>animal</t>
        </is>
      </c>
      <c r="V379" s="7" t="n"/>
      <c r="W379" s="7" t="n"/>
      <c r="X379" s="55" t="n">
        <v>1</v>
      </c>
      <c r="Y379" s="50" t="n">
        <v>1.03</v>
      </c>
      <c r="Z379" s="7" t="inlineStr">
        <is>
          <t>declared</t>
        </is>
      </c>
      <c r="AA379" s="19">
        <f>IF(ISBLANK(Welcome!D405),"",Welcome!D405)</f>
        <v/>
      </c>
      <c r="AB379" s="29">
        <f>IF(ISBLANK(Welcome!E405),"",Welcome!E405)</f>
        <v/>
      </c>
      <c r="AC379" s="29">
        <f>IF(N(AB379)&gt;0,N(AB379),N(AA379)*Y379)</f>
        <v/>
      </c>
      <c r="AD379" s="29">
        <f>IF(H379="yes",AC379,0)</f>
        <v/>
      </c>
      <c r="AE379" s="29">
        <f>AD379*N(M379)/100</f>
        <v/>
      </c>
      <c r="AF379" s="29">
        <f>AD379*N(O379)/100</f>
        <v/>
      </c>
      <c r="AG379" s="29">
        <f>AD379*N(P379)/100</f>
        <v/>
      </c>
      <c r="AH379" s="50">
        <f>IF(Q379="yes",AD379/1000,0)</f>
        <v/>
      </c>
      <c r="AI379" s="50">
        <f>IF(S379="FG2",AH379*X379,AH379)</f>
        <v/>
      </c>
    </row>
    <row r="380">
      <c r="A380" s="7" t="inlineStr">
        <is>
          <t>HM00067</t>
        </is>
      </c>
      <c r="B380" s="16" t="inlineStr">
        <is>
          <t>8712345293475</t>
        </is>
      </c>
      <c r="C380" s="7" t="inlineStr">
        <is>
          <t>UNSALTED BUTTER 250G FJELDA</t>
        </is>
      </c>
      <c r="D380" s="7" t="inlineStr">
        <is>
          <t>Unsalted butter, 250g</t>
        </is>
      </c>
      <c r="E380" s="7" t="inlineStr">
        <is>
          <t>Fjelda</t>
        </is>
      </c>
      <c r="F380" s="7" t="inlineStr">
        <is>
          <t>Dairy &amp; Eggs</t>
        </is>
      </c>
      <c r="G380" s="7" t="inlineStr">
        <is>
          <t>Butter &amp; Spreads</t>
        </is>
      </c>
      <c r="H380" s="7" t="inlineStr">
        <is>
          <t>yes</t>
        </is>
      </c>
      <c r="I380" s="7" t="inlineStr">
        <is>
          <t>Animal core</t>
        </is>
      </c>
      <c r="J380" s="7" t="inlineStr">
        <is>
          <t>Other</t>
        </is>
      </c>
      <c r="K380" s="7" t="inlineStr">
        <is>
          <t>A</t>
        </is>
      </c>
      <c r="L380" s="7" t="inlineStr">
        <is>
          <t>All ingredients on one side</t>
        </is>
      </c>
      <c r="M380" s="51" t="n">
        <v>0.63</v>
      </c>
      <c r="N380" s="7" t="inlineStr">
        <is>
          <t>National food table (CIQUAL in France)</t>
        </is>
      </c>
      <c r="O380" s="54" t="n">
        <v>0</v>
      </c>
      <c r="P380" s="54" t="n">
        <v>0.63</v>
      </c>
      <c r="Q380" s="7" t="inlineStr">
        <is>
          <t>yes</t>
        </is>
      </c>
      <c r="R380" s="7" t="inlineStr">
        <is>
          <t>whole</t>
        </is>
      </c>
      <c r="S380" s="7" t="inlineStr">
        <is>
          <t>FG3</t>
        </is>
      </c>
      <c r="T380" s="7" t="inlineStr">
        <is>
          <t>Animal-based fat</t>
        </is>
      </c>
      <c r="U380" s="7" t="inlineStr">
        <is>
          <t>animal</t>
        </is>
      </c>
      <c r="V380" s="7" t="n"/>
      <c r="W380" s="7" t="n"/>
      <c r="X380" s="55" t="n">
        <v>1</v>
      </c>
      <c r="Y380" s="50" t="n">
        <v>0.25</v>
      </c>
      <c r="Z380" s="7" t="inlineStr">
        <is>
          <t>declared</t>
        </is>
      </c>
      <c r="AA380" s="19">
        <f>IF(ISBLANK(Welcome!D406),"",Welcome!D406)</f>
        <v/>
      </c>
      <c r="AB380" s="29">
        <f>IF(ISBLANK(Welcome!E406),"",Welcome!E406)</f>
        <v/>
      </c>
      <c r="AC380" s="29">
        <f>IF(N(AB380)&gt;0,N(AB380),N(AA380)*Y380)</f>
        <v/>
      </c>
      <c r="AD380" s="29">
        <f>IF(H380="yes",AC380,0)</f>
        <v/>
      </c>
      <c r="AE380" s="29">
        <f>AD380*N(M380)/100</f>
        <v/>
      </c>
      <c r="AF380" s="29">
        <f>AD380*N(O380)/100</f>
        <v/>
      </c>
      <c r="AG380" s="29">
        <f>AD380*N(P380)/100</f>
        <v/>
      </c>
      <c r="AH380" s="50">
        <f>IF(Q380="yes",AD380/1000,0)</f>
        <v/>
      </c>
      <c r="AI380" s="50">
        <f>IF(S380="FG2",AH380*X380,AH380)</f>
        <v/>
      </c>
    </row>
    <row r="381">
      <c r="A381" s="7" t="inlineStr">
        <is>
          <t>HM00766</t>
        </is>
      </c>
      <c r="B381" s="16" t="inlineStr">
        <is>
          <t>3012345853750</t>
        </is>
      </c>
      <c r="C381" s="7" t="inlineStr">
        <is>
          <t>HM ARBORIO RICE 500G</t>
        </is>
      </c>
      <c r="D381" s="7" t="inlineStr">
        <is>
          <t>Arborio rice, 500g</t>
        </is>
      </c>
      <c r="E381" s="7" t="inlineStr">
        <is>
          <t>Harbour Market</t>
        </is>
      </c>
      <c r="F381" s="7" t="inlineStr">
        <is>
          <t>Grocery</t>
        </is>
      </c>
      <c r="G381" s="7" t="inlineStr">
        <is>
          <t>Rice &amp; Grains</t>
        </is>
      </c>
      <c r="H381" s="7" t="inlineStr">
        <is>
          <t>yes</t>
        </is>
      </c>
      <c r="I381" s="7" t="inlineStr">
        <is>
          <t>Plant-based non-core</t>
        </is>
      </c>
      <c r="J381" s="7" t="inlineStr">
        <is>
          <t>Refined grains</t>
        </is>
      </c>
      <c r="K381" s="7" t="inlineStr">
        <is>
          <t>A</t>
        </is>
      </c>
      <c r="L381" s="7" t="inlineStr">
        <is>
          <t>All ingredients on one side</t>
        </is>
      </c>
      <c r="M381" s="51" t="n">
        <v>7.4</v>
      </c>
      <c r="N381" s="7" t="inlineStr">
        <is>
          <t>Declared by the retailer</t>
        </is>
      </c>
      <c r="O381" s="54" t="n">
        <v>7.4</v>
      </c>
      <c r="P381" s="54" t="n">
        <v>0</v>
      </c>
      <c r="Q381" s="7" t="inlineStr">
        <is>
          <t>yes</t>
        </is>
      </c>
      <c r="R381" s="7" t="inlineStr">
        <is>
          <t>whole</t>
        </is>
      </c>
      <c r="S381" s="7" t="inlineStr">
        <is>
          <t>FG5</t>
        </is>
      </c>
      <c r="T381" s="7" t="inlineStr">
        <is>
          <t>Refined grain</t>
        </is>
      </c>
      <c r="U381" s="7" t="inlineStr">
        <is>
          <t>plant</t>
        </is>
      </c>
      <c r="V381" s="7" t="n"/>
      <c r="W381" s="7" t="n"/>
      <c r="X381" s="55" t="n">
        <v>1</v>
      </c>
      <c r="Y381" s="50" t="n">
        <v>0.5</v>
      </c>
      <c r="Z381" s="7" t="inlineStr">
        <is>
          <t>label</t>
        </is>
      </c>
      <c r="AA381" s="19">
        <f>IF(ISBLANK(Welcome!D407),"",Welcome!D407)</f>
        <v/>
      </c>
      <c r="AB381" s="29">
        <f>IF(ISBLANK(Welcome!E407),"",Welcome!E407)</f>
        <v/>
      </c>
      <c r="AC381" s="29">
        <f>IF(N(AB381)&gt;0,N(AB381),N(AA381)*Y381)</f>
        <v/>
      </c>
      <c r="AD381" s="29">
        <f>IF(H381="yes",AC381,0)</f>
        <v/>
      </c>
      <c r="AE381" s="29">
        <f>AD381*N(M381)/100</f>
        <v/>
      </c>
      <c r="AF381" s="29">
        <f>AD381*N(O381)/100</f>
        <v/>
      </c>
      <c r="AG381" s="29">
        <f>AD381*N(P381)/100</f>
        <v/>
      </c>
      <c r="AH381" s="50">
        <f>IF(Q381="yes",AD381/1000,0)</f>
        <v/>
      </c>
      <c r="AI381" s="50">
        <f>IF(S381="FG2",AH381*X381,AH381)</f>
        <v/>
      </c>
    </row>
    <row r="382">
      <c r="A382" s="7" t="inlineStr">
        <is>
          <t>HM00775</t>
        </is>
      </c>
      <c r="B382" s="16" t="inlineStr">
        <is>
          <t>3012345796521</t>
        </is>
      </c>
      <c r="C382" s="7" t="inlineStr">
        <is>
          <t>CASTELNA SUNFLOWER OIL 1L</t>
        </is>
      </c>
      <c r="D382" s="7" t="inlineStr">
        <is>
          <t>Sunflower oil, 1l</t>
        </is>
      </c>
      <c r="E382" s="7" t="inlineStr">
        <is>
          <t>Castelna</t>
        </is>
      </c>
      <c r="F382" s="7" t="inlineStr">
        <is>
          <t>Grocery</t>
        </is>
      </c>
      <c r="G382" s="7" t="inlineStr">
        <is>
          <t>Oils</t>
        </is>
      </c>
      <c r="H382" s="7" t="inlineStr">
        <is>
          <t>yes</t>
        </is>
      </c>
      <c r="I382" s="7" t="inlineStr">
        <is>
          <t>Plant-based non-core</t>
        </is>
      </c>
      <c r="J382" s="7" t="inlineStr">
        <is>
          <t>Other</t>
        </is>
      </c>
      <c r="K382" s="7" t="inlineStr">
        <is>
          <t>A</t>
        </is>
      </c>
      <c r="L382" s="7" t="inlineStr">
        <is>
          <t>All ingredients on one side</t>
        </is>
      </c>
      <c r="M382" s="51" t="n">
        <v>0</v>
      </c>
      <c r="N382" s="7" t="inlineStr">
        <is>
          <t>Declared by the retailer</t>
        </is>
      </c>
      <c r="O382" s="54" t="n">
        <v>0</v>
      </c>
      <c r="P382" s="54" t="n">
        <v>0</v>
      </c>
      <c r="Q382" s="7" t="inlineStr">
        <is>
          <t>yes</t>
        </is>
      </c>
      <c r="R382" s="7" t="inlineStr">
        <is>
          <t>whole</t>
        </is>
      </c>
      <c r="S382" s="7" t="inlineStr">
        <is>
          <t>FG3</t>
        </is>
      </c>
      <c r="T382" s="7" t="inlineStr">
        <is>
          <t>Plant-based fat</t>
        </is>
      </c>
      <c r="U382" s="7" t="inlineStr">
        <is>
          <t>plant</t>
        </is>
      </c>
      <c r="V382" s="7" t="n"/>
      <c r="W382" s="7" t="n"/>
      <c r="X382" s="55" t="n">
        <v>1</v>
      </c>
      <c r="Y382" s="50" t="n">
        <v>0.92</v>
      </c>
      <c r="Z382" s="7" t="inlineStr">
        <is>
          <t>declared</t>
        </is>
      </c>
      <c r="AA382" s="19">
        <f>IF(ISBLANK(Welcome!D408),"",Welcome!D408)</f>
        <v/>
      </c>
      <c r="AB382" s="29">
        <f>IF(ISBLANK(Welcome!E408),"",Welcome!E408)</f>
        <v/>
      </c>
      <c r="AC382" s="29">
        <f>IF(N(AB382)&gt;0,N(AB382),N(AA382)*Y382)</f>
        <v/>
      </c>
      <c r="AD382" s="29">
        <f>IF(H382="yes",AC382,0)</f>
        <v/>
      </c>
      <c r="AE382" s="29">
        <f>AD382*N(M382)/100</f>
        <v/>
      </c>
      <c r="AF382" s="29">
        <f>AD382*N(O382)/100</f>
        <v/>
      </c>
      <c r="AG382" s="29">
        <f>AD382*N(P382)/100</f>
        <v/>
      </c>
      <c r="AH382" s="50">
        <f>IF(Q382="yes",AD382/1000,0)</f>
        <v/>
      </c>
      <c r="AI382" s="50">
        <f>IF(S382="FG2",AH382*X382,AH382)</f>
        <v/>
      </c>
    </row>
    <row r="383">
      <c r="A383" s="7" t="inlineStr">
        <is>
          <t>HM00303</t>
        </is>
      </c>
      <c r="B383" s="16" t="inlineStr">
        <is>
          <t>4012345697094</t>
        </is>
      </c>
      <c r="C383" s="7" t="inlineStr">
        <is>
          <t>HM MIXED VEG 1KG</t>
        </is>
      </c>
      <c r="D383" s="7" t="inlineStr">
        <is>
          <t>Mixed vegetables, 1kg</t>
        </is>
      </c>
      <c r="E383" s="7" t="inlineStr">
        <is>
          <t>Harbour Market</t>
        </is>
      </c>
      <c r="F383" s="7" t="inlineStr">
        <is>
          <t>Frozen</t>
        </is>
      </c>
      <c r="G383" s="7" t="inlineStr">
        <is>
          <t>Frozen Vegetables</t>
        </is>
      </c>
      <c r="H383" s="7" t="inlineStr">
        <is>
          <t>yes</t>
        </is>
      </c>
      <c r="I383" s="7" t="inlineStr">
        <is>
          <t>Plant-based non-core</t>
        </is>
      </c>
      <c r="J383" s="7" t="inlineStr">
        <is>
          <t>Fruit and vegetables</t>
        </is>
      </c>
      <c r="K383" s="7" t="inlineStr">
        <is>
          <t>B</t>
        </is>
      </c>
      <c r="L383" s="7" t="inlineStr">
        <is>
          <t>Follows the class</t>
        </is>
      </c>
      <c r="M383" s="51" t="n">
        <v>2.4</v>
      </c>
      <c r="N383" s="7" t="inlineStr">
        <is>
          <t>Median of the family</t>
        </is>
      </c>
      <c r="O383" s="54" t="n">
        <v>2.4</v>
      </c>
      <c r="P383" s="54" t="n">
        <v>0</v>
      </c>
      <c r="Q383" s="7" t="inlineStr">
        <is>
          <t>yes</t>
        </is>
      </c>
      <c r="R383" s="7" t="inlineStr">
        <is>
          <t>whole</t>
        </is>
      </c>
      <c r="S383" s="7" t="inlineStr">
        <is>
          <t>FG4</t>
        </is>
      </c>
      <c r="T383" s="7" t="n"/>
      <c r="U383" s="7" t="inlineStr">
        <is>
          <t>plant</t>
        </is>
      </c>
      <c r="V383" s="7" t="n"/>
      <c r="W383" s="7" t="n"/>
      <c r="X383" s="55" t="n">
        <v>1</v>
      </c>
      <c r="Y383" s="50" t="n">
        <v>1</v>
      </c>
      <c r="Z383" s="7" t="inlineStr">
        <is>
          <t>declared</t>
        </is>
      </c>
      <c r="AA383" s="19">
        <f>IF(ISBLANK(Welcome!D409),"",Welcome!D409)</f>
        <v/>
      </c>
      <c r="AB383" s="29">
        <f>IF(ISBLANK(Welcome!E409),"",Welcome!E409)</f>
        <v/>
      </c>
      <c r="AC383" s="29">
        <f>IF(N(AB383)&gt;0,N(AB383),N(AA383)*Y383)</f>
        <v/>
      </c>
      <c r="AD383" s="29">
        <f>IF(H383="yes",AC383,0)</f>
        <v/>
      </c>
      <c r="AE383" s="29">
        <f>AD383*N(M383)/100</f>
        <v/>
      </c>
      <c r="AF383" s="29">
        <f>AD383*N(O383)/100</f>
        <v/>
      </c>
      <c r="AG383" s="29">
        <f>AD383*N(P383)/100</f>
        <v/>
      </c>
      <c r="AH383" s="50">
        <f>IF(Q383="yes",AD383/1000,0)</f>
        <v/>
      </c>
      <c r="AI383" s="50">
        <f>IF(S383="FG2",AH383*X383,AH383)</f>
        <v/>
      </c>
    </row>
    <row r="384">
      <c r="A384" s="7" t="inlineStr">
        <is>
          <t>HM00497</t>
        </is>
      </c>
      <c r="B384" s="16" t="inlineStr">
        <is>
          <t>8712345128654</t>
        </is>
      </c>
      <c r="C384" s="7" t="inlineStr">
        <is>
          <t>MAYONNAISE 400G CASTELNA</t>
        </is>
      </c>
      <c r="D384" s="7" t="inlineStr">
        <is>
          <t>Mayonnaise, 400g</t>
        </is>
      </c>
      <c r="E384" s="7" t="inlineStr">
        <is>
          <t>Castelna</t>
        </is>
      </c>
      <c r="F384" s="7" t="inlineStr">
        <is>
          <t>Grocery</t>
        </is>
      </c>
      <c r="G384" s="7" t="inlineStr">
        <is>
          <t>Condiments</t>
        </is>
      </c>
      <c r="H384" s="7" t="inlineStr">
        <is>
          <t>yes</t>
        </is>
      </c>
      <c r="I384" s="7" t="inlineStr">
        <is>
          <t>Animal core</t>
        </is>
      </c>
      <c r="J384" s="7" t="inlineStr">
        <is>
          <t>Other</t>
        </is>
      </c>
      <c r="K384" s="7" t="inlineStr">
        <is>
          <t>B</t>
        </is>
      </c>
      <c r="L384" s="7" t="inlineStr">
        <is>
          <t>Follows the class</t>
        </is>
      </c>
      <c r="M384" s="51" t="n">
        <v>1.2</v>
      </c>
      <c r="N384" s="7" t="inlineStr">
        <is>
          <t>Declared by the retailer</t>
        </is>
      </c>
      <c r="O384" s="54" t="n">
        <v>0</v>
      </c>
      <c r="P384" s="54" t="n">
        <v>1.2</v>
      </c>
      <c r="Q384" s="7" t="inlineStr">
        <is>
          <t>no</t>
        </is>
      </c>
      <c r="R384" s="7" t="n"/>
      <c r="S384" s="7" t="n"/>
      <c r="T384" s="7" t="n"/>
      <c r="U384" s="7" t="n"/>
      <c r="V384" s="7" t="n"/>
      <c r="W384" s="7" t="inlineStr">
        <is>
          <t>condiment</t>
        </is>
      </c>
      <c r="X384" s="55" t="n">
        <v>1</v>
      </c>
      <c r="Y384" s="50" t="n">
        <v>0.4</v>
      </c>
      <c r="Z384" s="7" t="inlineStr">
        <is>
          <t>declared</t>
        </is>
      </c>
      <c r="AA384" s="19">
        <f>IF(ISBLANK(Welcome!D410),"",Welcome!D410)</f>
        <v/>
      </c>
      <c r="AB384" s="29">
        <f>IF(ISBLANK(Welcome!E410),"",Welcome!E410)</f>
        <v/>
      </c>
      <c r="AC384" s="29">
        <f>IF(N(AB384)&gt;0,N(AB384),N(AA384)*Y384)</f>
        <v/>
      </c>
      <c r="AD384" s="29">
        <f>IF(H384="yes",AC384,0)</f>
        <v/>
      </c>
      <c r="AE384" s="29">
        <f>AD384*N(M384)/100</f>
        <v/>
      </c>
      <c r="AF384" s="29">
        <f>AD384*N(O384)/100</f>
        <v/>
      </c>
      <c r="AG384" s="29">
        <f>AD384*N(P384)/100</f>
        <v/>
      </c>
      <c r="AH384" s="50">
        <f>IF(Q384="yes",AD384/1000,0)</f>
        <v/>
      </c>
      <c r="AI384" s="50">
        <f>IF(S384="FG2",AH384*X384,AH384)</f>
        <v/>
      </c>
    </row>
    <row r="385">
      <c r="A385" s="7" t="inlineStr">
        <is>
          <t>HM00560</t>
        </is>
      </c>
      <c r="B385" s="16" t="inlineStr">
        <is>
          <t>3012345212458</t>
        </is>
      </c>
      <c r="C385" s="7" t="inlineStr">
        <is>
          <t>TARROW BF MINCE 5% 750G</t>
        </is>
      </c>
      <c r="D385" s="7" t="inlineStr">
        <is>
          <t>Beef mince, 5% fat, 750g</t>
        </is>
      </c>
      <c r="E385" s="7" t="inlineStr">
        <is>
          <t>Tarrow Farm</t>
        </is>
      </c>
      <c r="F385" s="7" t="inlineStr">
        <is>
          <t>Fresh Meat &amp; Poultry</t>
        </is>
      </c>
      <c r="G385" s="7" t="inlineStr">
        <is>
          <t>Beef</t>
        </is>
      </c>
      <c r="H385" s="7" t="inlineStr">
        <is>
          <t>yes</t>
        </is>
      </c>
      <c r="I385" s="7" t="inlineStr">
        <is>
          <t>Animal core</t>
        </is>
      </c>
      <c r="J385" s="7" t="inlineStr">
        <is>
          <t>Red meat</t>
        </is>
      </c>
      <c r="K385" s="7" t="inlineStr">
        <is>
          <t>A</t>
        </is>
      </c>
      <c r="L385" s="7" t="inlineStr">
        <is>
          <t>All ingredients on one side</t>
        </is>
      </c>
      <c r="M385" s="51" t="n">
        <v>21.1</v>
      </c>
      <c r="N385" s="7" t="inlineStr">
        <is>
          <t>National food table (CIQUAL in France)</t>
        </is>
      </c>
      <c r="O385" s="54" t="n">
        <v>0</v>
      </c>
      <c r="P385" s="54" t="n">
        <v>21.1</v>
      </c>
      <c r="Q385" s="7" t="inlineStr">
        <is>
          <t>yes</t>
        </is>
      </c>
      <c r="R385" s="7" t="inlineStr">
        <is>
          <t>whole</t>
        </is>
      </c>
      <c r="S385" s="7" t="inlineStr">
        <is>
          <t>FG1</t>
        </is>
      </c>
      <c r="T385" s="7" t="inlineStr">
        <is>
          <t>Red meat</t>
        </is>
      </c>
      <c r="U385" s="7" t="inlineStr">
        <is>
          <t>animal</t>
        </is>
      </c>
      <c r="V385" s="7" t="n"/>
      <c r="W385" s="7" t="n"/>
      <c r="X385" s="55" t="n">
        <v>1</v>
      </c>
      <c r="Y385" s="50" t="n">
        <v>0.75</v>
      </c>
      <c r="Z385" s="7" t="inlineStr">
        <is>
          <t>declared</t>
        </is>
      </c>
      <c r="AA385" s="19">
        <f>IF(ISBLANK(Welcome!D411),"",Welcome!D411)</f>
        <v/>
      </c>
      <c r="AB385" s="29">
        <f>IF(ISBLANK(Welcome!E411),"",Welcome!E411)</f>
        <v/>
      </c>
      <c r="AC385" s="29">
        <f>IF(N(AB385)&gt;0,N(AB385),N(AA385)*Y385)</f>
        <v/>
      </c>
      <c r="AD385" s="29">
        <f>IF(H385="yes",AC385,0)</f>
        <v/>
      </c>
      <c r="AE385" s="29">
        <f>AD385*N(M385)/100</f>
        <v/>
      </c>
      <c r="AF385" s="29">
        <f>AD385*N(O385)/100</f>
        <v/>
      </c>
      <c r="AG385" s="29">
        <f>AD385*N(P385)/100</f>
        <v/>
      </c>
      <c r="AH385" s="50">
        <f>IF(Q385="yes",AD385/1000,0)</f>
        <v/>
      </c>
      <c r="AI385" s="50">
        <f>IF(S385="FG2",AH385*X385,AH385)</f>
        <v/>
      </c>
    </row>
    <row r="386">
      <c r="A386" s="7" t="inlineStr">
        <is>
          <t>HM00519</t>
        </is>
      </c>
      <c r="B386" s="16" t="inlineStr">
        <is>
          <t>3012345798198</t>
        </is>
      </c>
      <c r="C386" s="7" t="inlineStr">
        <is>
          <t>HASH BROWNS 900G PENROCK</t>
        </is>
      </c>
      <c r="D386" s="7" t="inlineStr">
        <is>
          <t>Hash browns, 900g</t>
        </is>
      </c>
      <c r="E386" s="7" t="inlineStr">
        <is>
          <t>Penrock</t>
        </is>
      </c>
      <c r="F386" s="7" t="inlineStr">
        <is>
          <t>Frozen</t>
        </is>
      </c>
      <c r="G386" s="7" t="inlineStr">
        <is>
          <t>Frozen Potatoes</t>
        </is>
      </c>
      <c r="H386" s="7" t="inlineStr">
        <is>
          <t>yes</t>
        </is>
      </c>
      <c r="I386" s="7" t="inlineStr">
        <is>
          <t>Plant-based non-core</t>
        </is>
      </c>
      <c r="J386" s="7" t="inlineStr">
        <is>
          <t>Discretionary products</t>
        </is>
      </c>
      <c r="K386" s="7" t="inlineStr">
        <is>
          <t>B</t>
        </is>
      </c>
      <c r="L386" s="7" t="inlineStr">
        <is>
          <t>Follows the class</t>
        </is>
      </c>
      <c r="M386" s="51" t="n">
        <v>2.6</v>
      </c>
      <c r="N386" s="7" t="inlineStr">
        <is>
          <t>Open Food Facts and NEVO, by EAN</t>
        </is>
      </c>
      <c r="O386" s="54" t="n">
        <v>2.6</v>
      </c>
      <c r="P386" s="54" t="n">
        <v>0</v>
      </c>
      <c r="Q386" s="7" t="inlineStr">
        <is>
          <t>yes</t>
        </is>
      </c>
      <c r="R386" s="7" t="inlineStr">
        <is>
          <t>whole</t>
        </is>
      </c>
      <c r="S386" s="7" t="inlineStr">
        <is>
          <t>FG7</t>
        </is>
      </c>
      <c r="T386" s="7" t="n"/>
      <c r="U386" s="7" t="inlineStr">
        <is>
          <t>plant</t>
        </is>
      </c>
      <c r="V386" s="7" t="n"/>
      <c r="W386" s="7" t="n"/>
      <c r="X386" s="55" t="n">
        <v>1</v>
      </c>
      <c r="Y386" s="50" t="n">
        <v>0.9</v>
      </c>
      <c r="Z386" s="7" t="inlineStr">
        <is>
          <t>label</t>
        </is>
      </c>
      <c r="AA386" s="19">
        <f>IF(ISBLANK(Welcome!D412),"",Welcome!D412)</f>
        <v/>
      </c>
      <c r="AB386" s="29">
        <f>IF(ISBLANK(Welcome!E412),"",Welcome!E412)</f>
        <v/>
      </c>
      <c r="AC386" s="29">
        <f>IF(N(AB386)&gt;0,N(AB386),N(AA386)*Y386)</f>
        <v/>
      </c>
      <c r="AD386" s="29">
        <f>IF(H386="yes",AC386,0)</f>
        <v/>
      </c>
      <c r="AE386" s="29">
        <f>AD386*N(M386)/100</f>
        <v/>
      </c>
      <c r="AF386" s="29">
        <f>AD386*N(O386)/100</f>
        <v/>
      </c>
      <c r="AG386" s="29">
        <f>AD386*N(P386)/100</f>
        <v/>
      </c>
      <c r="AH386" s="50">
        <f>IF(Q386="yes",AD386/1000,0)</f>
        <v/>
      </c>
      <c r="AI386" s="50">
        <f>IF(S386="FG2",AH386*X386,AH386)</f>
        <v/>
      </c>
    </row>
    <row r="387">
      <c r="A387" s="7" t="inlineStr">
        <is>
          <t>HM00216</t>
        </is>
      </c>
      <c r="B387" s="16" t="inlineStr">
        <is>
          <t>4012345101560</t>
        </is>
      </c>
      <c r="C387" s="7" t="inlineStr">
        <is>
          <t>TOM BASIL PASTA SCE 690G CASTELNA</t>
        </is>
      </c>
      <c r="D387" s="7" t="inlineStr">
        <is>
          <t>Tomato &amp; basil pasta sauce, 690g</t>
        </is>
      </c>
      <c r="E387" s="7" t="inlineStr">
        <is>
          <t>Castelna</t>
        </is>
      </c>
      <c r="F387" s="7" t="inlineStr">
        <is>
          <t>Grocery</t>
        </is>
      </c>
      <c r="G387" s="7" t="inlineStr">
        <is>
          <t>Canned Vegetables</t>
        </is>
      </c>
      <c r="H387" s="7" t="inlineStr">
        <is>
          <t>yes</t>
        </is>
      </c>
      <c r="I387" s="7" t="inlineStr">
        <is>
          <t>Plant-based non-core</t>
        </is>
      </c>
      <c r="J387" s="7" t="inlineStr">
        <is>
          <t>Fruit and vegetables</t>
        </is>
      </c>
      <c r="K387" s="7" t="inlineStr">
        <is>
          <t>A</t>
        </is>
      </c>
      <c r="L387" s="7" t="inlineStr">
        <is>
          <t>All ingredients on one side</t>
        </is>
      </c>
      <c r="M387" s="51" t="n">
        <v>1.6</v>
      </c>
      <c r="N387" s="7" t="inlineStr">
        <is>
          <t>Declared by the retailer</t>
        </is>
      </c>
      <c r="O387" s="54" t="n">
        <v>1.6</v>
      </c>
      <c r="P387" s="54" t="n">
        <v>0</v>
      </c>
      <c r="Q387" s="7" t="inlineStr">
        <is>
          <t>yes</t>
        </is>
      </c>
      <c r="R387" s="7" t="inlineStr">
        <is>
          <t>whole</t>
        </is>
      </c>
      <c r="S387" s="7" t="inlineStr">
        <is>
          <t>FG4</t>
        </is>
      </c>
      <c r="T387" s="7" t="n"/>
      <c r="U387" s="7" t="inlineStr">
        <is>
          <t>plant</t>
        </is>
      </c>
      <c r="V387" s="7" t="n"/>
      <c r="W387" s="7" t="n"/>
      <c r="X387" s="55" t="n">
        <v>1</v>
      </c>
      <c r="Y387" s="50" t="n">
        <v>0.6899999999999999</v>
      </c>
      <c r="Z387" s="7" t="inlineStr">
        <is>
          <t>declared</t>
        </is>
      </c>
      <c r="AA387" s="19">
        <f>IF(ISBLANK(Welcome!D413),"",Welcome!D413)</f>
        <v/>
      </c>
      <c r="AB387" s="29">
        <f>IF(ISBLANK(Welcome!E413),"",Welcome!E413)</f>
        <v/>
      </c>
      <c r="AC387" s="29">
        <f>IF(N(AB387)&gt;0,N(AB387),N(AA387)*Y387)</f>
        <v/>
      </c>
      <c r="AD387" s="29">
        <f>IF(H387="yes",AC387,0)</f>
        <v/>
      </c>
      <c r="AE387" s="29">
        <f>AD387*N(M387)/100</f>
        <v/>
      </c>
      <c r="AF387" s="29">
        <f>AD387*N(O387)/100</f>
        <v/>
      </c>
      <c r="AG387" s="29">
        <f>AD387*N(P387)/100</f>
        <v/>
      </c>
      <c r="AH387" s="50">
        <f>IF(Q387="yes",AD387/1000,0)</f>
        <v/>
      </c>
      <c r="AI387" s="50">
        <f>IF(S387="FG2",AH387*X387,AH387)</f>
        <v/>
      </c>
    </row>
    <row r="388">
      <c r="A388" s="7" t="inlineStr">
        <is>
          <t>HM00410</t>
        </is>
      </c>
      <c r="B388" s="16" t="inlineStr">
        <is>
          <t>8712345182922</t>
        </is>
      </c>
      <c r="C388" s="7" t="inlineStr">
        <is>
          <t>PENROCK HASH BROWNS 1.5KG</t>
        </is>
      </c>
      <c r="D388" s="7" t="inlineStr">
        <is>
          <t>Hash browns, 1.5kg</t>
        </is>
      </c>
      <c r="E388" s="7" t="inlineStr">
        <is>
          <t>Penrock</t>
        </is>
      </c>
      <c r="F388" s="7" t="inlineStr">
        <is>
          <t>Frozen</t>
        </is>
      </c>
      <c r="G388" s="7" t="inlineStr">
        <is>
          <t>Frozen Potatoes</t>
        </is>
      </c>
      <c r="H388" s="7" t="inlineStr">
        <is>
          <t>yes</t>
        </is>
      </c>
      <c r="I388" s="7" t="inlineStr">
        <is>
          <t>Plant-based non-core</t>
        </is>
      </c>
      <c r="J388" s="7" t="inlineStr">
        <is>
          <t>Discretionary products</t>
        </is>
      </c>
      <c r="K388" s="7" t="inlineStr">
        <is>
          <t>B</t>
        </is>
      </c>
      <c r="L388" s="7" t="inlineStr">
        <is>
          <t>Follows the class</t>
        </is>
      </c>
      <c r="M388" s="51" t="n">
        <v>2.6</v>
      </c>
      <c r="N388" s="7" t="inlineStr">
        <is>
          <t>Declared by the retailer</t>
        </is>
      </c>
      <c r="O388" s="54" t="n">
        <v>2.6</v>
      </c>
      <c r="P388" s="54" t="n">
        <v>0</v>
      </c>
      <c r="Q388" s="7" t="inlineStr">
        <is>
          <t>yes</t>
        </is>
      </c>
      <c r="R388" s="7" t="inlineStr">
        <is>
          <t>whole</t>
        </is>
      </c>
      <c r="S388" s="7" t="inlineStr">
        <is>
          <t>FG7</t>
        </is>
      </c>
      <c r="T388" s="7" t="n"/>
      <c r="U388" s="7" t="inlineStr">
        <is>
          <t>plant</t>
        </is>
      </c>
      <c r="V388" s="7" t="n"/>
      <c r="W388" s="7" t="n"/>
      <c r="X388" s="55" t="n">
        <v>1</v>
      </c>
      <c r="Y388" s="50" t="n">
        <v>1.5</v>
      </c>
      <c r="Z388" s="7" t="inlineStr">
        <is>
          <t>label</t>
        </is>
      </c>
      <c r="AA388" s="19">
        <f>IF(ISBLANK(Welcome!D414),"",Welcome!D414)</f>
        <v/>
      </c>
      <c r="AB388" s="29">
        <f>IF(ISBLANK(Welcome!E414),"",Welcome!E414)</f>
        <v/>
      </c>
      <c r="AC388" s="29">
        <f>IF(N(AB388)&gt;0,N(AB388),N(AA388)*Y388)</f>
        <v/>
      </c>
      <c r="AD388" s="29">
        <f>IF(H388="yes",AC388,0)</f>
        <v/>
      </c>
      <c r="AE388" s="29">
        <f>AD388*N(M388)/100</f>
        <v/>
      </c>
      <c r="AF388" s="29">
        <f>AD388*N(O388)/100</f>
        <v/>
      </c>
      <c r="AG388" s="29">
        <f>AD388*N(P388)/100</f>
        <v/>
      </c>
      <c r="AH388" s="50">
        <f>IF(Q388="yes",AD388/1000,0)</f>
        <v/>
      </c>
      <c r="AI388" s="50">
        <f>IF(S388="FG2",AH388*X388,AH388)</f>
        <v/>
      </c>
    </row>
    <row r="389">
      <c r="A389" s="7" t="inlineStr">
        <is>
          <t>HM00068</t>
        </is>
      </c>
      <c r="B389" s="16" t="inlineStr">
        <is>
          <t>5012345439716</t>
        </is>
      </c>
      <c r="C389" s="7" t="inlineStr">
        <is>
          <t>TKY BREAST SLICES 180G TARROW</t>
        </is>
      </c>
      <c r="D389" s="7" t="inlineStr">
        <is>
          <t>Turkey breast slices, 180g</t>
        </is>
      </c>
      <c r="E389" s="7" t="inlineStr">
        <is>
          <t>Tarrow Farm</t>
        </is>
      </c>
      <c r="F389" s="7" t="inlineStr">
        <is>
          <t>Deli</t>
        </is>
      </c>
      <c r="G389" s="7" t="inlineStr">
        <is>
          <t>Cooked Meats</t>
        </is>
      </c>
      <c r="H389" s="7" t="inlineStr">
        <is>
          <t>yes</t>
        </is>
      </c>
      <c r="I389" s="7" t="inlineStr">
        <is>
          <t>Animal core</t>
        </is>
      </c>
      <c r="J389" s="7" t="inlineStr">
        <is>
          <t>Dishes and processed products</t>
        </is>
      </c>
      <c r="K389" s="7" t="inlineStr">
        <is>
          <t>B</t>
        </is>
      </c>
      <c r="L389" s="7" t="inlineStr">
        <is>
          <t>Follows the class</t>
        </is>
      </c>
      <c r="M389" s="51" t="n">
        <v>22.9</v>
      </c>
      <c r="N389" s="7" t="inlineStr">
        <is>
          <t>Declared by the retailer</t>
        </is>
      </c>
      <c r="O389" s="54" t="n">
        <v>0</v>
      </c>
      <c r="P389" s="54" t="n">
        <v>22.9</v>
      </c>
      <c r="Q389" s="7" t="inlineStr">
        <is>
          <t>yes</t>
        </is>
      </c>
      <c r="R389" s="7" t="inlineStr">
        <is>
          <t>whole</t>
        </is>
      </c>
      <c r="S389" s="7" t="inlineStr">
        <is>
          <t>FG1</t>
        </is>
      </c>
      <c r="T389" s="7" t="inlineStr">
        <is>
          <t>Poultry</t>
        </is>
      </c>
      <c r="U389" s="7" t="inlineStr">
        <is>
          <t>animal</t>
        </is>
      </c>
      <c r="V389" s="7" t="n"/>
      <c r="W389" s="7" t="n"/>
      <c r="X389" s="55" t="n">
        <v>1</v>
      </c>
      <c r="Y389" s="50" t="n">
        <v>0.18</v>
      </c>
      <c r="Z389" s="7" t="inlineStr">
        <is>
          <t>declared</t>
        </is>
      </c>
      <c r="AA389" s="19">
        <f>IF(ISBLANK(Welcome!D415),"",Welcome!D415)</f>
        <v/>
      </c>
      <c r="AB389" s="29">
        <f>IF(ISBLANK(Welcome!E415),"",Welcome!E415)</f>
        <v/>
      </c>
      <c r="AC389" s="29">
        <f>IF(N(AB389)&gt;0,N(AB389),N(AA389)*Y389)</f>
        <v/>
      </c>
      <c r="AD389" s="29">
        <f>IF(H389="yes",AC389,0)</f>
        <v/>
      </c>
      <c r="AE389" s="29">
        <f>AD389*N(M389)/100</f>
        <v/>
      </c>
      <c r="AF389" s="29">
        <f>AD389*N(O389)/100</f>
        <v/>
      </c>
      <c r="AG389" s="29">
        <f>AD389*N(P389)/100</f>
        <v/>
      </c>
      <c r="AH389" s="50">
        <f>IF(Q389="yes",AD389/1000,0)</f>
        <v/>
      </c>
      <c r="AI389" s="50">
        <f>IF(S389="FG2",AH389*X389,AH389)</f>
        <v/>
      </c>
    </row>
    <row r="390">
      <c r="A390" s="7" t="inlineStr">
        <is>
          <t>HM00476</t>
        </is>
      </c>
      <c r="B390" s="16" t="inlineStr">
        <is>
          <t>5012345470511</t>
        </is>
      </c>
      <c r="C390" s="7" t="inlineStr">
        <is>
          <t>HM PORK SHLDR JOINT 400G</t>
        </is>
      </c>
      <c r="D390" s="7" t="inlineStr">
        <is>
          <t>Pork shoulder joint, 400g</t>
        </is>
      </c>
      <c r="E390" s="7" t="inlineStr">
        <is>
          <t>Harbour Market</t>
        </is>
      </c>
      <c r="F390" s="7" t="inlineStr">
        <is>
          <t>Fresh Meat &amp; Poultry</t>
        </is>
      </c>
      <c r="G390" s="7" t="inlineStr">
        <is>
          <t>Pork</t>
        </is>
      </c>
      <c r="H390" s="7" t="inlineStr">
        <is>
          <t>yes</t>
        </is>
      </c>
      <c r="I390" s="7" t="inlineStr">
        <is>
          <t>Animal core</t>
        </is>
      </c>
      <c r="J390" s="7" t="inlineStr">
        <is>
          <t>Red meat</t>
        </is>
      </c>
      <c r="K390" s="7" t="inlineStr">
        <is>
          <t>B</t>
        </is>
      </c>
      <c r="L390" s="7" t="inlineStr">
        <is>
          <t>Follows the class</t>
        </is>
      </c>
      <c r="M390" s="51" t="n">
        <v>19.5</v>
      </c>
      <c r="N390" s="7" t="inlineStr">
        <is>
          <t>Open Food Facts and NEVO, by EAN</t>
        </is>
      </c>
      <c r="O390" s="54" t="n">
        <v>0</v>
      </c>
      <c r="P390" s="54" t="n">
        <v>19.5</v>
      </c>
      <c r="Q390" s="7" t="inlineStr">
        <is>
          <t>yes</t>
        </is>
      </c>
      <c r="R390" s="7" t="inlineStr">
        <is>
          <t>whole</t>
        </is>
      </c>
      <c r="S390" s="7" t="inlineStr">
        <is>
          <t>FG1</t>
        </is>
      </c>
      <c r="T390" s="7" t="inlineStr">
        <is>
          <t>Red meat</t>
        </is>
      </c>
      <c r="U390" s="7" t="inlineStr">
        <is>
          <t>animal</t>
        </is>
      </c>
      <c r="V390" s="7" t="n"/>
      <c r="W390" s="7" t="n"/>
      <c r="X390" s="55" t="n">
        <v>1</v>
      </c>
      <c r="Y390" s="50" t="n">
        <v>0.4</v>
      </c>
      <c r="Z390" s="7" t="inlineStr">
        <is>
          <t>declared</t>
        </is>
      </c>
      <c r="AA390" s="19">
        <f>IF(ISBLANK(Welcome!D416),"",Welcome!D416)</f>
        <v/>
      </c>
      <c r="AB390" s="29">
        <f>IF(ISBLANK(Welcome!E416),"",Welcome!E416)</f>
        <v/>
      </c>
      <c r="AC390" s="29">
        <f>IF(N(AB390)&gt;0,N(AB390),N(AA390)*Y390)</f>
        <v/>
      </c>
      <c r="AD390" s="29">
        <f>IF(H390="yes",AC390,0)</f>
        <v/>
      </c>
      <c r="AE390" s="29">
        <f>AD390*N(M390)/100</f>
        <v/>
      </c>
      <c r="AF390" s="29">
        <f>AD390*N(O390)/100</f>
        <v/>
      </c>
      <c r="AG390" s="29">
        <f>AD390*N(P390)/100</f>
        <v/>
      </c>
      <c r="AH390" s="50">
        <f>IF(Q390="yes",AD390/1000,0)</f>
        <v/>
      </c>
      <c r="AI390" s="50">
        <f>IF(S390="FG2",AH390*X390,AH390)</f>
        <v/>
      </c>
    </row>
    <row r="391">
      <c r="A391" s="7" t="inlineStr">
        <is>
          <t>HM00197</t>
        </is>
      </c>
      <c r="B391" s="16" t="inlineStr">
        <is>
          <t>2748142491610</t>
        </is>
      </c>
      <c r="C391" s="7" t="inlineStr">
        <is>
          <t>HM LEEKS KG</t>
        </is>
      </c>
      <c r="D391" s="7" t="inlineStr">
        <is>
          <t>Leeks</t>
        </is>
      </c>
      <c r="E391" s="7" t="inlineStr">
        <is>
          <t>Harbour Market</t>
        </is>
      </c>
      <c r="F391" s="7" t="inlineStr">
        <is>
          <t>Fruit &amp; Vegetables</t>
        </is>
      </c>
      <c r="G391" s="7" t="inlineStr">
        <is>
          <t>Vegetables</t>
        </is>
      </c>
      <c r="H391" s="7" t="inlineStr">
        <is>
          <t>yes</t>
        </is>
      </c>
      <c r="I391" s="7" t="inlineStr">
        <is>
          <t>Plant-based non-core</t>
        </is>
      </c>
      <c r="J391" s="7" t="inlineStr">
        <is>
          <t>Fruit and vegetables</t>
        </is>
      </c>
      <c r="K391" s="7" t="inlineStr">
        <is>
          <t>B</t>
        </is>
      </c>
      <c r="L391" s="7" t="inlineStr">
        <is>
          <t>Follows the class</t>
        </is>
      </c>
      <c r="M391" s="51" t="n">
        <v>1.5</v>
      </c>
      <c r="N391" s="7" t="inlineStr">
        <is>
          <t>National food table (CIQUAL in France)</t>
        </is>
      </c>
      <c r="O391" s="54" t="n">
        <v>1.5</v>
      </c>
      <c r="P391" s="54" t="n">
        <v>0</v>
      </c>
      <c r="Q391" s="7" t="inlineStr">
        <is>
          <t>yes</t>
        </is>
      </c>
      <c r="R391" s="7" t="inlineStr">
        <is>
          <t>whole</t>
        </is>
      </c>
      <c r="S391" s="7" t="inlineStr">
        <is>
          <t>FG4</t>
        </is>
      </c>
      <c r="T391" s="7" t="n"/>
      <c r="U391" s="7" t="inlineStr">
        <is>
          <t>plant</t>
        </is>
      </c>
      <c r="V391" s="7" t="n"/>
      <c r="W391" s="7" t="n"/>
      <c r="X391" s="55" t="n">
        <v>1</v>
      </c>
      <c r="Y391" s="50" t="n">
        <v>1</v>
      </c>
      <c r="Z391" s="7" t="inlineStr">
        <is>
          <t>variable</t>
        </is>
      </c>
      <c r="AA391" s="19">
        <f>IF(ISBLANK(Welcome!D417),"",Welcome!D417)</f>
        <v/>
      </c>
      <c r="AB391" s="29">
        <f>IF(ISBLANK(Welcome!E417),"",Welcome!E417)</f>
        <v/>
      </c>
      <c r="AC391" s="29">
        <f>IF(N(AB391)&gt;0,N(AB391),N(AA391)*Y391)</f>
        <v/>
      </c>
      <c r="AD391" s="29">
        <f>IF(H391="yes",AC391,0)</f>
        <v/>
      </c>
      <c r="AE391" s="29">
        <f>AD391*N(M391)/100</f>
        <v/>
      </c>
      <c r="AF391" s="29">
        <f>AD391*N(O391)/100</f>
        <v/>
      </c>
      <c r="AG391" s="29">
        <f>AD391*N(P391)/100</f>
        <v/>
      </c>
      <c r="AH391" s="50">
        <f>IF(Q391="yes",AD391/1000,0)</f>
        <v/>
      </c>
      <c r="AI391" s="50">
        <f>IF(S391="FG2",AH391*X391,AH391)</f>
        <v/>
      </c>
    </row>
    <row r="392">
      <c r="A392" s="7" t="inlineStr">
        <is>
          <t>HM00411</t>
        </is>
      </c>
      <c r="B392" s="16" t="inlineStr">
        <is>
          <t>5012345635132</t>
        </is>
      </c>
      <c r="C392" s="7" t="inlineStr">
        <is>
          <t>HM BRAN FLAKES 750G</t>
        </is>
      </c>
      <c r="D392" s="7" t="inlineStr">
        <is>
          <t>Bran flakes, 750g</t>
        </is>
      </c>
      <c r="E392" s="7" t="inlineStr">
        <is>
          <t>Harbour Market</t>
        </is>
      </c>
      <c r="F392" s="7" t="inlineStr">
        <is>
          <t>Breakfast &amp; Snacks</t>
        </is>
      </c>
      <c r="G392" s="7" t="inlineStr">
        <is>
          <t>Cereals</t>
        </is>
      </c>
      <c r="H392" s="7" t="inlineStr">
        <is>
          <t>yes</t>
        </is>
      </c>
      <c r="I392" s="7" t="inlineStr">
        <is>
          <t>Plant-based non-core</t>
        </is>
      </c>
      <c r="J392" s="7" t="inlineStr">
        <is>
          <t>Whole grains</t>
        </is>
      </c>
      <c r="K392" s="7" t="inlineStr">
        <is>
          <t>B</t>
        </is>
      </c>
      <c r="L392" s="7" t="inlineStr">
        <is>
          <t>Follows the class</t>
        </is>
      </c>
      <c r="M392" s="51" t="n">
        <v>10</v>
      </c>
      <c r="N392" s="7" t="inlineStr">
        <is>
          <t>Declared by the retailer</t>
        </is>
      </c>
      <c r="O392" s="54" t="n">
        <v>10</v>
      </c>
      <c r="P392" s="54" t="n">
        <v>0</v>
      </c>
      <c r="Q392" s="7" t="inlineStr">
        <is>
          <t>yes</t>
        </is>
      </c>
      <c r="R392" s="7" t="inlineStr">
        <is>
          <t>whole</t>
        </is>
      </c>
      <c r="S392" s="7" t="inlineStr">
        <is>
          <t>FG5</t>
        </is>
      </c>
      <c r="T392" s="7" t="inlineStr">
        <is>
          <t>Whole grain</t>
        </is>
      </c>
      <c r="U392" s="7" t="inlineStr">
        <is>
          <t>plant</t>
        </is>
      </c>
      <c r="V392" s="7" t="n"/>
      <c r="W392" s="7" t="n"/>
      <c r="X392" s="55" t="n">
        <v>1</v>
      </c>
      <c r="Y392" s="50" t="n">
        <v>0.75</v>
      </c>
      <c r="Z392" s="7" t="inlineStr">
        <is>
          <t>declared</t>
        </is>
      </c>
      <c r="AA392" s="19">
        <f>IF(ISBLANK(Welcome!D418),"",Welcome!D418)</f>
        <v/>
      </c>
      <c r="AB392" s="29">
        <f>IF(ISBLANK(Welcome!E418),"",Welcome!E418)</f>
        <v/>
      </c>
      <c r="AC392" s="29">
        <f>IF(N(AB392)&gt;0,N(AB392),N(AA392)*Y392)</f>
        <v/>
      </c>
      <c r="AD392" s="29">
        <f>IF(H392="yes",AC392,0)</f>
        <v/>
      </c>
      <c r="AE392" s="29">
        <f>AD392*N(M392)/100</f>
        <v/>
      </c>
      <c r="AF392" s="29">
        <f>AD392*N(O392)/100</f>
        <v/>
      </c>
      <c r="AG392" s="29">
        <f>AD392*N(P392)/100</f>
        <v/>
      </c>
      <c r="AH392" s="50">
        <f>IF(Q392="yes",AD392/1000,0)</f>
        <v/>
      </c>
      <c r="AI392" s="50">
        <f>IF(S392="FG2",AH392*X392,AH392)</f>
        <v/>
      </c>
    </row>
    <row r="393">
      <c r="A393" s="7" t="inlineStr">
        <is>
          <t>HM00159</t>
        </is>
      </c>
      <c r="B393" s="16" t="inlineStr">
        <is>
          <t>5012345509075</t>
        </is>
      </c>
      <c r="C393" s="7" t="inlineStr">
        <is>
          <t>HM WALNUT HALVES 100G</t>
        </is>
      </c>
      <c r="D393" s="7" t="inlineStr">
        <is>
          <t>Walnut halves, 100g</t>
        </is>
      </c>
      <c r="E393" s="7" t="inlineStr">
        <is>
          <t>Harbour Market</t>
        </is>
      </c>
      <c r="F393" s="7" t="inlineStr">
        <is>
          <t>Grocery</t>
        </is>
      </c>
      <c r="G393" s="7" t="inlineStr">
        <is>
          <t>Nuts &amp; Seeds</t>
        </is>
      </c>
      <c r="H393" s="7" t="inlineStr">
        <is>
          <t>yes</t>
        </is>
      </c>
      <c r="I393" s="7" t="inlineStr">
        <is>
          <t>Plant-based core</t>
        </is>
      </c>
      <c r="J393" s="7" t="inlineStr">
        <is>
          <t>Nuts</t>
        </is>
      </c>
      <c r="K393" s="7" t="inlineStr">
        <is>
          <t>A</t>
        </is>
      </c>
      <c r="L393" s="7" t="inlineStr">
        <is>
          <t>All ingredients on one side</t>
        </is>
      </c>
      <c r="M393" s="51" t="n">
        <v>14.5</v>
      </c>
      <c r="N393" s="7" t="inlineStr">
        <is>
          <t>Declared by the retailer</t>
        </is>
      </c>
      <c r="O393" s="54" t="n">
        <v>14.5</v>
      </c>
      <c r="P393" s="54" t="n">
        <v>0</v>
      </c>
      <c r="Q393" s="7" t="inlineStr">
        <is>
          <t>yes</t>
        </is>
      </c>
      <c r="R393" s="7" t="inlineStr">
        <is>
          <t>whole</t>
        </is>
      </c>
      <c r="S393" s="7" t="inlineStr">
        <is>
          <t>FG1</t>
        </is>
      </c>
      <c r="T393" s="7" t="inlineStr">
        <is>
          <t>Nuts</t>
        </is>
      </c>
      <c r="U393" s="7" t="inlineStr">
        <is>
          <t>plant</t>
        </is>
      </c>
      <c r="V393" s="7" t="n"/>
      <c r="W393" s="7" t="n"/>
      <c r="X393" s="55" t="n">
        <v>1</v>
      </c>
      <c r="Y393" s="50" t="n">
        <v>0.1</v>
      </c>
      <c r="Z393" s="7" t="inlineStr">
        <is>
          <t>declared</t>
        </is>
      </c>
      <c r="AA393" s="19">
        <f>IF(ISBLANK(Welcome!D419),"",Welcome!D419)</f>
        <v/>
      </c>
      <c r="AB393" s="29">
        <f>IF(ISBLANK(Welcome!E419),"",Welcome!E419)</f>
        <v/>
      </c>
      <c r="AC393" s="29">
        <f>IF(N(AB393)&gt;0,N(AB393),N(AA393)*Y393)</f>
        <v/>
      </c>
      <c r="AD393" s="29">
        <f>IF(H393="yes",AC393,0)</f>
        <v/>
      </c>
      <c r="AE393" s="29">
        <f>AD393*N(M393)/100</f>
        <v/>
      </c>
      <c r="AF393" s="29">
        <f>AD393*N(O393)/100</f>
        <v/>
      </c>
      <c r="AG393" s="29">
        <f>AD393*N(P393)/100</f>
        <v/>
      </c>
      <c r="AH393" s="50">
        <f>IF(Q393="yes",AD393/1000,0)</f>
        <v/>
      </c>
      <c r="AI393" s="50">
        <f>IF(S393="FG2",AH393*X393,AH393)</f>
        <v/>
      </c>
    </row>
    <row r="394">
      <c r="A394" s="7" t="inlineStr">
        <is>
          <t>HM00380</t>
        </is>
      </c>
      <c r="B394" s="16" t="inlineStr">
        <is>
          <t>4012345528206</t>
        </is>
      </c>
      <c r="C394" s="7" t="inlineStr">
        <is>
          <t>MARLOWE MILK CHOC BAR 200G</t>
        </is>
      </c>
      <c r="D394" s="7" t="inlineStr">
        <is>
          <t>Milk chocolate bar, 200g</t>
        </is>
      </c>
      <c r="E394" s="7" t="inlineStr">
        <is>
          <t>Marlowe</t>
        </is>
      </c>
      <c r="F394" s="7" t="inlineStr">
        <is>
          <t>Breakfast &amp; Snacks</t>
        </is>
      </c>
      <c r="G394" s="7" t="inlineStr">
        <is>
          <t>Chocolate</t>
        </is>
      </c>
      <c r="H394" s="7" t="inlineStr">
        <is>
          <t>yes</t>
        </is>
      </c>
      <c r="I394" s="7" t="inlineStr">
        <is>
          <t>Animal &amp; plant composite</t>
        </is>
      </c>
      <c r="J394" s="7" t="inlineStr">
        <is>
          <t>Discretionary products</t>
        </is>
      </c>
      <c r="K394" s="7" t="inlineStr">
        <is>
          <t>A</t>
        </is>
      </c>
      <c r="L394" s="7" t="inlineStr">
        <is>
          <t>Ingredient list</t>
        </is>
      </c>
      <c r="M394" s="51" t="n">
        <v>7.7</v>
      </c>
      <c r="N394" s="7" t="inlineStr">
        <is>
          <t>Declared by the retailer</t>
        </is>
      </c>
      <c r="O394" s="54" t="n">
        <v>3.54</v>
      </c>
      <c r="P394" s="54" t="n">
        <v>4.16</v>
      </c>
      <c r="Q394" s="7" t="inlineStr">
        <is>
          <t>yes</t>
        </is>
      </c>
      <c r="R394" s="7" t="inlineStr">
        <is>
          <t>whole</t>
        </is>
      </c>
      <c r="S394" s="7" t="inlineStr">
        <is>
          <t>FG7</t>
        </is>
      </c>
      <c r="T394" s="7" t="n"/>
      <c r="U394" s="7" t="inlineStr">
        <is>
          <t>plant</t>
        </is>
      </c>
      <c r="V394" s="7" t="n"/>
      <c r="W394" s="7" t="n"/>
      <c r="X394" s="55" t="n">
        <v>1</v>
      </c>
      <c r="Y394" s="50" t="n">
        <v>0.2</v>
      </c>
      <c r="Z394" s="7" t="inlineStr">
        <is>
          <t>declared</t>
        </is>
      </c>
      <c r="AA394" s="19">
        <f>IF(ISBLANK(Welcome!D420),"",Welcome!D420)</f>
        <v/>
      </c>
      <c r="AB394" s="29">
        <f>IF(ISBLANK(Welcome!E420),"",Welcome!E420)</f>
        <v/>
      </c>
      <c r="AC394" s="29">
        <f>IF(N(AB394)&gt;0,N(AB394),N(AA394)*Y394)</f>
        <v/>
      </c>
      <c r="AD394" s="29">
        <f>IF(H394="yes",AC394,0)</f>
        <v/>
      </c>
      <c r="AE394" s="29">
        <f>AD394*N(M394)/100</f>
        <v/>
      </c>
      <c r="AF394" s="29">
        <f>AD394*N(O394)/100</f>
        <v/>
      </c>
      <c r="AG394" s="29">
        <f>AD394*N(P394)/100</f>
        <v/>
      </c>
      <c r="AH394" s="50">
        <f>IF(Q394="yes",AD394/1000,0)</f>
        <v/>
      </c>
      <c r="AI394" s="50">
        <f>IF(S394="FG2",AH394*X394,AH394)</f>
        <v/>
      </c>
    </row>
    <row r="395">
      <c r="A395" s="7" t="inlineStr">
        <is>
          <t>HM00679</t>
        </is>
      </c>
      <c r="B395" s="16" t="inlineStr">
        <is>
          <t>3012345424110</t>
        </is>
      </c>
      <c r="C395" s="7" t="inlineStr">
        <is>
          <t>MILK CHOC BUTTONS 4X40G MARLOWE</t>
        </is>
      </c>
      <c r="D395" s="7" t="inlineStr">
        <is>
          <t>Milk chocolate buttons, 4x40g</t>
        </is>
      </c>
      <c r="E395" s="7" t="inlineStr">
        <is>
          <t>Marlowe</t>
        </is>
      </c>
      <c r="F395" s="7" t="inlineStr">
        <is>
          <t>Breakfast &amp; Snacks</t>
        </is>
      </c>
      <c r="G395" s="7" t="inlineStr">
        <is>
          <t>Chocolate</t>
        </is>
      </c>
      <c r="H395" s="7" t="inlineStr">
        <is>
          <t>yes</t>
        </is>
      </c>
      <c r="I395" s="7" t="inlineStr">
        <is>
          <t>Animal &amp; plant composite</t>
        </is>
      </c>
      <c r="J395" s="7" t="inlineStr">
        <is>
          <t>Discretionary products</t>
        </is>
      </c>
      <c r="K395" s="7" t="inlineStr">
        <is>
          <t>A</t>
        </is>
      </c>
      <c r="L395" s="7" t="inlineStr">
        <is>
          <t>Ingredient list</t>
        </is>
      </c>
      <c r="M395" s="51" t="n">
        <v>7.6</v>
      </c>
      <c r="N395" s="7" t="inlineStr">
        <is>
          <t>Altera reference base</t>
        </is>
      </c>
      <c r="O395" s="54" t="n">
        <v>3.5</v>
      </c>
      <c r="P395" s="54" t="n">
        <v>4.1</v>
      </c>
      <c r="Q395" s="7" t="inlineStr">
        <is>
          <t>yes</t>
        </is>
      </c>
      <c r="R395" s="7" t="inlineStr">
        <is>
          <t>whole</t>
        </is>
      </c>
      <c r="S395" s="7" t="inlineStr">
        <is>
          <t>FG7</t>
        </is>
      </c>
      <c r="T395" s="7" t="n"/>
      <c r="U395" s="7" t="inlineStr">
        <is>
          <t>plant</t>
        </is>
      </c>
      <c r="V395" s="7" t="n"/>
      <c r="W395" s="7" t="n"/>
      <c r="X395" s="55" t="n">
        <v>1</v>
      </c>
      <c r="Y395" s="50" t="n">
        <v>0.16</v>
      </c>
      <c r="Z395" s="7" t="inlineStr">
        <is>
          <t>declared</t>
        </is>
      </c>
      <c r="AA395" s="19">
        <f>IF(ISBLANK(Welcome!D421),"",Welcome!D421)</f>
        <v/>
      </c>
      <c r="AB395" s="29">
        <f>IF(ISBLANK(Welcome!E421),"",Welcome!E421)</f>
        <v/>
      </c>
      <c r="AC395" s="29">
        <f>IF(N(AB395)&gt;0,N(AB395),N(AA395)*Y395)</f>
        <v/>
      </c>
      <c r="AD395" s="29">
        <f>IF(H395="yes",AC395,0)</f>
        <v/>
      </c>
      <c r="AE395" s="29">
        <f>AD395*N(M395)/100</f>
        <v/>
      </c>
      <c r="AF395" s="29">
        <f>AD395*N(O395)/100</f>
        <v/>
      </c>
      <c r="AG395" s="29">
        <f>AD395*N(P395)/100</f>
        <v/>
      </c>
      <c r="AH395" s="50">
        <f>IF(Q395="yes",AD395/1000,0)</f>
        <v/>
      </c>
      <c r="AI395" s="50">
        <f>IF(S395="FG2",AH395*X395,AH395)</f>
        <v/>
      </c>
    </row>
    <row r="396">
      <c r="A396" s="7" t="inlineStr">
        <is>
          <t>HM00044</t>
        </is>
      </c>
      <c r="B396" s="16" t="inlineStr">
        <is>
          <t>4012345297966</t>
        </is>
      </c>
      <c r="C396" s="7" t="inlineStr">
        <is>
          <t>HM VEG CURRY RICE 400G</t>
        </is>
      </c>
      <c r="D396" s="7" t="inlineStr">
        <is>
          <t>Vegetable curry with rice, 400g</t>
        </is>
      </c>
      <c r="E396" s="7" t="inlineStr">
        <is>
          <t>Harbour Market</t>
        </is>
      </c>
      <c r="F396" s="7" t="inlineStr">
        <is>
          <t>Ready Meals</t>
        </is>
      </c>
      <c r="G396" s="7" t="inlineStr">
        <is>
          <t>Ready Meals</t>
        </is>
      </c>
      <c r="H396" s="7" t="inlineStr">
        <is>
          <t>yes</t>
        </is>
      </c>
      <c r="I396" s="7" t="inlineStr">
        <is>
          <t>Plant-based non-core</t>
        </is>
      </c>
      <c r="J396" s="7" t="inlineStr">
        <is>
          <t>Other</t>
        </is>
      </c>
      <c r="K396" s="7" t="inlineStr">
        <is>
          <t>A</t>
        </is>
      </c>
      <c r="L396" s="7" t="inlineStr">
        <is>
          <t>All ingredients on one side</t>
        </is>
      </c>
      <c r="M396" s="51" t="n">
        <v>4.1</v>
      </c>
      <c r="N396" s="7" t="inlineStr">
        <is>
          <t>Median of the family</t>
        </is>
      </c>
      <c r="O396" s="54" t="n">
        <v>4.1</v>
      </c>
      <c r="P396" s="54" t="n">
        <v>0</v>
      </c>
      <c r="Q396" s="7" t="inlineStr">
        <is>
          <t>yes</t>
        </is>
      </c>
      <c r="R396" s="7" t="inlineStr">
        <is>
          <t>composite</t>
        </is>
      </c>
      <c r="S396" s="7" t="n"/>
      <c r="T396" s="7" t="n"/>
      <c r="U396" s="7" t="n"/>
      <c r="V396" s="7" t="inlineStr">
        <is>
          <t>vegan</t>
        </is>
      </c>
      <c r="W396" s="7" t="n"/>
      <c r="X396" s="55" t="n">
        <v>1</v>
      </c>
      <c r="Y396" s="50" t="n">
        <v>0.4</v>
      </c>
      <c r="Z396" s="7" t="inlineStr">
        <is>
          <t>declared</t>
        </is>
      </c>
      <c r="AA396" s="19">
        <f>IF(ISBLANK(Welcome!D422),"",Welcome!D422)</f>
        <v/>
      </c>
      <c r="AB396" s="29">
        <f>IF(ISBLANK(Welcome!E422),"",Welcome!E422)</f>
        <v/>
      </c>
      <c r="AC396" s="29">
        <f>IF(N(AB396)&gt;0,N(AB396),N(AA396)*Y396)</f>
        <v/>
      </c>
      <c r="AD396" s="29">
        <f>IF(H396="yes",AC396,0)</f>
        <v/>
      </c>
      <c r="AE396" s="29">
        <f>AD396*N(M396)/100</f>
        <v/>
      </c>
      <c r="AF396" s="29">
        <f>AD396*N(O396)/100</f>
        <v/>
      </c>
      <c r="AG396" s="29">
        <f>AD396*N(P396)/100</f>
        <v/>
      </c>
      <c r="AH396" s="50">
        <f>IF(Q396="yes",AD396/1000,0)</f>
        <v/>
      </c>
      <c r="AI396" s="50">
        <f>IF(S396="FG2",AH396*X396,AH396)</f>
        <v/>
      </c>
    </row>
    <row r="397">
      <c r="A397" s="7" t="inlineStr">
        <is>
          <t>HM00085</t>
        </is>
      </c>
      <c r="B397" s="16" t="inlineStr">
        <is>
          <t>8712345368036</t>
        </is>
      </c>
      <c r="C397" s="7" t="inlineStr">
        <is>
          <t>HM CHOPPED TOMATOES 400G</t>
        </is>
      </c>
      <c r="D397" s="7" t="inlineStr">
        <is>
          <t>Chopped tomatoes, 400g</t>
        </is>
      </c>
      <c r="E397" s="7" t="inlineStr">
        <is>
          <t>Harbour Market</t>
        </is>
      </c>
      <c r="F397" s="7" t="inlineStr">
        <is>
          <t>Grocery</t>
        </is>
      </c>
      <c r="G397" s="7" t="inlineStr">
        <is>
          <t>Canned Vegetables</t>
        </is>
      </c>
      <c r="H397" s="7" t="inlineStr">
        <is>
          <t>yes</t>
        </is>
      </c>
      <c r="I397" s="7" t="inlineStr">
        <is>
          <t>Plant-based non-core</t>
        </is>
      </c>
      <c r="J397" s="7" t="inlineStr">
        <is>
          <t>Fruit and vegetables</t>
        </is>
      </c>
      <c r="K397" s="7" t="inlineStr">
        <is>
          <t>B</t>
        </is>
      </c>
      <c r="L397" s="7" t="inlineStr">
        <is>
          <t>Follows the class</t>
        </is>
      </c>
      <c r="M397" s="51" t="n">
        <v>1.1</v>
      </c>
      <c r="N397" s="7" t="inlineStr">
        <is>
          <t>Median of the family</t>
        </is>
      </c>
      <c r="O397" s="54" t="n">
        <v>1.1</v>
      </c>
      <c r="P397" s="54" t="n">
        <v>0</v>
      </c>
      <c r="Q397" s="7" t="inlineStr">
        <is>
          <t>yes</t>
        </is>
      </c>
      <c r="R397" s="7" t="inlineStr">
        <is>
          <t>whole</t>
        </is>
      </c>
      <c r="S397" s="7" t="inlineStr">
        <is>
          <t>FG4</t>
        </is>
      </c>
      <c r="T397" s="7" t="n"/>
      <c r="U397" s="7" t="inlineStr">
        <is>
          <t>plant</t>
        </is>
      </c>
      <c r="V397" s="7" t="n"/>
      <c r="W397" s="7" t="n"/>
      <c r="X397" s="55" t="n">
        <v>1</v>
      </c>
      <c r="Y397" s="50" t="n">
        <v>0.4</v>
      </c>
      <c r="Z397" s="7" t="inlineStr">
        <is>
          <t>declared</t>
        </is>
      </c>
      <c r="AA397" s="19">
        <f>IF(ISBLANK(Welcome!D423),"",Welcome!D423)</f>
        <v/>
      </c>
      <c r="AB397" s="29">
        <f>IF(ISBLANK(Welcome!E423),"",Welcome!E423)</f>
        <v/>
      </c>
      <c r="AC397" s="29">
        <f>IF(N(AB397)&gt;0,N(AB397),N(AA397)*Y397)</f>
        <v/>
      </c>
      <c r="AD397" s="29">
        <f>IF(H397="yes",AC397,0)</f>
        <v/>
      </c>
      <c r="AE397" s="29">
        <f>AD397*N(M397)/100</f>
        <v/>
      </c>
      <c r="AF397" s="29">
        <f>AD397*N(O397)/100</f>
        <v/>
      </c>
      <c r="AG397" s="29">
        <f>AD397*N(P397)/100</f>
        <v/>
      </c>
      <c r="AH397" s="50">
        <f>IF(Q397="yes",AD397/1000,0)</f>
        <v/>
      </c>
      <c r="AI397" s="50">
        <f>IF(S397="FG2",AH397*X397,AH397)</f>
        <v/>
      </c>
    </row>
    <row r="398">
      <c r="A398" s="7" t="inlineStr">
        <is>
          <t>HM00340</t>
        </is>
      </c>
      <c r="B398" s="16" t="inlineStr">
        <is>
          <t>8712345934699</t>
        </is>
      </c>
      <c r="C398" s="7" t="inlineStr">
        <is>
          <t>QUILLAN CHICKPEA DAHL RICE 400G</t>
        </is>
      </c>
      <c r="D398" s="7" t="inlineStr">
        <is>
          <t>Chickpea dahl with rice, 400g</t>
        </is>
      </c>
      <c r="E398" s="7" t="inlineStr">
        <is>
          <t>Quillan</t>
        </is>
      </c>
      <c r="F398" s="7" t="inlineStr">
        <is>
          <t>Ready Meals</t>
        </is>
      </c>
      <c r="G398" s="7" t="inlineStr">
        <is>
          <t>Ready Meals</t>
        </is>
      </c>
      <c r="H398" s="7" t="inlineStr">
        <is>
          <t>yes</t>
        </is>
      </c>
      <c r="I398" s="7" t="inlineStr">
        <is>
          <t>Plant-based non-core</t>
        </is>
      </c>
      <c r="J398" s="7" t="inlineStr">
        <is>
          <t>Other</t>
        </is>
      </c>
      <c r="K398" s="7" t="inlineStr">
        <is>
          <t>A</t>
        </is>
      </c>
      <c r="L398" s="7" t="inlineStr">
        <is>
          <t>All ingredients on one side</t>
        </is>
      </c>
      <c r="M398" s="51" t="n">
        <v>4.2</v>
      </c>
      <c r="N398" s="7" t="inlineStr">
        <is>
          <t>Declared by the retailer</t>
        </is>
      </c>
      <c r="O398" s="54" t="n">
        <v>4.2</v>
      </c>
      <c r="P398" s="54" t="n">
        <v>0</v>
      </c>
      <c r="Q398" s="7" t="inlineStr">
        <is>
          <t>yes</t>
        </is>
      </c>
      <c r="R398" s="7" t="inlineStr">
        <is>
          <t>composite</t>
        </is>
      </c>
      <c r="S398" s="7" t="n"/>
      <c r="T398" s="7" t="n"/>
      <c r="U398" s="7" t="n"/>
      <c r="V398" s="7" t="inlineStr">
        <is>
          <t>vegan</t>
        </is>
      </c>
      <c r="W398" s="7" t="n"/>
      <c r="X398" s="55" t="n">
        <v>1</v>
      </c>
      <c r="Y398" s="50" t="n">
        <v>0.4</v>
      </c>
      <c r="Z398" s="7" t="inlineStr">
        <is>
          <t>declared</t>
        </is>
      </c>
      <c r="AA398" s="19">
        <f>IF(ISBLANK(Welcome!D424),"",Welcome!D424)</f>
        <v/>
      </c>
      <c r="AB398" s="29">
        <f>IF(ISBLANK(Welcome!E424),"",Welcome!E424)</f>
        <v/>
      </c>
      <c r="AC398" s="29">
        <f>IF(N(AB398)&gt;0,N(AB398),N(AA398)*Y398)</f>
        <v/>
      </c>
      <c r="AD398" s="29">
        <f>IF(H398="yes",AC398,0)</f>
        <v/>
      </c>
      <c r="AE398" s="29">
        <f>AD398*N(M398)/100</f>
        <v/>
      </c>
      <c r="AF398" s="29">
        <f>AD398*N(O398)/100</f>
        <v/>
      </c>
      <c r="AG398" s="29">
        <f>AD398*N(P398)/100</f>
        <v/>
      </c>
      <c r="AH398" s="50">
        <f>IF(Q398="yes",AD398/1000,0)</f>
        <v/>
      </c>
      <c r="AI398" s="50">
        <f>IF(S398="FG2",AH398*X398,AH398)</f>
        <v/>
      </c>
    </row>
    <row r="399">
      <c r="A399" s="7" t="inlineStr">
        <is>
          <t>HM00364</t>
        </is>
      </c>
      <c r="B399" s="16" t="inlineStr">
        <is>
          <t>5012345926407</t>
        </is>
      </c>
      <c r="C399" s="7" t="inlineStr">
        <is>
          <t>HM COCONUT YOG ALT 4X125G</t>
        </is>
      </c>
      <c r="D399" s="7" t="inlineStr">
        <is>
          <t>Coconut yoghurt alternative, 4x125g</t>
        </is>
      </c>
      <c r="E399" s="7" t="inlineStr">
        <is>
          <t>Harbour Market</t>
        </is>
      </c>
      <c r="F399" s="7" t="inlineStr">
        <is>
          <t>Plant-Based</t>
        </is>
      </c>
      <c r="G399" s="7" t="inlineStr">
        <is>
          <t>Plant Yoghurts</t>
        </is>
      </c>
      <c r="H399" s="7" t="inlineStr">
        <is>
          <t>yes</t>
        </is>
      </c>
      <c r="I399" s="7" t="inlineStr">
        <is>
          <t>Plant-based core</t>
        </is>
      </c>
      <c r="J399" s="7" t="inlineStr">
        <is>
          <t>Plant-based dairy alternatives</t>
        </is>
      </c>
      <c r="K399" s="7" t="inlineStr">
        <is>
          <t>A</t>
        </is>
      </c>
      <c r="L399" s="7" t="inlineStr">
        <is>
          <t>All ingredients on one side</t>
        </is>
      </c>
      <c r="M399" s="51" t="n">
        <v>0.75</v>
      </c>
      <c r="N399" s="7" t="inlineStr">
        <is>
          <t>Altera reference base</t>
        </is>
      </c>
      <c r="O399" s="54" t="n">
        <v>0.75</v>
      </c>
      <c r="P399" s="54" t="n">
        <v>0</v>
      </c>
      <c r="Q399" s="7" t="inlineStr">
        <is>
          <t>yes</t>
        </is>
      </c>
      <c r="R399" s="7" t="inlineStr">
        <is>
          <t>whole</t>
        </is>
      </c>
      <c r="S399" s="7" t="inlineStr">
        <is>
          <t>FG2</t>
        </is>
      </c>
      <c r="T399" s="7" t="inlineStr">
        <is>
          <t>Dairy alternatives</t>
        </is>
      </c>
      <c r="U399" s="7" t="inlineStr">
        <is>
          <t>plant</t>
        </is>
      </c>
      <c r="V399" s="7" t="n"/>
      <c r="W399" s="7" t="n"/>
      <c r="X399" s="55" t="n">
        <v>1</v>
      </c>
      <c r="Y399" s="50" t="n">
        <v>0.5</v>
      </c>
      <c r="Z399" s="7" t="inlineStr">
        <is>
          <t>label</t>
        </is>
      </c>
      <c r="AA399" s="19">
        <f>IF(ISBLANK(Welcome!D425),"",Welcome!D425)</f>
        <v/>
      </c>
      <c r="AB399" s="29">
        <f>IF(ISBLANK(Welcome!E425),"",Welcome!E425)</f>
        <v/>
      </c>
      <c r="AC399" s="29">
        <f>IF(N(AB399)&gt;0,N(AB399),N(AA399)*Y399)</f>
        <v/>
      </c>
      <c r="AD399" s="29">
        <f>IF(H399="yes",AC399,0)</f>
        <v/>
      </c>
      <c r="AE399" s="29">
        <f>AD399*N(M399)/100</f>
        <v/>
      </c>
      <c r="AF399" s="29">
        <f>AD399*N(O399)/100</f>
        <v/>
      </c>
      <c r="AG399" s="29">
        <f>AD399*N(P399)/100</f>
        <v/>
      </c>
      <c r="AH399" s="50">
        <f>IF(Q399="yes",AD399/1000,0)</f>
        <v/>
      </c>
      <c r="AI399" s="50">
        <f>IF(S399="FG2",AH399*X399,AH399)</f>
        <v/>
      </c>
    </row>
    <row r="400">
      <c r="A400" s="7" t="inlineStr">
        <is>
          <t>HM00599</t>
        </is>
      </c>
      <c r="B400" s="16" t="inlineStr">
        <is>
          <t>4012345579536</t>
        </is>
      </c>
      <c r="C400" s="7" t="inlineStr">
        <is>
          <t>HM SWEETCORN 1KG</t>
        </is>
      </c>
      <c r="D400" s="7" t="inlineStr">
        <is>
          <t>Sweetcorn, 1kg</t>
        </is>
      </c>
      <c r="E400" s="7" t="inlineStr">
        <is>
          <t>Harbour Market</t>
        </is>
      </c>
      <c r="F400" s="7" t="inlineStr">
        <is>
          <t>Frozen</t>
        </is>
      </c>
      <c r="G400" s="7" t="inlineStr">
        <is>
          <t>Frozen Vegetables</t>
        </is>
      </c>
      <c r="H400" s="7" t="inlineStr">
        <is>
          <t>yes</t>
        </is>
      </c>
      <c r="I400" s="7" t="inlineStr">
        <is>
          <t>Plant-based non-core</t>
        </is>
      </c>
      <c r="J400" s="7" t="inlineStr">
        <is>
          <t>Fruit and vegetables</t>
        </is>
      </c>
      <c r="K400" s="7" t="inlineStr">
        <is>
          <t>A</t>
        </is>
      </c>
      <c r="L400" s="7" t="inlineStr">
        <is>
          <t>All ingredients on one side</t>
        </is>
      </c>
      <c r="M400" s="51" t="n">
        <v>3.1</v>
      </c>
      <c r="N400" s="7" t="inlineStr">
        <is>
          <t>Open Food Facts and NEVO, by EAN</t>
        </is>
      </c>
      <c r="O400" s="54" t="n">
        <v>3.1</v>
      </c>
      <c r="P400" s="54" t="n">
        <v>0</v>
      </c>
      <c r="Q400" s="7" t="inlineStr">
        <is>
          <t>yes</t>
        </is>
      </c>
      <c r="R400" s="7" t="inlineStr">
        <is>
          <t>whole</t>
        </is>
      </c>
      <c r="S400" s="7" t="inlineStr">
        <is>
          <t>FG4</t>
        </is>
      </c>
      <c r="T400" s="7" t="n"/>
      <c r="U400" s="7" t="inlineStr">
        <is>
          <t>plant</t>
        </is>
      </c>
      <c r="V400" s="7" t="n"/>
      <c r="W400" s="7" t="n"/>
      <c r="X400" s="55" t="n">
        <v>1</v>
      </c>
      <c r="Y400" s="50" t="n">
        <v>1</v>
      </c>
      <c r="Z400" s="7" t="inlineStr">
        <is>
          <t>declared</t>
        </is>
      </c>
      <c r="AA400" s="19">
        <f>IF(ISBLANK(Welcome!D426),"",Welcome!D426)</f>
        <v/>
      </c>
      <c r="AB400" s="29">
        <f>IF(ISBLANK(Welcome!E426),"",Welcome!E426)</f>
        <v/>
      </c>
      <c r="AC400" s="29">
        <f>IF(N(AB400)&gt;0,N(AB400),N(AA400)*Y400)</f>
        <v/>
      </c>
      <c r="AD400" s="29">
        <f>IF(H400="yes",AC400,0)</f>
        <v/>
      </c>
      <c r="AE400" s="29">
        <f>AD400*N(M400)/100</f>
        <v/>
      </c>
      <c r="AF400" s="29">
        <f>AD400*N(O400)/100</f>
        <v/>
      </c>
      <c r="AG400" s="29">
        <f>AD400*N(P400)/100</f>
        <v/>
      </c>
      <c r="AH400" s="50">
        <f>IF(Q400="yes",AD400/1000,0)</f>
        <v/>
      </c>
      <c r="AI400" s="50">
        <f>IF(S400="FG2",AH400*X400,AH400)</f>
        <v/>
      </c>
    </row>
    <row r="401">
      <c r="A401" s="7" t="inlineStr">
        <is>
          <t>HM00416</t>
        </is>
      </c>
      <c r="B401" s="16" t="inlineStr">
        <is>
          <t>3012345812696</t>
        </is>
      </c>
      <c r="C401" s="7" t="inlineStr">
        <is>
          <t>HM ORANGE JUICE BITS 1L</t>
        </is>
      </c>
      <c r="D401" s="7" t="inlineStr">
        <is>
          <t>Orange juice with bits, 1l</t>
        </is>
      </c>
      <c r="E401" s="7" t="inlineStr">
        <is>
          <t>Harbour Market</t>
        </is>
      </c>
      <c r="F401" s="7" t="inlineStr">
        <is>
          <t>Soft Drinks &amp; Water</t>
        </is>
      </c>
      <c r="G401" s="7" t="inlineStr">
        <is>
          <t>Juice</t>
        </is>
      </c>
      <c r="H401" s="7" t="inlineStr">
        <is>
          <t>yes</t>
        </is>
      </c>
      <c r="I401" s="7" t="inlineStr">
        <is>
          <t>Plant-based non-core</t>
        </is>
      </c>
      <c r="J401" s="7" t="inlineStr">
        <is>
          <t>Outside the WWF scope</t>
        </is>
      </c>
      <c r="K401" s="7" t="inlineStr">
        <is>
          <t>A</t>
        </is>
      </c>
      <c r="L401" s="7" t="inlineStr">
        <is>
          <t>All ingredients on one side</t>
        </is>
      </c>
      <c r="M401" s="51" t="n">
        <v>0.72</v>
      </c>
      <c r="N401" s="7" t="inlineStr">
        <is>
          <t>Median of the family</t>
        </is>
      </c>
      <c r="O401" s="54" t="n">
        <v>0.72</v>
      </c>
      <c r="P401" s="54" t="n">
        <v>0</v>
      </c>
      <c r="Q401" s="7" t="inlineStr">
        <is>
          <t>no</t>
        </is>
      </c>
      <c r="R401" s="7" t="n"/>
      <c r="S401" s="7" t="n"/>
      <c r="T401" s="7" t="n"/>
      <c r="U401" s="7" t="n"/>
      <c r="V401" s="7" t="n"/>
      <c r="W401" s="7" t="inlineStr">
        <is>
          <t>beverage</t>
        </is>
      </c>
      <c r="X401" s="55" t="n">
        <v>1</v>
      </c>
      <c r="Y401" s="50" t="n">
        <v>1.04</v>
      </c>
      <c r="Z401" s="7" t="inlineStr">
        <is>
          <t>declared</t>
        </is>
      </c>
      <c r="AA401" s="19">
        <f>IF(ISBLANK(Welcome!D427),"",Welcome!D427)</f>
        <v/>
      </c>
      <c r="AB401" s="29">
        <f>IF(ISBLANK(Welcome!E427),"",Welcome!E427)</f>
        <v/>
      </c>
      <c r="AC401" s="29">
        <f>IF(N(AB401)&gt;0,N(AB401),N(AA401)*Y401)</f>
        <v/>
      </c>
      <c r="AD401" s="29">
        <f>IF(H401="yes",AC401,0)</f>
        <v/>
      </c>
      <c r="AE401" s="29">
        <f>AD401*N(M401)/100</f>
        <v/>
      </c>
      <c r="AF401" s="29">
        <f>AD401*N(O401)/100</f>
        <v/>
      </c>
      <c r="AG401" s="29">
        <f>AD401*N(P401)/100</f>
        <v/>
      </c>
      <c r="AH401" s="50">
        <f>IF(Q401="yes",AD401/1000,0)</f>
        <v/>
      </c>
      <c r="AI401" s="50">
        <f>IF(S401="FG2",AH401*X401,AH401)</f>
        <v/>
      </c>
    </row>
    <row r="402">
      <c r="A402" s="7" t="inlineStr">
        <is>
          <t>HM00490</t>
        </is>
      </c>
      <c r="B402" s="16" t="inlineStr">
        <is>
          <t>4012345927054</t>
        </is>
      </c>
      <c r="C402" s="7" t="inlineStr">
        <is>
          <t>PORK MINCE 400G TARROW</t>
        </is>
      </c>
      <c r="D402" s="7" t="inlineStr">
        <is>
          <t>Pork mince, 400g</t>
        </is>
      </c>
      <c r="E402" s="7" t="inlineStr">
        <is>
          <t>Tarrow Farm</t>
        </is>
      </c>
      <c r="F402" s="7" t="inlineStr">
        <is>
          <t>Fresh Meat &amp; Poultry</t>
        </is>
      </c>
      <c r="G402" s="7" t="inlineStr">
        <is>
          <t>Pork</t>
        </is>
      </c>
      <c r="H402" s="7" t="inlineStr">
        <is>
          <t>yes</t>
        </is>
      </c>
      <c r="I402" s="7" t="inlineStr">
        <is>
          <t>Animal core</t>
        </is>
      </c>
      <c r="J402" s="7" t="inlineStr">
        <is>
          <t>Red meat</t>
        </is>
      </c>
      <c r="K402" s="7" t="inlineStr">
        <is>
          <t>B</t>
        </is>
      </c>
      <c r="L402" s="7" t="inlineStr">
        <is>
          <t>Follows the class</t>
        </is>
      </c>
      <c r="M402" s="51" t="n">
        <v>19.8</v>
      </c>
      <c r="N402" s="7" t="inlineStr">
        <is>
          <t>Declared by the retailer</t>
        </is>
      </c>
      <c r="O402" s="54" t="n">
        <v>0</v>
      </c>
      <c r="P402" s="54" t="n">
        <v>19.8</v>
      </c>
      <c r="Q402" s="7" t="inlineStr">
        <is>
          <t>yes</t>
        </is>
      </c>
      <c r="R402" s="7" t="inlineStr">
        <is>
          <t>whole</t>
        </is>
      </c>
      <c r="S402" s="7" t="inlineStr">
        <is>
          <t>FG1</t>
        </is>
      </c>
      <c r="T402" s="7" t="inlineStr">
        <is>
          <t>Red meat</t>
        </is>
      </c>
      <c r="U402" s="7" t="inlineStr">
        <is>
          <t>animal</t>
        </is>
      </c>
      <c r="V402" s="7" t="n"/>
      <c r="W402" s="7" t="n"/>
      <c r="X402" s="55" t="n">
        <v>1</v>
      </c>
      <c r="Y402" s="50" t="n">
        <v>0.4</v>
      </c>
      <c r="Z402" s="7" t="inlineStr">
        <is>
          <t>declared</t>
        </is>
      </c>
      <c r="AA402" s="19">
        <f>IF(ISBLANK(Welcome!D428),"",Welcome!D428)</f>
        <v/>
      </c>
      <c r="AB402" s="29">
        <f>IF(ISBLANK(Welcome!E428),"",Welcome!E428)</f>
        <v/>
      </c>
      <c r="AC402" s="29">
        <f>IF(N(AB402)&gt;0,N(AB402),N(AA402)*Y402)</f>
        <v/>
      </c>
      <c r="AD402" s="29">
        <f>IF(H402="yes",AC402,0)</f>
        <v/>
      </c>
      <c r="AE402" s="29">
        <f>AD402*N(M402)/100</f>
        <v/>
      </c>
      <c r="AF402" s="29">
        <f>AD402*N(O402)/100</f>
        <v/>
      </c>
      <c r="AG402" s="29">
        <f>AD402*N(P402)/100</f>
        <v/>
      </c>
      <c r="AH402" s="50">
        <f>IF(Q402="yes",AD402/1000,0)</f>
        <v/>
      </c>
      <c r="AI402" s="50">
        <f>IF(S402="FG2",AH402*X402,AH402)</f>
        <v/>
      </c>
    </row>
    <row r="403">
      <c r="A403" s="7" t="inlineStr">
        <is>
          <t>HM00772</t>
        </is>
      </c>
      <c r="B403" s="16" t="inlineStr">
        <is>
          <t>3012345981675</t>
        </is>
      </c>
      <c r="C403" s="7" t="inlineStr">
        <is>
          <t>HM PETITS POIS 900G</t>
        </is>
      </c>
      <c r="D403" s="7" t="inlineStr">
        <is>
          <t>Petits pois, 900g</t>
        </is>
      </c>
      <c r="E403" s="7" t="inlineStr">
        <is>
          <t>Harbour Market</t>
        </is>
      </c>
      <c r="F403" s="7" t="inlineStr">
        <is>
          <t>Frozen</t>
        </is>
      </c>
      <c r="G403" s="7" t="inlineStr">
        <is>
          <t>Frozen Vegetables</t>
        </is>
      </c>
      <c r="H403" s="7" t="inlineStr">
        <is>
          <t>yes</t>
        </is>
      </c>
      <c r="I403" s="7" t="inlineStr">
        <is>
          <t>Plant-based core</t>
        </is>
      </c>
      <c r="J403" s="7" t="inlineStr">
        <is>
          <t>Pulses</t>
        </is>
      </c>
      <c r="K403" s="7" t="inlineStr">
        <is>
          <t>B</t>
        </is>
      </c>
      <c r="L403" s="7" t="inlineStr">
        <is>
          <t>Follows the class</t>
        </is>
      </c>
      <c r="M403" s="51" t="n">
        <v>5.3</v>
      </c>
      <c r="N403" s="7" t="inlineStr">
        <is>
          <t>Declared by the retailer</t>
        </is>
      </c>
      <c r="O403" s="54" t="n">
        <v>5.3</v>
      </c>
      <c r="P403" s="54" t="n">
        <v>0</v>
      </c>
      <c r="Q403" s="7" t="inlineStr">
        <is>
          <t>yes</t>
        </is>
      </c>
      <c r="R403" s="7" t="inlineStr">
        <is>
          <t>whole</t>
        </is>
      </c>
      <c r="S403" s="7" t="inlineStr">
        <is>
          <t>FG1</t>
        </is>
      </c>
      <c r="T403" s="7" t="inlineStr">
        <is>
          <t>Pulses</t>
        </is>
      </c>
      <c r="U403" s="7" t="inlineStr">
        <is>
          <t>plant</t>
        </is>
      </c>
      <c r="V403" s="7" t="n"/>
      <c r="W403" s="7" t="n"/>
      <c r="X403" s="55" t="n">
        <v>1</v>
      </c>
      <c r="Y403" s="50" t="n">
        <v>0.9</v>
      </c>
      <c r="Z403" s="7" t="inlineStr">
        <is>
          <t>declared</t>
        </is>
      </c>
      <c r="AA403" s="19">
        <f>IF(ISBLANK(Welcome!D429),"",Welcome!D429)</f>
        <v/>
      </c>
      <c r="AB403" s="29">
        <f>IF(ISBLANK(Welcome!E429),"",Welcome!E429)</f>
        <v/>
      </c>
      <c r="AC403" s="29">
        <f>IF(N(AB403)&gt;0,N(AB403),N(AA403)*Y403)</f>
        <v/>
      </c>
      <c r="AD403" s="29">
        <f>IF(H403="yes",AC403,0)</f>
        <v/>
      </c>
      <c r="AE403" s="29">
        <f>AD403*N(M403)/100</f>
        <v/>
      </c>
      <c r="AF403" s="29">
        <f>AD403*N(O403)/100</f>
        <v/>
      </c>
      <c r="AG403" s="29">
        <f>AD403*N(P403)/100</f>
        <v/>
      </c>
      <c r="AH403" s="50">
        <f>IF(Q403="yes",AD403/1000,0)</f>
        <v/>
      </c>
      <c r="AI403" s="50">
        <f>IF(S403="FG2",AH403*X403,AH403)</f>
        <v/>
      </c>
    </row>
    <row r="404">
      <c r="A404" s="7" t="inlineStr">
        <is>
          <t>HM00677</t>
        </is>
      </c>
      <c r="B404" s="16" t="inlineStr">
        <is>
          <t>5012345111018</t>
        </is>
      </c>
      <c r="C404" s="7" t="inlineStr">
        <is>
          <t>HM YELLOW SPLIT PEAS 1KG</t>
        </is>
      </c>
      <c r="D404" s="7" t="inlineStr">
        <is>
          <t>Yellow split peas, 1kg</t>
        </is>
      </c>
      <c r="E404" s="7" t="inlineStr">
        <is>
          <t>Harbour Market</t>
        </is>
      </c>
      <c r="F404" s="7" t="inlineStr">
        <is>
          <t>Grocery</t>
        </is>
      </c>
      <c r="G404" s="7" t="inlineStr">
        <is>
          <t>Pulses</t>
        </is>
      </c>
      <c r="H404" s="7" t="inlineStr">
        <is>
          <t>yes</t>
        </is>
      </c>
      <c r="I404" s="7" t="inlineStr">
        <is>
          <t>Plant-based core</t>
        </is>
      </c>
      <c r="J404" s="7" t="inlineStr">
        <is>
          <t>Pulses</t>
        </is>
      </c>
      <c r="K404" s="7" t="inlineStr">
        <is>
          <t>A</t>
        </is>
      </c>
      <c r="L404" s="7" t="inlineStr">
        <is>
          <t>All ingredients on one side</t>
        </is>
      </c>
      <c r="M404" s="51" t="n">
        <v>20.9</v>
      </c>
      <c r="N404" s="7" t="inlineStr">
        <is>
          <t>Declared by the retailer</t>
        </is>
      </c>
      <c r="O404" s="54" t="n">
        <v>20.9</v>
      </c>
      <c r="P404" s="54" t="n">
        <v>0</v>
      </c>
      <c r="Q404" s="7" t="inlineStr">
        <is>
          <t>yes</t>
        </is>
      </c>
      <c r="R404" s="7" t="inlineStr">
        <is>
          <t>whole</t>
        </is>
      </c>
      <c r="S404" s="7" t="inlineStr">
        <is>
          <t>FG1</t>
        </is>
      </c>
      <c r="T404" s="7" t="inlineStr">
        <is>
          <t>Pulses</t>
        </is>
      </c>
      <c r="U404" s="7" t="inlineStr">
        <is>
          <t>plant</t>
        </is>
      </c>
      <c r="V404" s="7" t="n"/>
      <c r="W404" s="7" t="n"/>
      <c r="X404" s="55" t="n">
        <v>1</v>
      </c>
      <c r="Y404" s="50" t="n">
        <v>1</v>
      </c>
      <c r="Z404" s="7" t="inlineStr">
        <is>
          <t>declared</t>
        </is>
      </c>
      <c r="AA404" s="19">
        <f>IF(ISBLANK(Welcome!D430),"",Welcome!D430)</f>
        <v/>
      </c>
      <c r="AB404" s="29">
        <f>IF(ISBLANK(Welcome!E430),"",Welcome!E430)</f>
        <v/>
      </c>
      <c r="AC404" s="29">
        <f>IF(N(AB404)&gt;0,N(AB404),N(AA404)*Y404)</f>
        <v/>
      </c>
      <c r="AD404" s="29">
        <f>IF(H404="yes",AC404,0)</f>
        <v/>
      </c>
      <c r="AE404" s="29">
        <f>AD404*N(M404)/100</f>
        <v/>
      </c>
      <c r="AF404" s="29">
        <f>AD404*N(O404)/100</f>
        <v/>
      </c>
      <c r="AG404" s="29">
        <f>AD404*N(P404)/100</f>
        <v/>
      </c>
      <c r="AH404" s="50">
        <f>IF(Q404="yes",AD404/1000,0)</f>
        <v/>
      </c>
      <c r="AI404" s="50">
        <f>IF(S404="FG2",AH404*X404,AH404)</f>
        <v/>
      </c>
    </row>
    <row r="405">
      <c r="A405" s="7" t="inlineStr">
        <is>
          <t>HM00349</t>
        </is>
      </c>
      <c r="B405" s="16" t="inlineStr">
        <is>
          <t>5012345101057</t>
        </is>
      </c>
      <c r="C405" s="7" t="inlineStr">
        <is>
          <t>HM GARDEN PEAS 900G</t>
        </is>
      </c>
      <c r="D405" s="7" t="inlineStr">
        <is>
          <t>Garden peas, 900g</t>
        </is>
      </c>
      <c r="E405" s="7" t="inlineStr">
        <is>
          <t>Harbour Market</t>
        </is>
      </c>
      <c r="F405" s="7" t="inlineStr">
        <is>
          <t>Frozen</t>
        </is>
      </c>
      <c r="G405" s="7" t="inlineStr">
        <is>
          <t>Frozen Vegetables</t>
        </is>
      </c>
      <c r="H405" s="7" t="inlineStr">
        <is>
          <t>yes</t>
        </is>
      </c>
      <c r="I405" s="7" t="inlineStr">
        <is>
          <t>Plant-based core</t>
        </is>
      </c>
      <c r="J405" s="7" t="inlineStr">
        <is>
          <t>Pulses</t>
        </is>
      </c>
      <c r="K405" s="7" t="inlineStr">
        <is>
          <t>A</t>
        </is>
      </c>
      <c r="L405" s="7" t="inlineStr">
        <is>
          <t>All ingredients on one side</t>
        </is>
      </c>
      <c r="M405" s="51" t="n">
        <v>5.2</v>
      </c>
      <c r="N405" s="7" t="inlineStr">
        <is>
          <t>National food table (CIQUAL in France)</t>
        </is>
      </c>
      <c r="O405" s="54" t="n">
        <v>5.2</v>
      </c>
      <c r="P405" s="54" t="n">
        <v>0</v>
      </c>
      <c r="Q405" s="7" t="inlineStr">
        <is>
          <t>yes</t>
        </is>
      </c>
      <c r="R405" s="7" t="inlineStr">
        <is>
          <t>whole</t>
        </is>
      </c>
      <c r="S405" s="7" t="inlineStr">
        <is>
          <t>FG1</t>
        </is>
      </c>
      <c r="T405" s="7" t="inlineStr">
        <is>
          <t>Pulses</t>
        </is>
      </c>
      <c r="U405" s="7" t="inlineStr">
        <is>
          <t>plant</t>
        </is>
      </c>
      <c r="V405" s="7" t="n"/>
      <c r="W405" s="7" t="n"/>
      <c r="X405" s="55" t="n">
        <v>1</v>
      </c>
      <c r="Y405" s="50" t="n">
        <v>0.9</v>
      </c>
      <c r="Z405" s="7" t="inlineStr">
        <is>
          <t>declared</t>
        </is>
      </c>
      <c r="AA405" s="19">
        <f>IF(ISBLANK(Welcome!D431),"",Welcome!D431)</f>
        <v/>
      </c>
      <c r="AB405" s="29">
        <f>IF(ISBLANK(Welcome!E431),"",Welcome!E431)</f>
        <v/>
      </c>
      <c r="AC405" s="29">
        <f>IF(N(AB405)&gt;0,N(AB405),N(AA405)*Y405)</f>
        <v/>
      </c>
      <c r="AD405" s="29">
        <f>IF(H405="yes",AC405,0)</f>
        <v/>
      </c>
      <c r="AE405" s="29">
        <f>AD405*N(M405)/100</f>
        <v/>
      </c>
      <c r="AF405" s="29">
        <f>AD405*N(O405)/100</f>
        <v/>
      </c>
      <c r="AG405" s="29">
        <f>AD405*N(P405)/100</f>
        <v/>
      </c>
      <c r="AH405" s="50">
        <f>IF(Q405="yes",AD405/1000,0)</f>
        <v/>
      </c>
      <c r="AI405" s="50">
        <f>IF(S405="FG2",AH405*X405,AH405)</f>
        <v/>
      </c>
    </row>
    <row r="406">
      <c r="A406" s="7" t="inlineStr">
        <is>
          <t>HM00376</t>
        </is>
      </c>
      <c r="B406" s="16" t="inlineStr">
        <is>
          <t>3012345238540</t>
        </is>
      </c>
      <c r="C406" s="7" t="inlineStr">
        <is>
          <t>HM MILK CHOC BUTTONS 200G</t>
        </is>
      </c>
      <c r="D406" s="7" t="inlineStr">
        <is>
          <t>Milk chocolate buttons, 200g</t>
        </is>
      </c>
      <c r="E406" s="7" t="inlineStr">
        <is>
          <t>Harbour Market</t>
        </is>
      </c>
      <c r="F406" s="7" t="inlineStr">
        <is>
          <t>Breakfast &amp; Snacks</t>
        </is>
      </c>
      <c r="G406" s="7" t="inlineStr">
        <is>
          <t>Chocolate</t>
        </is>
      </c>
      <c r="H406" s="7" t="inlineStr">
        <is>
          <t>yes</t>
        </is>
      </c>
      <c r="I406" s="7" t="inlineStr">
        <is>
          <t>Animal &amp; plant composite</t>
        </is>
      </c>
      <c r="J406" s="7" t="inlineStr">
        <is>
          <t>Discretionary products</t>
        </is>
      </c>
      <c r="K406" s="7" t="inlineStr">
        <is>
          <t>A</t>
        </is>
      </c>
      <c r="L406" s="7" t="inlineStr">
        <is>
          <t>Ingredient list</t>
        </is>
      </c>
      <c r="M406" s="51" t="n">
        <v>7.2</v>
      </c>
      <c r="N406" s="7" t="inlineStr">
        <is>
          <t>Declared by the retailer</t>
        </is>
      </c>
      <c r="O406" s="54" t="n">
        <v>3.31</v>
      </c>
      <c r="P406" s="54" t="n">
        <v>3.89</v>
      </c>
      <c r="Q406" s="7" t="inlineStr">
        <is>
          <t>yes</t>
        </is>
      </c>
      <c r="R406" s="7" t="inlineStr">
        <is>
          <t>whole</t>
        </is>
      </c>
      <c r="S406" s="7" t="inlineStr">
        <is>
          <t>FG7</t>
        </is>
      </c>
      <c r="T406" s="7" t="n"/>
      <c r="U406" s="7" t="inlineStr">
        <is>
          <t>plant</t>
        </is>
      </c>
      <c r="V406" s="7" t="n"/>
      <c r="W406" s="7" t="n"/>
      <c r="X406" s="55" t="n">
        <v>1</v>
      </c>
      <c r="Y406" s="50" t="n">
        <v>0.2</v>
      </c>
      <c r="Z406" s="7" t="inlineStr">
        <is>
          <t>declared</t>
        </is>
      </c>
      <c r="AA406" s="19">
        <f>IF(ISBLANK(Welcome!D432),"",Welcome!D432)</f>
        <v/>
      </c>
      <c r="AB406" s="29">
        <f>IF(ISBLANK(Welcome!E432),"",Welcome!E432)</f>
        <v/>
      </c>
      <c r="AC406" s="29">
        <f>IF(N(AB406)&gt;0,N(AB406),N(AA406)*Y406)</f>
        <v/>
      </c>
      <c r="AD406" s="29">
        <f>IF(H406="yes",AC406,0)</f>
        <v/>
      </c>
      <c r="AE406" s="29">
        <f>AD406*N(M406)/100</f>
        <v/>
      </c>
      <c r="AF406" s="29">
        <f>AD406*N(O406)/100</f>
        <v/>
      </c>
      <c r="AG406" s="29">
        <f>AD406*N(P406)/100</f>
        <v/>
      </c>
      <c r="AH406" s="50">
        <f>IF(Q406="yes",AD406/1000,0)</f>
        <v/>
      </c>
      <c r="AI406" s="50">
        <f>IF(S406="FG2",AH406*X406,AH406)</f>
        <v/>
      </c>
    </row>
    <row r="407">
      <c r="A407" s="7" t="inlineStr">
        <is>
          <t>HM00405</t>
        </is>
      </c>
      <c r="B407" s="16" t="inlineStr">
        <is>
          <t>5012345817538</t>
        </is>
      </c>
      <c r="C407" s="7" t="inlineStr">
        <is>
          <t>HOUMOUS CARAMEL ONION 200G SOLVANE</t>
        </is>
      </c>
      <c r="D407" s="7" t="inlineStr">
        <is>
          <t>Caramelised onion houmous, 200g</t>
        </is>
      </c>
      <c r="E407" s="7" t="inlineStr">
        <is>
          <t>Solvane</t>
        </is>
      </c>
      <c r="F407" s="7" t="inlineStr">
        <is>
          <t>Deli</t>
        </is>
      </c>
      <c r="G407" s="7" t="inlineStr">
        <is>
          <t>Dips</t>
        </is>
      </c>
      <c r="H407" s="7" t="inlineStr">
        <is>
          <t>yes</t>
        </is>
      </c>
      <c r="I407" s="7" t="inlineStr">
        <is>
          <t>Plant-based core</t>
        </is>
      </c>
      <c r="J407" s="7" t="inlineStr">
        <is>
          <t>Pulses</t>
        </is>
      </c>
      <c r="K407" s="7" t="inlineStr">
        <is>
          <t>A</t>
        </is>
      </c>
      <c r="L407" s="7" t="inlineStr">
        <is>
          <t>All ingredients on one side</t>
        </is>
      </c>
      <c r="M407" s="51" t="n">
        <v>6.9</v>
      </c>
      <c r="N407" s="7" t="inlineStr">
        <is>
          <t>Declared by the retailer</t>
        </is>
      </c>
      <c r="O407" s="54" t="n">
        <v>6.9</v>
      </c>
      <c r="P407" s="54" t="n">
        <v>0</v>
      </c>
      <c r="Q407" s="7" t="inlineStr">
        <is>
          <t>yes</t>
        </is>
      </c>
      <c r="R407" s="7" t="inlineStr">
        <is>
          <t>whole</t>
        </is>
      </c>
      <c r="S407" s="7" t="inlineStr">
        <is>
          <t>FG1</t>
        </is>
      </c>
      <c r="T407" s="7" t="inlineStr">
        <is>
          <t>Pulses</t>
        </is>
      </c>
      <c r="U407" s="7" t="inlineStr">
        <is>
          <t>plant</t>
        </is>
      </c>
      <c r="V407" s="7" t="n"/>
      <c r="W407" s="7" t="n"/>
      <c r="X407" s="55" t="n">
        <v>1</v>
      </c>
      <c r="Y407" s="50" t="n">
        <v>0.2</v>
      </c>
      <c r="Z407" s="7" t="inlineStr">
        <is>
          <t>declared</t>
        </is>
      </c>
      <c r="AA407" s="19">
        <f>IF(ISBLANK(Welcome!D433),"",Welcome!D433)</f>
        <v/>
      </c>
      <c r="AB407" s="29">
        <f>IF(ISBLANK(Welcome!E433),"",Welcome!E433)</f>
        <v/>
      </c>
      <c r="AC407" s="29">
        <f>IF(N(AB407)&gt;0,N(AB407),N(AA407)*Y407)</f>
        <v/>
      </c>
      <c r="AD407" s="29">
        <f>IF(H407="yes",AC407,0)</f>
        <v/>
      </c>
      <c r="AE407" s="29">
        <f>AD407*N(M407)/100</f>
        <v/>
      </c>
      <c r="AF407" s="29">
        <f>AD407*N(O407)/100</f>
        <v/>
      </c>
      <c r="AG407" s="29">
        <f>AD407*N(P407)/100</f>
        <v/>
      </c>
      <c r="AH407" s="50">
        <f>IF(Q407="yes",AD407/1000,0)</f>
        <v/>
      </c>
      <c r="AI407" s="50">
        <f>IF(S407="FG2",AH407*X407,AH407)</f>
        <v/>
      </c>
    </row>
    <row r="408">
      <c r="A408" s="7" t="inlineStr">
        <is>
          <t>HM00780</t>
        </is>
      </c>
      <c r="B408" s="16" t="inlineStr">
        <is>
          <t>5012345064963</t>
        </is>
      </c>
      <c r="C408" s="7" t="inlineStr">
        <is>
          <t>HM WHITE WINE SAUV BLANC 75CL</t>
        </is>
      </c>
      <c r="D408" s="7" t="inlineStr">
        <is>
          <t>Sauvignon blanc white wine, 75cl</t>
        </is>
      </c>
      <c r="E408" s="7" t="inlineStr">
        <is>
          <t>Harbour Market</t>
        </is>
      </c>
      <c r="F408" s="7" t="inlineStr">
        <is>
          <t>Beer, Wine &amp; Spirits</t>
        </is>
      </c>
      <c r="G408" s="7" t="inlineStr">
        <is>
          <t>Wine</t>
        </is>
      </c>
      <c r="H408" s="7" t="inlineStr">
        <is>
          <t>yes</t>
        </is>
      </c>
      <c r="I408" s="7" t="inlineStr">
        <is>
          <t>Plant-based non-core</t>
        </is>
      </c>
      <c r="J408" s="7" t="inlineStr">
        <is>
          <t>Outside the WWF scope</t>
        </is>
      </c>
      <c r="K408" s="7" t="inlineStr">
        <is>
          <t>A</t>
        </is>
      </c>
      <c r="L408" s="7" t="inlineStr">
        <is>
          <t>All ingredients on one side</t>
        </is>
      </c>
      <c r="M408" s="51" t="n">
        <v>0.1</v>
      </c>
      <c r="N408" s="7" t="inlineStr">
        <is>
          <t>Median of the family</t>
        </is>
      </c>
      <c r="O408" s="54" t="n">
        <v>0.1</v>
      </c>
      <c r="P408" s="54" t="n">
        <v>0</v>
      </c>
      <c r="Q408" s="7" t="inlineStr">
        <is>
          <t>no</t>
        </is>
      </c>
      <c r="R408" s="7" t="n"/>
      <c r="S408" s="7" t="n"/>
      <c r="T408" s="7" t="n"/>
      <c r="U408" s="7" t="n"/>
      <c r="V408" s="7" t="n"/>
      <c r="W408" s="7" t="inlineStr">
        <is>
          <t>alcohol</t>
        </is>
      </c>
      <c r="X408" s="55" t="n">
        <v>1</v>
      </c>
      <c r="Y408" s="50" t="n">
        <v>0.75</v>
      </c>
      <c r="Z408" s="7" t="inlineStr">
        <is>
          <t>declared</t>
        </is>
      </c>
      <c r="AA408" s="19">
        <f>IF(ISBLANK(Welcome!D434),"",Welcome!D434)</f>
        <v/>
      </c>
      <c r="AB408" s="29">
        <f>IF(ISBLANK(Welcome!E434),"",Welcome!E434)</f>
        <v/>
      </c>
      <c r="AC408" s="29">
        <f>IF(N(AB408)&gt;0,N(AB408),N(AA408)*Y408)</f>
        <v/>
      </c>
      <c r="AD408" s="29">
        <f>IF(H408="yes",AC408,0)</f>
        <v/>
      </c>
      <c r="AE408" s="29">
        <f>AD408*N(M408)/100</f>
        <v/>
      </c>
      <c r="AF408" s="29">
        <f>AD408*N(O408)/100</f>
        <v/>
      </c>
      <c r="AG408" s="29">
        <f>AD408*N(P408)/100</f>
        <v/>
      </c>
      <c r="AH408" s="50">
        <f>IF(Q408="yes",AD408/1000,0)</f>
        <v/>
      </c>
      <c r="AI408" s="50">
        <f>IF(S408="FG2",AH408*X408,AH408)</f>
        <v/>
      </c>
    </row>
    <row r="409">
      <c r="A409" s="7" t="inlineStr">
        <is>
          <t>HM00350</t>
        </is>
      </c>
      <c r="B409" s="16" t="inlineStr">
        <is>
          <t>8712345847418</t>
        </is>
      </c>
      <c r="C409" s="7" t="inlineStr">
        <is>
          <t>PLANT SAUSAGES 400G SOLVANE</t>
        </is>
      </c>
      <c r="D409" s="7" t="inlineStr">
        <is>
          <t>Plant-based sausages, 400g</t>
        </is>
      </c>
      <c r="E409" s="7" t="inlineStr">
        <is>
          <t>Solvane</t>
        </is>
      </c>
      <c r="F409" s="7" t="inlineStr">
        <is>
          <t>Plant-Based</t>
        </is>
      </c>
      <c r="G409" s="7" t="inlineStr">
        <is>
          <t>Meat Alternatives</t>
        </is>
      </c>
      <c r="H409" s="7" t="inlineStr">
        <is>
          <t>yes</t>
        </is>
      </c>
      <c r="I409" s="7" t="inlineStr">
        <is>
          <t>Plant-based core</t>
        </is>
      </c>
      <c r="J409" s="7" t="inlineStr">
        <is>
          <t>Plant-based meat alternatives</t>
        </is>
      </c>
      <c r="K409" s="7" t="inlineStr">
        <is>
          <t>A</t>
        </is>
      </c>
      <c r="L409" s="7" t="inlineStr">
        <is>
          <t>All ingredients on one side</t>
        </is>
      </c>
      <c r="M409" s="51" t="n">
        <v>16.6</v>
      </c>
      <c r="N409" s="7" t="inlineStr">
        <is>
          <t>Altera reference base</t>
        </is>
      </c>
      <c r="O409" s="54" t="n">
        <v>16.6</v>
      </c>
      <c r="P409" s="54" t="n">
        <v>0</v>
      </c>
      <c r="Q409" s="7" t="inlineStr">
        <is>
          <t>yes</t>
        </is>
      </c>
      <c r="R409" s="7" t="inlineStr">
        <is>
          <t>whole</t>
        </is>
      </c>
      <c r="S409" s="7" t="inlineStr">
        <is>
          <t>FG1</t>
        </is>
      </c>
      <c r="T409" s="7" t="inlineStr">
        <is>
          <t>Alternative products</t>
        </is>
      </c>
      <c r="U409" s="7" t="inlineStr">
        <is>
          <t>plant</t>
        </is>
      </c>
      <c r="V409" s="7" t="n"/>
      <c r="W409" s="7" t="n"/>
      <c r="X409" s="55" t="n">
        <v>1</v>
      </c>
      <c r="Y409" s="50" t="n">
        <v>0.4</v>
      </c>
      <c r="Z409" s="7" t="inlineStr">
        <is>
          <t>declared</t>
        </is>
      </c>
      <c r="AA409" s="19">
        <f>IF(ISBLANK(Welcome!D435),"",Welcome!D435)</f>
        <v/>
      </c>
      <c r="AB409" s="29">
        <f>IF(ISBLANK(Welcome!E435),"",Welcome!E435)</f>
        <v/>
      </c>
      <c r="AC409" s="29">
        <f>IF(N(AB409)&gt;0,N(AB409),N(AA409)*Y409)</f>
        <v/>
      </c>
      <c r="AD409" s="29">
        <f>IF(H409="yes",AC409,0)</f>
        <v/>
      </c>
      <c r="AE409" s="29">
        <f>AD409*N(M409)/100</f>
        <v/>
      </c>
      <c r="AF409" s="29">
        <f>AD409*N(O409)/100</f>
        <v/>
      </c>
      <c r="AG409" s="29">
        <f>AD409*N(P409)/100</f>
        <v/>
      </c>
      <c r="AH409" s="50">
        <f>IF(Q409="yes",AD409/1000,0)</f>
        <v/>
      </c>
      <c r="AI409" s="50">
        <f>IF(S409="FG2",AH409*X409,AH409)</f>
        <v/>
      </c>
    </row>
    <row r="410">
      <c r="A410" s="7" t="inlineStr">
        <is>
          <t>HM00324</t>
        </is>
      </c>
      <c r="B410" s="16" t="inlineStr">
        <is>
          <t>3012345825887</t>
        </is>
      </c>
      <c r="C410" s="7" t="inlineStr">
        <is>
          <t>HM BLUEBERRIES 250G</t>
        </is>
      </c>
      <c r="D410" s="7" t="inlineStr">
        <is>
          <t>Blueberries, 250g</t>
        </is>
      </c>
      <c r="E410" s="7" t="inlineStr">
        <is>
          <t>Harbour Market</t>
        </is>
      </c>
      <c r="F410" s="7" t="inlineStr">
        <is>
          <t>Fruit &amp; Vegetables</t>
        </is>
      </c>
      <c r="G410" s="7" t="inlineStr">
        <is>
          <t>Fruit</t>
        </is>
      </c>
      <c r="H410" s="7" t="inlineStr">
        <is>
          <t>yes</t>
        </is>
      </c>
      <c r="I410" s="7" t="inlineStr">
        <is>
          <t>Plant-based non-core</t>
        </is>
      </c>
      <c r="J410" s="7" t="inlineStr">
        <is>
          <t>Fruit and vegetables</t>
        </is>
      </c>
      <c r="K410" s="7" t="inlineStr">
        <is>
          <t>B</t>
        </is>
      </c>
      <c r="L410" s="7" t="inlineStr">
        <is>
          <t>Follows the class</t>
        </is>
      </c>
      <c r="M410" s="51" t="n">
        <v>0.7</v>
      </c>
      <c r="N410" s="7" t="inlineStr">
        <is>
          <t>Declared by the retailer</t>
        </is>
      </c>
      <c r="O410" s="54" t="n">
        <v>0.7</v>
      </c>
      <c r="P410" s="54" t="n">
        <v>0</v>
      </c>
      <c r="Q410" s="7" t="inlineStr">
        <is>
          <t>yes</t>
        </is>
      </c>
      <c r="R410" s="7" t="inlineStr">
        <is>
          <t>whole</t>
        </is>
      </c>
      <c r="S410" s="7" t="inlineStr">
        <is>
          <t>FG4</t>
        </is>
      </c>
      <c r="T410" s="7" t="n"/>
      <c r="U410" s="7" t="inlineStr">
        <is>
          <t>plant</t>
        </is>
      </c>
      <c r="V410" s="7" t="n"/>
      <c r="W410" s="7" t="n"/>
      <c r="X410" s="55" t="n">
        <v>1</v>
      </c>
      <c r="Y410" s="50" t="n">
        <v>0.25</v>
      </c>
      <c r="Z410" s="7" t="inlineStr">
        <is>
          <t>declared</t>
        </is>
      </c>
      <c r="AA410" s="19">
        <f>IF(ISBLANK(Welcome!D436),"",Welcome!D436)</f>
        <v/>
      </c>
      <c r="AB410" s="29">
        <f>IF(ISBLANK(Welcome!E436),"",Welcome!E436)</f>
        <v/>
      </c>
      <c r="AC410" s="29">
        <f>IF(N(AB410)&gt;0,N(AB410),N(AA410)*Y410)</f>
        <v/>
      </c>
      <c r="AD410" s="29">
        <f>IF(H410="yes",AC410,0)</f>
        <v/>
      </c>
      <c r="AE410" s="29">
        <f>AD410*N(M410)/100</f>
        <v/>
      </c>
      <c r="AF410" s="29">
        <f>AD410*N(O410)/100</f>
        <v/>
      </c>
      <c r="AG410" s="29">
        <f>AD410*N(P410)/100</f>
        <v/>
      </c>
      <c r="AH410" s="50">
        <f>IF(Q410="yes",AD410/1000,0)</f>
        <v/>
      </c>
      <c r="AI410" s="50">
        <f>IF(S410="FG2",AH410*X410,AH410)</f>
        <v/>
      </c>
    </row>
    <row r="411">
      <c r="A411" s="7" t="inlineStr">
        <is>
          <t>HM00043</t>
        </is>
      </c>
      <c r="B411" s="16" t="inlineStr">
        <is>
          <t>3012345795050</t>
        </is>
      </c>
      <c r="C411" s="7" t="inlineStr">
        <is>
          <t>COD FISH FINGERS 20PK 560G KESTREL</t>
        </is>
      </c>
      <c r="D411" s="7" t="inlineStr">
        <is>
          <t>Cod fish fingers, 20pk 560g</t>
        </is>
      </c>
      <c r="E411" s="7" t="inlineStr">
        <is>
          <t>Kestrel Bay</t>
        </is>
      </c>
      <c r="F411" s="7" t="inlineStr">
        <is>
          <t>Frozen</t>
        </is>
      </c>
      <c r="G411" s="7" t="inlineStr">
        <is>
          <t>Frozen Fish</t>
        </is>
      </c>
      <c r="H411" s="7" t="inlineStr">
        <is>
          <t>yes</t>
        </is>
      </c>
      <c r="I411" s="7" t="inlineStr">
        <is>
          <t>Animal core</t>
        </is>
      </c>
      <c r="J411" s="7" t="inlineStr">
        <is>
          <t>Fish and seafood</t>
        </is>
      </c>
      <c r="K411" s="7" t="inlineStr">
        <is>
          <t>B</t>
        </is>
      </c>
      <c r="L411" s="7" t="inlineStr">
        <is>
          <t>First ingredient</t>
        </is>
      </c>
      <c r="M411" s="51" t="n">
        <v>12</v>
      </c>
      <c r="N411" s="7" t="inlineStr">
        <is>
          <t>Declared by the retailer</t>
        </is>
      </c>
      <c r="O411" s="54" t="n">
        <v>0</v>
      </c>
      <c r="P411" s="54" t="n">
        <v>12</v>
      </c>
      <c r="Q411" s="7" t="inlineStr">
        <is>
          <t>yes</t>
        </is>
      </c>
      <c r="R411" s="7" t="inlineStr">
        <is>
          <t>whole</t>
        </is>
      </c>
      <c r="S411" s="7" t="inlineStr">
        <is>
          <t>FG1</t>
        </is>
      </c>
      <c r="T411" s="7" t="inlineStr">
        <is>
          <t>Fish &amp; shellfish</t>
        </is>
      </c>
      <c r="U411" s="7" t="inlineStr">
        <is>
          <t>animal</t>
        </is>
      </c>
      <c r="V411" s="7" t="n"/>
      <c r="W411" s="7" t="n"/>
      <c r="X411" s="55" t="n">
        <v>1</v>
      </c>
      <c r="Y411" s="50" t="n">
        <v>0.5600000000000001</v>
      </c>
      <c r="Z411" s="7" t="inlineStr">
        <is>
          <t>declared</t>
        </is>
      </c>
      <c r="AA411" s="19">
        <f>IF(ISBLANK(Welcome!D437),"",Welcome!D437)</f>
        <v/>
      </c>
      <c r="AB411" s="29">
        <f>IF(ISBLANK(Welcome!E437),"",Welcome!E437)</f>
        <v/>
      </c>
      <c r="AC411" s="29">
        <f>IF(N(AB411)&gt;0,N(AB411),N(AA411)*Y411)</f>
        <v/>
      </c>
      <c r="AD411" s="29">
        <f>IF(H411="yes",AC411,0)</f>
        <v/>
      </c>
      <c r="AE411" s="29">
        <f>AD411*N(M411)/100</f>
        <v/>
      </c>
      <c r="AF411" s="29">
        <f>AD411*N(O411)/100</f>
        <v/>
      </c>
      <c r="AG411" s="29">
        <f>AD411*N(P411)/100</f>
        <v/>
      </c>
      <c r="AH411" s="50">
        <f>IF(Q411="yes",AD411/1000,0)</f>
        <v/>
      </c>
      <c r="AI411" s="50">
        <f>IF(S411="FG2",AH411*X411,AH411)</f>
        <v/>
      </c>
    </row>
    <row r="412">
      <c r="A412" s="7" t="inlineStr">
        <is>
          <t>HM00440</t>
        </is>
      </c>
      <c r="B412" s="16" t="inlineStr">
        <is>
          <t>4012345200270</t>
        </is>
      </c>
      <c r="C412" s="7" t="inlineStr">
        <is>
          <t>HM ORANGES 500G</t>
        </is>
      </c>
      <c r="D412" s="7" t="inlineStr">
        <is>
          <t>Oranges, 500g</t>
        </is>
      </c>
      <c r="E412" s="7" t="inlineStr">
        <is>
          <t>Harbour Market</t>
        </is>
      </c>
      <c r="F412" s="7" t="inlineStr">
        <is>
          <t>Fruit &amp; Vegetables</t>
        </is>
      </c>
      <c r="G412" s="7" t="inlineStr">
        <is>
          <t>Fruit</t>
        </is>
      </c>
      <c r="H412" s="7" t="inlineStr">
        <is>
          <t>yes</t>
        </is>
      </c>
      <c r="I412" s="7" t="inlineStr">
        <is>
          <t>Plant-based non-core</t>
        </is>
      </c>
      <c r="J412" s="7" t="inlineStr">
        <is>
          <t>Fruit and vegetables</t>
        </is>
      </c>
      <c r="K412" s="7" t="inlineStr">
        <is>
          <t>B</t>
        </is>
      </c>
      <c r="L412" s="7" t="inlineStr">
        <is>
          <t>Follows the class</t>
        </is>
      </c>
      <c r="M412" s="51" t="n">
        <v>0.9</v>
      </c>
      <c r="N412" s="7" t="inlineStr">
        <is>
          <t>Declared by the retailer</t>
        </is>
      </c>
      <c r="O412" s="54" t="n">
        <v>0.9</v>
      </c>
      <c r="P412" s="54" t="n">
        <v>0</v>
      </c>
      <c r="Q412" s="7" t="inlineStr">
        <is>
          <t>yes</t>
        </is>
      </c>
      <c r="R412" s="7" t="inlineStr">
        <is>
          <t>whole</t>
        </is>
      </c>
      <c r="S412" s="7" t="inlineStr">
        <is>
          <t>FG4</t>
        </is>
      </c>
      <c r="T412" s="7" t="n"/>
      <c r="U412" s="7" t="inlineStr">
        <is>
          <t>plant</t>
        </is>
      </c>
      <c r="V412" s="7" t="n"/>
      <c r="W412" s="7" t="n"/>
      <c r="X412" s="55" t="n">
        <v>1</v>
      </c>
      <c r="Y412" s="50" t="n">
        <v>0.5</v>
      </c>
      <c r="Z412" s="7" t="inlineStr">
        <is>
          <t>declared</t>
        </is>
      </c>
      <c r="AA412" s="19">
        <f>IF(ISBLANK(Welcome!D438),"",Welcome!D438)</f>
        <v/>
      </c>
      <c r="AB412" s="29">
        <f>IF(ISBLANK(Welcome!E438),"",Welcome!E438)</f>
        <v/>
      </c>
      <c r="AC412" s="29">
        <f>IF(N(AB412)&gt;0,N(AB412),N(AA412)*Y412)</f>
        <v/>
      </c>
      <c r="AD412" s="29">
        <f>IF(H412="yes",AC412,0)</f>
        <v/>
      </c>
      <c r="AE412" s="29">
        <f>AD412*N(M412)/100</f>
        <v/>
      </c>
      <c r="AF412" s="29">
        <f>AD412*N(O412)/100</f>
        <v/>
      </c>
      <c r="AG412" s="29">
        <f>AD412*N(P412)/100</f>
        <v/>
      </c>
      <c r="AH412" s="50">
        <f>IF(Q412="yes",AD412/1000,0)</f>
        <v/>
      </c>
      <c r="AI412" s="50">
        <f>IF(S412="FG2",AH412*X412,AH412)</f>
        <v/>
      </c>
    </row>
    <row r="413">
      <c r="A413" s="7" t="inlineStr">
        <is>
          <t>HM00756</t>
        </is>
      </c>
      <c r="B413" s="16" t="inlineStr">
        <is>
          <t>8712345578220</t>
        </is>
      </c>
      <c r="C413" s="7" t="inlineStr">
        <is>
          <t>PENROCK CRUNCHY PEANUT BTR 1KG</t>
        </is>
      </c>
      <c r="D413" s="7" t="inlineStr">
        <is>
          <t>Crunchy peanut butter, 1kg</t>
        </is>
      </c>
      <c r="E413" s="7" t="inlineStr">
        <is>
          <t>Penrock</t>
        </is>
      </c>
      <c r="F413" s="7" t="inlineStr">
        <is>
          <t>Grocery</t>
        </is>
      </c>
      <c r="G413" s="7" t="inlineStr">
        <is>
          <t>Spreads</t>
        </is>
      </c>
      <c r="H413" s="7" t="inlineStr">
        <is>
          <t>yes</t>
        </is>
      </c>
      <c r="I413" s="7" t="inlineStr">
        <is>
          <t>Plant-based core</t>
        </is>
      </c>
      <c r="J413" s="7" t="inlineStr">
        <is>
          <t>Nuts</t>
        </is>
      </c>
      <c r="K413" s="7" t="inlineStr">
        <is>
          <t>B</t>
        </is>
      </c>
      <c r="L413" s="7" t="inlineStr">
        <is>
          <t>Follows the class</t>
        </is>
      </c>
      <c r="M413" s="51" t="n">
        <v>24.4</v>
      </c>
      <c r="N413" s="7" t="inlineStr">
        <is>
          <t>Declared by the retailer</t>
        </is>
      </c>
      <c r="O413" s="54" t="n">
        <v>24.4</v>
      </c>
      <c r="P413" s="54" t="n">
        <v>0</v>
      </c>
      <c r="Q413" s="7" t="inlineStr">
        <is>
          <t>yes</t>
        </is>
      </c>
      <c r="R413" s="7" t="inlineStr">
        <is>
          <t>whole</t>
        </is>
      </c>
      <c r="S413" s="7" t="inlineStr">
        <is>
          <t>FG1</t>
        </is>
      </c>
      <c r="T413" s="7" t="inlineStr">
        <is>
          <t>Nuts</t>
        </is>
      </c>
      <c r="U413" s="7" t="inlineStr">
        <is>
          <t>plant</t>
        </is>
      </c>
      <c r="V413" s="7" t="n"/>
      <c r="W413" s="7" t="n"/>
      <c r="X413" s="55" t="n">
        <v>1</v>
      </c>
      <c r="Y413" s="50" t="n">
        <v>1</v>
      </c>
      <c r="Z413" s="7" t="inlineStr">
        <is>
          <t>declared</t>
        </is>
      </c>
      <c r="AA413" s="19">
        <f>IF(ISBLANK(Welcome!D439),"",Welcome!D439)</f>
        <v/>
      </c>
      <c r="AB413" s="29">
        <f>IF(ISBLANK(Welcome!E439),"",Welcome!E439)</f>
        <v/>
      </c>
      <c r="AC413" s="29">
        <f>IF(N(AB413)&gt;0,N(AB413),N(AA413)*Y413)</f>
        <v/>
      </c>
      <c r="AD413" s="29">
        <f>IF(H413="yes",AC413,0)</f>
        <v/>
      </c>
      <c r="AE413" s="29">
        <f>AD413*N(M413)/100</f>
        <v/>
      </c>
      <c r="AF413" s="29">
        <f>AD413*N(O413)/100</f>
        <v/>
      </c>
      <c r="AG413" s="29">
        <f>AD413*N(P413)/100</f>
        <v/>
      </c>
      <c r="AH413" s="50">
        <f>IF(Q413="yes",AD413/1000,0)</f>
        <v/>
      </c>
      <c r="AI413" s="50">
        <f>IF(S413="FG2",AH413*X413,AH413)</f>
        <v/>
      </c>
    </row>
    <row r="414">
      <c r="A414" s="7" t="inlineStr">
        <is>
          <t>HM00129</t>
        </is>
      </c>
      <c r="B414" s="16" t="inlineStr">
        <is>
          <t>4012345553833</t>
        </is>
      </c>
      <c r="C414" s="7" t="inlineStr">
        <is>
          <t>HM PETITS POIS 1.5KG</t>
        </is>
      </c>
      <c r="D414" s="7" t="inlineStr">
        <is>
          <t>Petits pois, 1.5kg</t>
        </is>
      </c>
      <c r="E414" s="7" t="inlineStr">
        <is>
          <t>Harbour Market</t>
        </is>
      </c>
      <c r="F414" s="7" t="inlineStr">
        <is>
          <t>Frozen</t>
        </is>
      </c>
      <c r="G414" s="7" t="inlineStr">
        <is>
          <t>Frozen Vegetables</t>
        </is>
      </c>
      <c r="H414" s="7" t="inlineStr">
        <is>
          <t>yes</t>
        </is>
      </c>
      <c r="I414" s="7" t="inlineStr">
        <is>
          <t>Plant-based core</t>
        </is>
      </c>
      <c r="J414" s="7" t="inlineStr">
        <is>
          <t>Pulses</t>
        </is>
      </c>
      <c r="K414" s="7" t="inlineStr">
        <is>
          <t>A</t>
        </is>
      </c>
      <c r="L414" s="7" t="inlineStr">
        <is>
          <t>All ingredients on one side</t>
        </is>
      </c>
      <c r="M414" s="51" t="n">
        <v>5.4</v>
      </c>
      <c r="N414" s="7" t="inlineStr">
        <is>
          <t>Declared by the retailer</t>
        </is>
      </c>
      <c r="O414" s="54" t="n">
        <v>5.4</v>
      </c>
      <c r="P414" s="54" t="n">
        <v>0</v>
      </c>
      <c r="Q414" s="7" t="inlineStr">
        <is>
          <t>yes</t>
        </is>
      </c>
      <c r="R414" s="7" t="inlineStr">
        <is>
          <t>whole</t>
        </is>
      </c>
      <c r="S414" s="7" t="inlineStr">
        <is>
          <t>FG1</t>
        </is>
      </c>
      <c r="T414" s="7" t="inlineStr">
        <is>
          <t>Pulses</t>
        </is>
      </c>
      <c r="U414" s="7" t="inlineStr">
        <is>
          <t>plant</t>
        </is>
      </c>
      <c r="V414" s="7" t="n"/>
      <c r="W414" s="7" t="n"/>
      <c r="X414" s="55" t="n">
        <v>1</v>
      </c>
      <c r="Y414" s="50" t="n">
        <v>1.5</v>
      </c>
      <c r="Z414" s="7" t="inlineStr">
        <is>
          <t>declared</t>
        </is>
      </c>
      <c r="AA414" s="19">
        <f>IF(ISBLANK(Welcome!D440),"",Welcome!D440)</f>
        <v/>
      </c>
      <c r="AB414" s="29">
        <f>IF(ISBLANK(Welcome!E440),"",Welcome!E440)</f>
        <v/>
      </c>
      <c r="AC414" s="29">
        <f>IF(N(AB414)&gt;0,N(AB414),N(AA414)*Y414)</f>
        <v/>
      </c>
      <c r="AD414" s="29">
        <f>IF(H414="yes",AC414,0)</f>
        <v/>
      </c>
      <c r="AE414" s="29">
        <f>AD414*N(M414)/100</f>
        <v/>
      </c>
      <c r="AF414" s="29">
        <f>AD414*N(O414)/100</f>
        <v/>
      </c>
      <c r="AG414" s="29">
        <f>AD414*N(P414)/100</f>
        <v/>
      </c>
      <c r="AH414" s="50">
        <f>IF(Q414="yes",AD414/1000,0)</f>
        <v/>
      </c>
      <c r="AI414" s="50">
        <f>IF(S414="FG2",AH414*X414,AH414)</f>
        <v/>
      </c>
    </row>
    <row r="415">
      <c r="A415" s="7" t="inlineStr">
        <is>
          <t>HM00250</t>
        </is>
      </c>
      <c r="B415" s="16" t="inlineStr">
        <is>
          <t>8712345800949</t>
        </is>
      </c>
      <c r="C415" s="7" t="inlineStr">
        <is>
          <t>BRAMBLECOTE WHOLEMEAL SLICED 800G</t>
        </is>
      </c>
      <c r="D415" s="7" t="inlineStr">
        <is>
          <t>Wholemeal sliced bread, 800g</t>
        </is>
      </c>
      <c r="E415" s="7" t="inlineStr">
        <is>
          <t>Bramblecote</t>
        </is>
      </c>
      <c r="F415" s="7" t="inlineStr">
        <is>
          <t>Bakery</t>
        </is>
      </c>
      <c r="G415" s="7" t="inlineStr">
        <is>
          <t>Bread</t>
        </is>
      </c>
      <c r="H415" s="7" t="inlineStr">
        <is>
          <t>yes</t>
        </is>
      </c>
      <c r="I415" s="7" t="inlineStr">
        <is>
          <t>Plant-based non-core</t>
        </is>
      </c>
      <c r="J415" s="7" t="inlineStr">
        <is>
          <t>Whole grains</t>
        </is>
      </c>
      <c r="K415" s="7" t="inlineStr">
        <is>
          <t>B</t>
        </is>
      </c>
      <c r="L415" s="7" t="inlineStr">
        <is>
          <t>Follows the class</t>
        </is>
      </c>
      <c r="M415" s="51" t="n">
        <v>10</v>
      </c>
      <c r="N415" s="7" t="inlineStr">
        <is>
          <t>Declared by the retailer</t>
        </is>
      </c>
      <c r="O415" s="54" t="n">
        <v>10</v>
      </c>
      <c r="P415" s="54" t="n">
        <v>0</v>
      </c>
      <c r="Q415" s="7" t="inlineStr">
        <is>
          <t>yes</t>
        </is>
      </c>
      <c r="R415" s="7" t="inlineStr">
        <is>
          <t>whole</t>
        </is>
      </c>
      <c r="S415" s="7" t="inlineStr">
        <is>
          <t>FG5</t>
        </is>
      </c>
      <c r="T415" s="7" t="inlineStr">
        <is>
          <t>Whole grain</t>
        </is>
      </c>
      <c r="U415" s="7" t="inlineStr">
        <is>
          <t>plant</t>
        </is>
      </c>
      <c r="V415" s="7" t="n"/>
      <c r="W415" s="7" t="n"/>
      <c r="X415" s="55" t="n">
        <v>1</v>
      </c>
      <c r="Y415" s="50" t="n">
        <v>0.8</v>
      </c>
      <c r="Z415" s="7" t="inlineStr">
        <is>
          <t>declared</t>
        </is>
      </c>
      <c r="AA415" s="19">
        <f>IF(ISBLANK(Welcome!D441),"",Welcome!D441)</f>
        <v/>
      </c>
      <c r="AB415" s="29">
        <f>IF(ISBLANK(Welcome!E441),"",Welcome!E441)</f>
        <v/>
      </c>
      <c r="AC415" s="29">
        <f>IF(N(AB415)&gt;0,N(AB415),N(AA415)*Y415)</f>
        <v/>
      </c>
      <c r="AD415" s="29">
        <f>IF(H415="yes",AC415,0)</f>
        <v/>
      </c>
      <c r="AE415" s="29">
        <f>AD415*N(M415)/100</f>
        <v/>
      </c>
      <c r="AF415" s="29">
        <f>AD415*N(O415)/100</f>
        <v/>
      </c>
      <c r="AG415" s="29">
        <f>AD415*N(P415)/100</f>
        <v/>
      </c>
      <c r="AH415" s="50">
        <f>IF(Q415="yes",AD415/1000,0)</f>
        <v/>
      </c>
      <c r="AI415" s="50">
        <f>IF(S415="FG2",AH415*X415,AH415)</f>
        <v/>
      </c>
    </row>
    <row r="416">
      <c r="A416" s="7" t="inlineStr">
        <is>
          <t>HM00148</t>
        </is>
      </c>
      <c r="B416" s="16" t="inlineStr">
        <is>
          <t>8712345697280</t>
        </is>
      </c>
      <c r="C416" s="7" t="inlineStr">
        <is>
          <t>FREE RANGE EGGS 6PK TARROW</t>
        </is>
      </c>
      <c r="D416" s="7" t="inlineStr">
        <is>
          <t>Free-range eggs, 6pk</t>
        </is>
      </c>
      <c r="E416" s="7" t="inlineStr">
        <is>
          <t>Tarrow Farm</t>
        </is>
      </c>
      <c r="F416" s="7" t="inlineStr">
        <is>
          <t>Dairy &amp; Eggs</t>
        </is>
      </c>
      <c r="G416" s="7" t="inlineStr">
        <is>
          <t>Eggs</t>
        </is>
      </c>
      <c r="H416" s="7" t="inlineStr">
        <is>
          <t>yes</t>
        </is>
      </c>
      <c r="I416" s="7" t="inlineStr">
        <is>
          <t>Animal core</t>
        </is>
      </c>
      <c r="J416" s="7" t="inlineStr">
        <is>
          <t>Eggs</t>
        </is>
      </c>
      <c r="K416" s="7" t="inlineStr">
        <is>
          <t>B</t>
        </is>
      </c>
      <c r="L416" s="7" t="inlineStr">
        <is>
          <t>Follows the class</t>
        </is>
      </c>
      <c r="M416" s="51" t="n">
        <v>12.9</v>
      </c>
      <c r="N416" s="7" t="inlineStr">
        <is>
          <t>Median of the family</t>
        </is>
      </c>
      <c r="O416" s="54" t="n">
        <v>0</v>
      </c>
      <c r="P416" s="54" t="n">
        <v>12.9</v>
      </c>
      <c r="Q416" s="7" t="inlineStr">
        <is>
          <t>yes</t>
        </is>
      </c>
      <c r="R416" s="7" t="inlineStr">
        <is>
          <t>whole</t>
        </is>
      </c>
      <c r="S416" s="7" t="inlineStr">
        <is>
          <t>FG1</t>
        </is>
      </c>
      <c r="T416" s="7" t="inlineStr">
        <is>
          <t>Eggs</t>
        </is>
      </c>
      <c r="U416" s="7" t="inlineStr">
        <is>
          <t>animal</t>
        </is>
      </c>
      <c r="V416" s="7" t="n"/>
      <c r="W416" s="7" t="n"/>
      <c r="X416" s="55" t="n">
        <v>1</v>
      </c>
      <c r="Y416" s="50" t="n">
        <v>0.36</v>
      </c>
      <c r="Z416" s="7" t="inlineStr">
        <is>
          <t>declared</t>
        </is>
      </c>
      <c r="AA416" s="19">
        <f>IF(ISBLANK(Welcome!D442),"",Welcome!D442)</f>
        <v/>
      </c>
      <c r="AB416" s="29">
        <f>IF(ISBLANK(Welcome!E442),"",Welcome!E442)</f>
        <v/>
      </c>
      <c r="AC416" s="29">
        <f>IF(N(AB416)&gt;0,N(AB416),N(AA416)*Y416)</f>
        <v/>
      </c>
      <c r="AD416" s="29">
        <f>IF(H416="yes",AC416,0)</f>
        <v/>
      </c>
      <c r="AE416" s="29">
        <f>AD416*N(M416)/100</f>
        <v/>
      </c>
      <c r="AF416" s="29">
        <f>AD416*N(O416)/100</f>
        <v/>
      </c>
      <c r="AG416" s="29">
        <f>AD416*N(P416)/100</f>
        <v/>
      </c>
      <c r="AH416" s="50">
        <f>IF(Q416="yes",AD416/1000,0)</f>
        <v/>
      </c>
      <c r="AI416" s="50">
        <f>IF(S416="FG2",AH416*X416,AH416)</f>
        <v/>
      </c>
    </row>
    <row r="417">
      <c r="A417" s="7" t="inlineStr">
        <is>
          <t>HM00502</t>
        </is>
      </c>
      <c r="B417" s="16" t="inlineStr">
        <is>
          <t>5012345504254</t>
        </is>
      </c>
      <c r="C417" s="7" t="inlineStr">
        <is>
          <t>CUSTOMER ORDER 0042</t>
        </is>
      </c>
      <c r="D417" s="7" t="inlineStr">
        <is>
          <t>Customer order</t>
        </is>
      </c>
      <c r="E417" s="7" t="inlineStr">
        <is>
          <t>Harbour Market</t>
        </is>
      </c>
      <c r="F417" s="7" t="inlineStr">
        <is>
          <t>Household</t>
        </is>
      </c>
      <c r="G417" s="7" t="inlineStr">
        <is>
          <t>Household</t>
        </is>
      </c>
      <c r="H417" s="7" t="inlineStr">
        <is>
          <t>no</t>
        </is>
      </c>
      <c r="I417" s="7" t="n"/>
      <c r="J417" s="7" t="n"/>
      <c r="K417" s="7" t="n"/>
      <c r="L417" s="7" t="n"/>
      <c r="M417" s="51" t="n"/>
      <c r="N417" s="7" t="n"/>
      <c r="O417" s="54" t="n"/>
      <c r="P417" s="54" t="n"/>
      <c r="Q417" s="7" t="inlineStr">
        <is>
          <t>no</t>
        </is>
      </c>
      <c r="R417" s="7" t="n"/>
      <c r="S417" s="7" t="n"/>
      <c r="T417" s="7" t="n"/>
      <c r="U417" s="7" t="n"/>
      <c r="V417" s="7" t="n"/>
      <c r="W417" s="7" t="n"/>
      <c r="X417" s="55" t="n">
        <v>1</v>
      </c>
      <c r="Y417" s="50" t="n">
        <v>0.3</v>
      </c>
      <c r="Z417" s="7" t="inlineStr">
        <is>
          <t>declared</t>
        </is>
      </c>
      <c r="AA417" s="19">
        <f>IF(ISBLANK(Welcome!D443),"",Welcome!D443)</f>
        <v/>
      </c>
      <c r="AB417" s="29">
        <f>IF(ISBLANK(Welcome!E443),"",Welcome!E443)</f>
        <v/>
      </c>
      <c r="AC417" s="29">
        <f>IF(N(AB417)&gt;0,N(AB417),N(AA417)*Y417)</f>
        <v/>
      </c>
      <c r="AD417" s="29">
        <f>IF(H417="yes",AC417,0)</f>
        <v/>
      </c>
      <c r="AE417" s="29">
        <f>AD417*N(M417)/100</f>
        <v/>
      </c>
      <c r="AF417" s="29">
        <f>AD417*N(O417)/100</f>
        <v/>
      </c>
      <c r="AG417" s="29">
        <f>AD417*N(P417)/100</f>
        <v/>
      </c>
      <c r="AH417" s="50">
        <f>IF(Q417="yes",AD417/1000,0)</f>
        <v/>
      </c>
      <c r="AI417" s="50">
        <f>IF(S417="FG2",AH417*X417,AH417)</f>
        <v/>
      </c>
    </row>
    <row r="418">
      <c r="A418" s="7" t="inlineStr">
        <is>
          <t>HM00434</t>
        </is>
      </c>
      <c r="B418" s="16" t="inlineStr">
        <is>
          <t>3012345245272</t>
        </is>
      </c>
      <c r="C418" s="7" t="inlineStr">
        <is>
          <t>ALL BUTTER CROISSANTS 8PK 280G BRAMBLECOTE</t>
        </is>
      </c>
      <c r="D418" s="7" t="inlineStr">
        <is>
          <t>All-butter croissants, 8pk 280g</t>
        </is>
      </c>
      <c r="E418" s="7" t="inlineStr">
        <is>
          <t>Bramblecote</t>
        </is>
      </c>
      <c r="F418" s="7" t="inlineStr">
        <is>
          <t>Bakery</t>
        </is>
      </c>
      <c r="G418" s="7" t="inlineStr">
        <is>
          <t>Pastries</t>
        </is>
      </c>
      <c r="H418" s="7" t="inlineStr">
        <is>
          <t>yes</t>
        </is>
      </c>
      <c r="I418" s="7" t="inlineStr">
        <is>
          <t>Animal &amp; plant composite</t>
        </is>
      </c>
      <c r="J418" s="7" t="inlineStr">
        <is>
          <t>Discretionary products</t>
        </is>
      </c>
      <c r="K418" s="7" t="inlineStr">
        <is>
          <t>A</t>
        </is>
      </c>
      <c r="L418" s="7" t="inlineStr">
        <is>
          <t>NEVO food table (ratio only)</t>
        </is>
      </c>
      <c r="M418" s="51" t="n">
        <v>7.9</v>
      </c>
      <c r="N418" s="7" t="inlineStr">
        <is>
          <t>Declared by the retailer</t>
        </is>
      </c>
      <c r="O418" s="54" t="n">
        <v>5.69</v>
      </c>
      <c r="P418" s="54" t="n">
        <v>2.21</v>
      </c>
      <c r="Q418" s="7" t="inlineStr">
        <is>
          <t>yes</t>
        </is>
      </c>
      <c r="R418" s="7" t="inlineStr">
        <is>
          <t>whole</t>
        </is>
      </c>
      <c r="S418" s="7" t="inlineStr">
        <is>
          <t>FG7</t>
        </is>
      </c>
      <c r="T418" s="7" t="n"/>
      <c r="U418" s="7" t="inlineStr">
        <is>
          <t>plant</t>
        </is>
      </c>
      <c r="V418" s="7" t="n"/>
      <c r="W418" s="7" t="n"/>
      <c r="X418" s="55" t="n">
        <v>1</v>
      </c>
      <c r="Y418" s="50" t="n">
        <v>0.28</v>
      </c>
      <c r="Z418" s="7" t="inlineStr">
        <is>
          <t>declared</t>
        </is>
      </c>
      <c r="AA418" s="19">
        <f>IF(ISBLANK(Welcome!D444),"",Welcome!D444)</f>
        <v/>
      </c>
      <c r="AB418" s="29">
        <f>IF(ISBLANK(Welcome!E444),"",Welcome!E444)</f>
        <v/>
      </c>
      <c r="AC418" s="29">
        <f>IF(N(AB418)&gt;0,N(AB418),N(AA418)*Y418)</f>
        <v/>
      </c>
      <c r="AD418" s="29">
        <f>IF(H418="yes",AC418,0)</f>
        <v/>
      </c>
      <c r="AE418" s="29">
        <f>AD418*N(M418)/100</f>
        <v/>
      </c>
      <c r="AF418" s="29">
        <f>AD418*N(O418)/100</f>
        <v/>
      </c>
      <c r="AG418" s="29">
        <f>AD418*N(P418)/100</f>
        <v/>
      </c>
      <c r="AH418" s="50">
        <f>IF(Q418="yes",AD418/1000,0)</f>
        <v/>
      </c>
      <c r="AI418" s="50">
        <f>IF(S418="FG2",AH418*X418,AH418)</f>
        <v/>
      </c>
    </row>
    <row r="419">
      <c r="A419" s="7" t="inlineStr">
        <is>
          <t>HM00716</t>
        </is>
      </c>
      <c r="B419" s="16" t="inlineStr">
        <is>
          <t>4012345710861</t>
        </is>
      </c>
      <c r="C419" s="7" t="inlineStr">
        <is>
          <t>KING PRAWNS COOKED 150G KESTREL</t>
        </is>
      </c>
      <c r="D419" s="7" t="inlineStr">
        <is>
          <t>Cooked king prawns, 150g</t>
        </is>
      </c>
      <c r="E419" s="7" t="inlineStr">
        <is>
          <t>Kestrel Bay</t>
        </is>
      </c>
      <c r="F419" s="7" t="inlineStr">
        <is>
          <t>Fish &amp; Seafood</t>
        </is>
      </c>
      <c r="G419" s="7" t="inlineStr">
        <is>
          <t>Shellfish</t>
        </is>
      </c>
      <c r="H419" s="7" t="inlineStr">
        <is>
          <t>yes</t>
        </is>
      </c>
      <c r="I419" s="7" t="inlineStr">
        <is>
          <t>Animal core</t>
        </is>
      </c>
      <c r="J419" s="7" t="inlineStr">
        <is>
          <t>Fish and seafood</t>
        </is>
      </c>
      <c r="K419" s="7" t="inlineStr">
        <is>
          <t>B</t>
        </is>
      </c>
      <c r="L419" s="7" t="inlineStr">
        <is>
          <t>Follows the class</t>
        </is>
      </c>
      <c r="M419" s="51" t="n">
        <v>17.4</v>
      </c>
      <c r="N419" s="7" t="inlineStr">
        <is>
          <t>Declared by the retailer</t>
        </is>
      </c>
      <c r="O419" s="54" t="n">
        <v>0</v>
      </c>
      <c r="P419" s="54" t="n">
        <v>17.4</v>
      </c>
      <c r="Q419" s="7" t="inlineStr">
        <is>
          <t>yes</t>
        </is>
      </c>
      <c r="R419" s="7" t="inlineStr">
        <is>
          <t>whole</t>
        </is>
      </c>
      <c r="S419" s="7" t="inlineStr">
        <is>
          <t>FG1</t>
        </is>
      </c>
      <c r="T419" s="7" t="inlineStr">
        <is>
          <t>Fish &amp; shellfish</t>
        </is>
      </c>
      <c r="U419" s="7" t="inlineStr">
        <is>
          <t>animal</t>
        </is>
      </c>
      <c r="V419" s="7" t="n"/>
      <c r="W419" s="7" t="n"/>
      <c r="X419" s="55" t="n">
        <v>1</v>
      </c>
      <c r="Y419" s="50" t="n">
        <v>0.15</v>
      </c>
      <c r="Z419" s="7" t="inlineStr">
        <is>
          <t>declared</t>
        </is>
      </c>
      <c r="AA419" s="19">
        <f>IF(ISBLANK(Welcome!D445),"",Welcome!D445)</f>
        <v/>
      </c>
      <c r="AB419" s="29">
        <f>IF(ISBLANK(Welcome!E445),"",Welcome!E445)</f>
        <v/>
      </c>
      <c r="AC419" s="29">
        <f>IF(N(AB419)&gt;0,N(AB419),N(AA419)*Y419)</f>
        <v/>
      </c>
      <c r="AD419" s="29">
        <f>IF(H419="yes",AC419,0)</f>
        <v/>
      </c>
      <c r="AE419" s="29">
        <f>AD419*N(M419)/100</f>
        <v/>
      </c>
      <c r="AF419" s="29">
        <f>AD419*N(O419)/100</f>
        <v/>
      </c>
      <c r="AG419" s="29">
        <f>AD419*N(P419)/100</f>
        <v/>
      </c>
      <c r="AH419" s="50">
        <f>IF(Q419="yes",AD419/1000,0)</f>
        <v/>
      </c>
      <c r="AI419" s="50">
        <f>IF(S419="FG2",AH419*X419,AH419)</f>
        <v/>
      </c>
    </row>
    <row r="420">
      <c r="A420" s="7" t="inlineStr">
        <is>
          <t>HM00073</t>
        </is>
      </c>
      <c r="B420" s="16" t="inlineStr">
        <is>
          <t>5012345300337</t>
        </is>
      </c>
      <c r="C420" s="7" t="inlineStr">
        <is>
          <t>HM BF BURGERS 4PK 454G</t>
        </is>
      </c>
      <c r="D420" s="7" t="inlineStr">
        <is>
          <t>Beef burgers, 4 pack, 454g</t>
        </is>
      </c>
      <c r="E420" s="7" t="inlineStr">
        <is>
          <t>Harbour Market</t>
        </is>
      </c>
      <c r="F420" s="7" t="inlineStr">
        <is>
          <t>Fresh Meat &amp; Poultry</t>
        </is>
      </c>
      <c r="G420" s="7" t="inlineStr">
        <is>
          <t>Sausages &amp; Burgers</t>
        </is>
      </c>
      <c r="H420" s="7" t="inlineStr">
        <is>
          <t>yes</t>
        </is>
      </c>
      <c r="I420" s="7" t="inlineStr">
        <is>
          <t>Animal core</t>
        </is>
      </c>
      <c r="J420" s="7" t="inlineStr">
        <is>
          <t>Dishes and processed products</t>
        </is>
      </c>
      <c r="K420" s="7" t="inlineStr">
        <is>
          <t>B</t>
        </is>
      </c>
      <c r="L420" s="7" t="inlineStr">
        <is>
          <t>First ingredient</t>
        </is>
      </c>
      <c r="M420" s="51" t="n">
        <v>14.4</v>
      </c>
      <c r="N420" s="7" t="inlineStr">
        <is>
          <t>Median of the family</t>
        </is>
      </c>
      <c r="O420" s="54" t="n">
        <v>0</v>
      </c>
      <c r="P420" s="54" t="n">
        <v>14.4</v>
      </c>
      <c r="Q420" s="7" t="inlineStr">
        <is>
          <t>yes</t>
        </is>
      </c>
      <c r="R420" s="7" t="inlineStr">
        <is>
          <t>whole</t>
        </is>
      </c>
      <c r="S420" s="7" t="inlineStr">
        <is>
          <t>FG1</t>
        </is>
      </c>
      <c r="T420" s="7" t="inlineStr">
        <is>
          <t>Red meat</t>
        </is>
      </c>
      <c r="U420" s="7" t="inlineStr">
        <is>
          <t>animal</t>
        </is>
      </c>
      <c r="V420" s="7" t="n"/>
      <c r="W420" s="7" t="n"/>
      <c r="X420" s="55" t="n">
        <v>1</v>
      </c>
      <c r="Y420" s="50" t="n">
        <v>0.454</v>
      </c>
      <c r="Z420" s="7" t="inlineStr">
        <is>
          <t>declared</t>
        </is>
      </c>
      <c r="AA420" s="19">
        <f>IF(ISBLANK(Welcome!D446),"",Welcome!D446)</f>
        <v/>
      </c>
      <c r="AB420" s="29">
        <f>IF(ISBLANK(Welcome!E446),"",Welcome!E446)</f>
        <v/>
      </c>
      <c r="AC420" s="29">
        <f>IF(N(AB420)&gt;0,N(AB420),N(AA420)*Y420)</f>
        <v/>
      </c>
      <c r="AD420" s="29">
        <f>IF(H420="yes",AC420,0)</f>
        <v/>
      </c>
      <c r="AE420" s="29">
        <f>AD420*N(M420)/100</f>
        <v/>
      </c>
      <c r="AF420" s="29">
        <f>AD420*N(O420)/100</f>
        <v/>
      </c>
      <c r="AG420" s="29">
        <f>AD420*N(P420)/100</f>
        <v/>
      </c>
      <c r="AH420" s="50">
        <f>IF(Q420="yes",AD420/1000,0)</f>
        <v/>
      </c>
      <c r="AI420" s="50">
        <f>IF(S420="FG2",AH420*X420,AH420)</f>
        <v/>
      </c>
    </row>
    <row r="421">
      <c r="A421" s="7" t="inlineStr">
        <is>
          <t>HM00369</t>
        </is>
      </c>
      <c r="B421" s="16" t="inlineStr">
        <is>
          <t>8712345191122</t>
        </is>
      </c>
      <c r="C421" s="7" t="inlineStr">
        <is>
          <t>MARLOWE BUTTER SHORTBREAD 300G</t>
        </is>
      </c>
      <c r="D421" s="7" t="inlineStr">
        <is>
          <t>All-butter shortbread, 300g</t>
        </is>
      </c>
      <c r="E421" s="7" t="inlineStr">
        <is>
          <t>Marlowe</t>
        </is>
      </c>
      <c r="F421" s="7" t="inlineStr">
        <is>
          <t>Breakfast &amp; Snacks</t>
        </is>
      </c>
      <c r="G421" s="7" t="inlineStr">
        <is>
          <t>Biscuits</t>
        </is>
      </c>
      <c r="H421" s="7" t="inlineStr">
        <is>
          <t>yes</t>
        </is>
      </c>
      <c r="I421" s="7" t="inlineStr">
        <is>
          <t>Animal &amp; plant composite</t>
        </is>
      </c>
      <c r="J421" s="7" t="inlineStr">
        <is>
          <t>Discretionary products</t>
        </is>
      </c>
      <c r="K421" s="7" t="inlineStr">
        <is>
          <t>B</t>
        </is>
      </c>
      <c r="L421" s="7" t="inlineStr">
        <is>
          <t>50/50 convention</t>
        </is>
      </c>
      <c r="M421" s="51" t="n">
        <v>6.3</v>
      </c>
      <c r="N421" s="7" t="inlineStr">
        <is>
          <t>Declared by the retailer</t>
        </is>
      </c>
      <c r="O421" s="54" t="n">
        <v>3.15</v>
      </c>
      <c r="P421" s="54" t="n">
        <v>3.15</v>
      </c>
      <c r="Q421" s="7" t="inlineStr">
        <is>
          <t>yes</t>
        </is>
      </c>
      <c r="R421" s="7" t="inlineStr">
        <is>
          <t>whole</t>
        </is>
      </c>
      <c r="S421" s="7" t="inlineStr">
        <is>
          <t>FG7</t>
        </is>
      </c>
      <c r="T421" s="7" t="n"/>
      <c r="U421" s="7" t="inlineStr">
        <is>
          <t>plant</t>
        </is>
      </c>
      <c r="V421" s="7" t="n"/>
      <c r="W421" s="7" t="n"/>
      <c r="X421" s="55" t="n">
        <v>1</v>
      </c>
      <c r="Y421" s="50" t="n">
        <v>0.3</v>
      </c>
      <c r="Z421" s="7" t="inlineStr">
        <is>
          <t>declared</t>
        </is>
      </c>
      <c r="AA421" s="19">
        <f>IF(ISBLANK(Welcome!D447),"",Welcome!D447)</f>
        <v/>
      </c>
      <c r="AB421" s="29">
        <f>IF(ISBLANK(Welcome!E447),"",Welcome!E447)</f>
        <v/>
      </c>
      <c r="AC421" s="29">
        <f>IF(N(AB421)&gt;0,N(AB421),N(AA421)*Y421)</f>
        <v/>
      </c>
      <c r="AD421" s="29">
        <f>IF(H421="yes",AC421,0)</f>
        <v/>
      </c>
      <c r="AE421" s="29">
        <f>AD421*N(M421)/100</f>
        <v/>
      </c>
      <c r="AF421" s="29">
        <f>AD421*N(O421)/100</f>
        <v/>
      </c>
      <c r="AG421" s="29">
        <f>AD421*N(P421)/100</f>
        <v/>
      </c>
      <c r="AH421" s="50">
        <f>IF(Q421="yes",AD421/1000,0)</f>
        <v/>
      </c>
      <c r="AI421" s="50">
        <f>IF(S421="FG2",AH421*X421,AH421)</f>
        <v/>
      </c>
    </row>
    <row r="422">
      <c r="A422" s="7" t="inlineStr">
        <is>
          <t>HM00118</t>
        </is>
      </c>
      <c r="B422" s="16" t="inlineStr">
        <is>
          <t>3012345779180</t>
        </is>
      </c>
      <c r="C422" s="7" t="inlineStr">
        <is>
          <t>HM SALMON FLT SKINLESS 2X140G</t>
        </is>
      </c>
      <c r="D422" s="7" t="inlineStr">
        <is>
          <t>Skinless salmon fillets, 2x140g</t>
        </is>
      </c>
      <c r="E422" s="7" t="inlineStr">
        <is>
          <t>Harbour Market</t>
        </is>
      </c>
      <c r="F422" s="7" t="inlineStr">
        <is>
          <t>Fish &amp; Seafood</t>
        </is>
      </c>
      <c r="G422" s="7" t="inlineStr">
        <is>
          <t>Fresh Fish</t>
        </is>
      </c>
      <c r="H422" s="7" t="inlineStr">
        <is>
          <t>yes</t>
        </is>
      </c>
      <c r="I422" s="7" t="inlineStr">
        <is>
          <t>Animal core</t>
        </is>
      </c>
      <c r="J422" s="7" t="inlineStr">
        <is>
          <t>Fish and seafood</t>
        </is>
      </c>
      <c r="K422" s="7" t="inlineStr">
        <is>
          <t>B</t>
        </is>
      </c>
      <c r="L422" s="7" t="inlineStr">
        <is>
          <t>Follows the class</t>
        </is>
      </c>
      <c r="M422" s="51" t="n">
        <v>20.4</v>
      </c>
      <c r="N422" s="7" t="inlineStr">
        <is>
          <t>Declared by the retailer</t>
        </is>
      </c>
      <c r="O422" s="54" t="n">
        <v>0</v>
      </c>
      <c r="P422" s="54" t="n">
        <v>20.4</v>
      </c>
      <c r="Q422" s="7" t="inlineStr">
        <is>
          <t>yes</t>
        </is>
      </c>
      <c r="R422" s="7" t="inlineStr">
        <is>
          <t>whole</t>
        </is>
      </c>
      <c r="S422" s="7" t="inlineStr">
        <is>
          <t>FG1</t>
        </is>
      </c>
      <c r="T422" s="7" t="inlineStr">
        <is>
          <t>Fish &amp; shellfish</t>
        </is>
      </c>
      <c r="U422" s="7" t="inlineStr">
        <is>
          <t>animal</t>
        </is>
      </c>
      <c r="V422" s="7" t="n"/>
      <c r="W422" s="7" t="n"/>
      <c r="X422" s="55" t="n">
        <v>1</v>
      </c>
      <c r="Y422" s="50" t="n">
        <v>0.28</v>
      </c>
      <c r="Z422" s="7" t="inlineStr">
        <is>
          <t>declared</t>
        </is>
      </c>
      <c r="AA422" s="19">
        <f>IF(ISBLANK(Welcome!D448),"",Welcome!D448)</f>
        <v/>
      </c>
      <c r="AB422" s="29">
        <f>IF(ISBLANK(Welcome!E448),"",Welcome!E448)</f>
        <v/>
      </c>
      <c r="AC422" s="29">
        <f>IF(N(AB422)&gt;0,N(AB422),N(AA422)*Y422)</f>
        <v/>
      </c>
      <c r="AD422" s="29">
        <f>IF(H422="yes",AC422,0)</f>
        <v/>
      </c>
      <c r="AE422" s="29">
        <f>AD422*N(M422)/100</f>
        <v/>
      </c>
      <c r="AF422" s="29">
        <f>AD422*N(O422)/100</f>
        <v/>
      </c>
      <c r="AG422" s="29">
        <f>AD422*N(P422)/100</f>
        <v/>
      </c>
      <c r="AH422" s="50">
        <f>IF(Q422="yes",AD422/1000,0)</f>
        <v/>
      </c>
      <c r="AI422" s="50">
        <f>IF(S422="FG2",AH422*X422,AH422)</f>
        <v/>
      </c>
    </row>
    <row r="423">
      <c r="A423" s="7" t="inlineStr">
        <is>
          <t>HM00355</t>
        </is>
      </c>
      <c r="B423" s="16" t="inlineStr">
        <is>
          <t>5012345170619</t>
        </is>
      </c>
      <c r="C423" s="7" t="inlineStr">
        <is>
          <t>HM TOMATOES VINE 300G</t>
        </is>
      </c>
      <c r="D423" s="7" t="inlineStr">
        <is>
          <t>Vine tomatoes, 300g</t>
        </is>
      </c>
      <c r="E423" s="7" t="inlineStr">
        <is>
          <t>Harbour Market</t>
        </is>
      </c>
      <c r="F423" s="7" t="inlineStr">
        <is>
          <t>Fruit &amp; Vegetables</t>
        </is>
      </c>
      <c r="G423" s="7" t="inlineStr">
        <is>
          <t>Vegetables</t>
        </is>
      </c>
      <c r="H423" s="7" t="inlineStr">
        <is>
          <t>yes</t>
        </is>
      </c>
      <c r="I423" s="7" t="inlineStr">
        <is>
          <t>Plant-based non-core</t>
        </is>
      </c>
      <c r="J423" s="7" t="inlineStr">
        <is>
          <t>Fruit and vegetables</t>
        </is>
      </c>
      <c r="K423" s="7" t="inlineStr">
        <is>
          <t>B</t>
        </is>
      </c>
      <c r="L423" s="7" t="inlineStr">
        <is>
          <t>Follows the class</t>
        </is>
      </c>
      <c r="M423" s="51" t="n">
        <v>0.92</v>
      </c>
      <c r="N423" s="7" t="inlineStr">
        <is>
          <t>Open Food Facts and NEVO, by EAN</t>
        </is>
      </c>
      <c r="O423" s="54" t="n">
        <v>0.92</v>
      </c>
      <c r="P423" s="54" t="n">
        <v>0</v>
      </c>
      <c r="Q423" s="7" t="inlineStr">
        <is>
          <t>yes</t>
        </is>
      </c>
      <c r="R423" s="7" t="inlineStr">
        <is>
          <t>whole</t>
        </is>
      </c>
      <c r="S423" s="7" t="inlineStr">
        <is>
          <t>FG4</t>
        </is>
      </c>
      <c r="T423" s="7" t="n"/>
      <c r="U423" s="7" t="inlineStr">
        <is>
          <t>plant</t>
        </is>
      </c>
      <c r="V423" s="7" t="n"/>
      <c r="W423" s="7" t="n"/>
      <c r="X423" s="55" t="n">
        <v>1</v>
      </c>
      <c r="Y423" s="50" t="n">
        <v>0.3</v>
      </c>
      <c r="Z423" s="7" t="inlineStr">
        <is>
          <t>declared</t>
        </is>
      </c>
      <c r="AA423" s="19">
        <f>IF(ISBLANK(Welcome!D449),"",Welcome!D449)</f>
        <v/>
      </c>
      <c r="AB423" s="29">
        <f>IF(ISBLANK(Welcome!E449),"",Welcome!E449)</f>
        <v/>
      </c>
      <c r="AC423" s="29">
        <f>IF(N(AB423)&gt;0,N(AB423),N(AA423)*Y423)</f>
        <v/>
      </c>
      <c r="AD423" s="29">
        <f>IF(H423="yes",AC423,0)</f>
        <v/>
      </c>
      <c r="AE423" s="29">
        <f>AD423*N(M423)/100</f>
        <v/>
      </c>
      <c r="AF423" s="29">
        <f>AD423*N(O423)/100</f>
        <v/>
      </c>
      <c r="AG423" s="29">
        <f>AD423*N(P423)/100</f>
        <v/>
      </c>
      <c r="AH423" s="50">
        <f>IF(Q423="yes",AD423/1000,0)</f>
        <v/>
      </c>
      <c r="AI423" s="50">
        <f>IF(S423="FG2",AH423*X423,AH423)</f>
        <v/>
      </c>
    </row>
    <row r="424">
      <c r="A424" s="7" t="inlineStr">
        <is>
          <t>HM00074</t>
        </is>
      </c>
      <c r="B424" s="16" t="inlineStr">
        <is>
          <t>4012345754353</t>
        </is>
      </c>
      <c r="C424" s="7" t="inlineStr">
        <is>
          <t>HM NAT YOG 4X125G</t>
        </is>
      </c>
      <c r="D424" s="7" t="inlineStr">
        <is>
          <t>Natural yoghurt, 4x125g</t>
        </is>
      </c>
      <c r="E424" s="7" t="inlineStr">
        <is>
          <t>Harbour Market</t>
        </is>
      </c>
      <c r="F424" s="7" t="inlineStr">
        <is>
          <t>Dairy &amp; Eggs</t>
        </is>
      </c>
      <c r="G424" s="7" t="inlineStr">
        <is>
          <t>Yoghurt</t>
        </is>
      </c>
      <c r="H424" s="7" t="inlineStr">
        <is>
          <t>yes</t>
        </is>
      </c>
      <c r="I424" s="7" t="inlineStr">
        <is>
          <t>Animal core</t>
        </is>
      </c>
      <c r="J424" s="7" t="inlineStr">
        <is>
          <t>Milk, yoghurt and cream</t>
        </is>
      </c>
      <c r="K424" s="7" t="inlineStr">
        <is>
          <t>A</t>
        </is>
      </c>
      <c r="L424" s="7" t="inlineStr">
        <is>
          <t>All ingredients on one side</t>
        </is>
      </c>
      <c r="M424" s="51" t="n">
        <v>4.6</v>
      </c>
      <c r="N424" s="7" t="inlineStr">
        <is>
          <t>Open Food Facts and NEVO, by EAN</t>
        </is>
      </c>
      <c r="O424" s="54" t="n">
        <v>0</v>
      </c>
      <c r="P424" s="54" t="n">
        <v>4.6</v>
      </c>
      <c r="Q424" s="7" t="inlineStr">
        <is>
          <t>yes</t>
        </is>
      </c>
      <c r="R424" s="7" t="inlineStr">
        <is>
          <t>whole</t>
        </is>
      </c>
      <c r="S424" s="7" t="inlineStr">
        <is>
          <t>FG2</t>
        </is>
      </c>
      <c r="T424" s="7" t="inlineStr">
        <is>
          <t>Dairy</t>
        </is>
      </c>
      <c r="U424" s="7" t="inlineStr">
        <is>
          <t>animal</t>
        </is>
      </c>
      <c r="V424" s="7" t="n"/>
      <c r="W424" s="7" t="n"/>
      <c r="X424" s="55" t="n">
        <v>1</v>
      </c>
      <c r="Y424" s="50" t="n">
        <v>0.5</v>
      </c>
      <c r="Z424" s="7" t="inlineStr">
        <is>
          <t>declared</t>
        </is>
      </c>
      <c r="AA424" s="19">
        <f>IF(ISBLANK(Welcome!D450),"",Welcome!D450)</f>
        <v/>
      </c>
      <c r="AB424" s="29">
        <f>IF(ISBLANK(Welcome!E450),"",Welcome!E450)</f>
        <v/>
      </c>
      <c r="AC424" s="29">
        <f>IF(N(AB424)&gt;0,N(AB424),N(AA424)*Y424)</f>
        <v/>
      </c>
      <c r="AD424" s="29">
        <f>IF(H424="yes",AC424,0)</f>
        <v/>
      </c>
      <c r="AE424" s="29">
        <f>AD424*N(M424)/100</f>
        <v/>
      </c>
      <c r="AF424" s="29">
        <f>AD424*N(O424)/100</f>
        <v/>
      </c>
      <c r="AG424" s="29">
        <f>AD424*N(P424)/100</f>
        <v/>
      </c>
      <c r="AH424" s="50">
        <f>IF(Q424="yes",AD424/1000,0)</f>
        <v/>
      </c>
      <c r="AI424" s="50">
        <f>IF(S424="FG2",AH424*X424,AH424)</f>
        <v/>
      </c>
    </row>
    <row r="425">
      <c r="A425" s="7" t="inlineStr">
        <is>
          <t>HM00212</t>
        </is>
      </c>
      <c r="B425" s="16" t="inlineStr">
        <is>
          <t>5012345084206</t>
        </is>
      </c>
      <c r="C425" s="7" t="inlineStr">
        <is>
          <t>HM GARLIC 4PK 300G</t>
        </is>
      </c>
      <c r="D425" s="7" t="inlineStr">
        <is>
          <t>Garlic bulbs, 300g</t>
        </is>
      </c>
      <c r="E425" s="7" t="inlineStr">
        <is>
          <t>Harbour Market</t>
        </is>
      </c>
      <c r="F425" s="7" t="inlineStr">
        <is>
          <t>Fruit &amp; Vegetables</t>
        </is>
      </c>
      <c r="G425" s="7" t="inlineStr">
        <is>
          <t>Vegetables</t>
        </is>
      </c>
      <c r="H425" s="7" t="inlineStr">
        <is>
          <t>yes</t>
        </is>
      </c>
      <c r="I425" s="7" t="inlineStr">
        <is>
          <t>Plant-based non-core</t>
        </is>
      </c>
      <c r="J425" s="7" t="inlineStr">
        <is>
          <t>Fruit and vegetables</t>
        </is>
      </c>
      <c r="K425" s="7" t="inlineStr">
        <is>
          <t>B</t>
        </is>
      </c>
      <c r="L425" s="7" t="inlineStr">
        <is>
          <t>Follows the class</t>
        </is>
      </c>
      <c r="M425" s="51" t="n">
        <v>6.4</v>
      </c>
      <c r="N425" s="7" t="inlineStr">
        <is>
          <t>Altera reference base</t>
        </is>
      </c>
      <c r="O425" s="54" t="n">
        <v>6.4</v>
      </c>
      <c r="P425" s="54" t="n">
        <v>0</v>
      </c>
      <c r="Q425" s="7" t="inlineStr">
        <is>
          <t>yes</t>
        </is>
      </c>
      <c r="R425" s="7" t="inlineStr">
        <is>
          <t>whole</t>
        </is>
      </c>
      <c r="S425" s="7" t="inlineStr">
        <is>
          <t>FG4</t>
        </is>
      </c>
      <c r="T425" s="7" t="n"/>
      <c r="U425" s="7" t="inlineStr">
        <is>
          <t>plant</t>
        </is>
      </c>
      <c r="V425" s="7" t="n"/>
      <c r="W425" s="7" t="n"/>
      <c r="X425" s="55" t="n">
        <v>1</v>
      </c>
      <c r="Y425" s="50" t="n">
        <v>0.3</v>
      </c>
      <c r="Z425" s="7" t="inlineStr">
        <is>
          <t>declared</t>
        </is>
      </c>
      <c r="AA425" s="19">
        <f>IF(ISBLANK(Welcome!D451),"",Welcome!D451)</f>
        <v/>
      </c>
      <c r="AB425" s="29">
        <f>IF(ISBLANK(Welcome!E451),"",Welcome!E451)</f>
        <v/>
      </c>
      <c r="AC425" s="29">
        <f>IF(N(AB425)&gt;0,N(AB425),N(AA425)*Y425)</f>
        <v/>
      </c>
      <c r="AD425" s="29">
        <f>IF(H425="yes",AC425,0)</f>
        <v/>
      </c>
      <c r="AE425" s="29">
        <f>AD425*N(M425)/100</f>
        <v/>
      </c>
      <c r="AF425" s="29">
        <f>AD425*N(O425)/100</f>
        <v/>
      </c>
      <c r="AG425" s="29">
        <f>AD425*N(P425)/100</f>
        <v/>
      </c>
      <c r="AH425" s="50">
        <f>IF(Q425="yes",AD425/1000,0)</f>
        <v/>
      </c>
      <c r="AI425" s="50">
        <f>IF(S425="FG2",AH425*X425,AH425)</f>
        <v/>
      </c>
    </row>
    <row r="426">
      <c r="A426" s="7" t="inlineStr">
        <is>
          <t>HM00660</t>
        </is>
      </c>
      <c r="B426" s="16" t="inlineStr">
        <is>
          <t>5012345503820</t>
        </is>
      </c>
      <c r="C426" s="7" t="inlineStr">
        <is>
          <t>PIZZA HAM MUSHROOM 2X320G QUILLAN</t>
        </is>
      </c>
      <c r="D426" s="7" t="inlineStr">
        <is>
          <t>Ham &amp; mushroom pizza, 2x320g</t>
        </is>
      </c>
      <c r="E426" s="7" t="inlineStr">
        <is>
          <t>Quillan</t>
        </is>
      </c>
      <c r="F426" s="7" t="inlineStr">
        <is>
          <t>Frozen</t>
        </is>
      </c>
      <c r="G426" s="7" t="inlineStr">
        <is>
          <t>Pizza</t>
        </is>
      </c>
      <c r="H426" s="7" t="inlineStr">
        <is>
          <t>yes</t>
        </is>
      </c>
      <c r="I426" s="7" t="inlineStr">
        <is>
          <t>Animal &amp; plant composite</t>
        </is>
      </c>
      <c r="J426" s="7" t="inlineStr">
        <is>
          <t>Meat-based dishes</t>
        </is>
      </c>
      <c r="K426" s="7" t="inlineStr">
        <is>
          <t>B</t>
        </is>
      </c>
      <c r="L426" s="7" t="inlineStr">
        <is>
          <t>50/50 convention</t>
        </is>
      </c>
      <c r="M426" s="51" t="n">
        <v>9.699999999999999</v>
      </c>
      <c r="N426" s="7" t="inlineStr">
        <is>
          <t>National food table (CIQUAL in France)</t>
        </is>
      </c>
      <c r="O426" s="54" t="n">
        <v>4.85</v>
      </c>
      <c r="P426" s="54" t="n">
        <v>4.85</v>
      </c>
      <c r="Q426" s="7" t="inlineStr">
        <is>
          <t>yes</t>
        </is>
      </c>
      <c r="R426" s="7" t="inlineStr">
        <is>
          <t>composite</t>
        </is>
      </c>
      <c r="S426" s="7" t="n"/>
      <c r="T426" s="7" t="n"/>
      <c r="U426" s="7" t="n"/>
      <c r="V426" s="7" t="inlineStr">
        <is>
          <t>meat-based</t>
        </is>
      </c>
      <c r="W426" s="7" t="n"/>
      <c r="X426" s="55" t="n">
        <v>1</v>
      </c>
      <c r="Y426" s="50" t="n">
        <v>0.64</v>
      </c>
      <c r="Z426" s="7" t="inlineStr">
        <is>
          <t>label</t>
        </is>
      </c>
      <c r="AA426" s="19">
        <f>IF(ISBLANK(Welcome!D452),"",Welcome!D452)</f>
        <v/>
      </c>
      <c r="AB426" s="29">
        <f>IF(ISBLANK(Welcome!E452),"",Welcome!E452)</f>
        <v/>
      </c>
      <c r="AC426" s="29">
        <f>IF(N(AB426)&gt;0,N(AB426),N(AA426)*Y426)</f>
        <v/>
      </c>
      <c r="AD426" s="29">
        <f>IF(H426="yes",AC426,0)</f>
        <v/>
      </c>
      <c r="AE426" s="29">
        <f>AD426*N(M426)/100</f>
        <v/>
      </c>
      <c r="AF426" s="29">
        <f>AD426*N(O426)/100</f>
        <v/>
      </c>
      <c r="AG426" s="29">
        <f>AD426*N(P426)/100</f>
        <v/>
      </c>
      <c r="AH426" s="50">
        <f>IF(Q426="yes",AD426/1000,0)</f>
        <v/>
      </c>
      <c r="AI426" s="50">
        <f>IF(S426="FG2",AH426*X426,AH426)</f>
        <v/>
      </c>
    </row>
    <row r="427">
      <c r="A427" s="7" t="inlineStr">
        <is>
          <t>HM00419</t>
        </is>
      </c>
      <c r="B427" s="16" t="inlineStr">
        <is>
          <t>8712345342821</t>
        </is>
      </c>
      <c r="C427" s="7" t="inlineStr">
        <is>
          <t>UNSALTED BUTTER 500G FJELDA</t>
        </is>
      </c>
      <c r="D427" s="7" t="inlineStr">
        <is>
          <t>Unsalted butter, 500g</t>
        </is>
      </c>
      <c r="E427" s="7" t="inlineStr">
        <is>
          <t>Fjelda</t>
        </is>
      </c>
      <c r="F427" s="7" t="inlineStr">
        <is>
          <t>Dairy &amp; Eggs</t>
        </is>
      </c>
      <c r="G427" s="7" t="inlineStr">
        <is>
          <t>Butter &amp; Spreads</t>
        </is>
      </c>
      <c r="H427" s="7" t="inlineStr">
        <is>
          <t>yes</t>
        </is>
      </c>
      <c r="I427" s="7" t="inlineStr">
        <is>
          <t>Animal core</t>
        </is>
      </c>
      <c r="J427" s="7" t="inlineStr">
        <is>
          <t>Other</t>
        </is>
      </c>
      <c r="K427" s="7" t="inlineStr">
        <is>
          <t>A</t>
        </is>
      </c>
      <c r="L427" s="7" t="inlineStr">
        <is>
          <t>All ingredients on one side</t>
        </is>
      </c>
      <c r="M427" s="51" t="n">
        <v>0.62</v>
      </c>
      <c r="N427" s="7" t="inlineStr">
        <is>
          <t>Declared by the retailer</t>
        </is>
      </c>
      <c r="O427" s="54" t="n">
        <v>0</v>
      </c>
      <c r="P427" s="54" t="n">
        <v>0.62</v>
      </c>
      <c r="Q427" s="7" t="inlineStr">
        <is>
          <t>yes</t>
        </is>
      </c>
      <c r="R427" s="7" t="inlineStr">
        <is>
          <t>whole</t>
        </is>
      </c>
      <c r="S427" s="7" t="inlineStr">
        <is>
          <t>FG3</t>
        </is>
      </c>
      <c r="T427" s="7" t="inlineStr">
        <is>
          <t>Animal-based fat</t>
        </is>
      </c>
      <c r="U427" s="7" t="inlineStr">
        <is>
          <t>animal</t>
        </is>
      </c>
      <c r="V427" s="7" t="n"/>
      <c r="W427" s="7" t="n"/>
      <c r="X427" s="55" t="n">
        <v>1</v>
      </c>
      <c r="Y427" s="50" t="n">
        <v>0.5</v>
      </c>
      <c r="Z427" s="7" t="inlineStr">
        <is>
          <t>declared</t>
        </is>
      </c>
      <c r="AA427" s="19">
        <f>IF(ISBLANK(Welcome!D453),"",Welcome!D453)</f>
        <v/>
      </c>
      <c r="AB427" s="29">
        <f>IF(ISBLANK(Welcome!E453),"",Welcome!E453)</f>
        <v/>
      </c>
      <c r="AC427" s="29">
        <f>IF(N(AB427)&gt;0,N(AB427),N(AA427)*Y427)</f>
        <v/>
      </c>
      <c r="AD427" s="29">
        <f>IF(H427="yes",AC427,0)</f>
        <v/>
      </c>
      <c r="AE427" s="29">
        <f>AD427*N(M427)/100</f>
        <v/>
      </c>
      <c r="AF427" s="29">
        <f>AD427*N(O427)/100</f>
        <v/>
      </c>
      <c r="AG427" s="29">
        <f>AD427*N(P427)/100</f>
        <v/>
      </c>
      <c r="AH427" s="50">
        <f>IF(Q427="yes",AD427/1000,0)</f>
        <v/>
      </c>
      <c r="AI427" s="50">
        <f>IF(S427="FG2",AH427*X427,AH427)</f>
        <v/>
      </c>
    </row>
    <row r="428">
      <c r="A428" s="7" t="inlineStr">
        <is>
          <t>HM00232</t>
        </is>
      </c>
      <c r="B428" s="16" t="inlineStr">
        <is>
          <t>5012345764474</t>
        </is>
      </c>
      <c r="C428" s="7" t="inlineStr">
        <is>
          <t>KESTREL SALMON FLT SKIN ON 240G</t>
        </is>
      </c>
      <c r="D428" s="7" t="inlineStr">
        <is>
          <t>Salmon fillets, skin on, 240g</t>
        </is>
      </c>
      <c r="E428" s="7" t="inlineStr">
        <is>
          <t>Kestrel Bay</t>
        </is>
      </c>
      <c r="F428" s="7" t="inlineStr">
        <is>
          <t>Fish &amp; Seafood</t>
        </is>
      </c>
      <c r="G428" s="7" t="inlineStr">
        <is>
          <t>Fresh Fish</t>
        </is>
      </c>
      <c r="H428" s="7" t="inlineStr">
        <is>
          <t>yes</t>
        </is>
      </c>
      <c r="I428" s="7" t="inlineStr">
        <is>
          <t>Animal core</t>
        </is>
      </c>
      <c r="J428" s="7" t="inlineStr">
        <is>
          <t>Fish and seafood</t>
        </is>
      </c>
      <c r="K428" s="7" t="inlineStr">
        <is>
          <t>A</t>
        </is>
      </c>
      <c r="L428" s="7" t="inlineStr">
        <is>
          <t>All ingredients on one side</t>
        </is>
      </c>
      <c r="M428" s="51" t="n">
        <v>20.4</v>
      </c>
      <c r="N428" s="7" t="inlineStr">
        <is>
          <t>Declared by the retailer</t>
        </is>
      </c>
      <c r="O428" s="54" t="n">
        <v>0</v>
      </c>
      <c r="P428" s="54" t="n">
        <v>20.4</v>
      </c>
      <c r="Q428" s="7" t="inlineStr">
        <is>
          <t>yes</t>
        </is>
      </c>
      <c r="R428" s="7" t="inlineStr">
        <is>
          <t>whole</t>
        </is>
      </c>
      <c r="S428" s="7" t="inlineStr">
        <is>
          <t>FG1</t>
        </is>
      </c>
      <c r="T428" s="7" t="inlineStr">
        <is>
          <t>Fish &amp; shellfish</t>
        </is>
      </c>
      <c r="U428" s="7" t="inlineStr">
        <is>
          <t>animal</t>
        </is>
      </c>
      <c r="V428" s="7" t="n"/>
      <c r="W428" s="7" t="n"/>
      <c r="X428" s="55" t="n">
        <v>1</v>
      </c>
      <c r="Y428" s="50" t="n">
        <v>0.24</v>
      </c>
      <c r="Z428" s="7" t="inlineStr">
        <is>
          <t>declared</t>
        </is>
      </c>
      <c r="AA428" s="19">
        <f>IF(ISBLANK(Welcome!D454),"",Welcome!D454)</f>
        <v/>
      </c>
      <c r="AB428" s="29">
        <f>IF(ISBLANK(Welcome!E454),"",Welcome!E454)</f>
        <v/>
      </c>
      <c r="AC428" s="29">
        <f>IF(N(AB428)&gt;0,N(AB428),N(AA428)*Y428)</f>
        <v/>
      </c>
      <c r="AD428" s="29">
        <f>IF(H428="yes",AC428,0)</f>
        <v/>
      </c>
      <c r="AE428" s="29">
        <f>AD428*N(M428)/100</f>
        <v/>
      </c>
      <c r="AF428" s="29">
        <f>AD428*N(O428)/100</f>
        <v/>
      </c>
      <c r="AG428" s="29">
        <f>AD428*N(P428)/100</f>
        <v/>
      </c>
      <c r="AH428" s="50">
        <f>IF(Q428="yes",AD428/1000,0)</f>
        <v/>
      </c>
      <c r="AI428" s="50">
        <f>IF(S428="FG2",AH428*X428,AH428)</f>
        <v/>
      </c>
    </row>
    <row r="429">
      <c r="A429" s="7" t="inlineStr">
        <is>
          <t>HM00768</t>
        </is>
      </c>
      <c r="B429" s="16" t="inlineStr">
        <is>
          <t>4012345339031</t>
        </is>
      </c>
      <c r="C429" s="7" t="inlineStr">
        <is>
          <t>KESTREL SALMON FLT SKINLESS 2X125G</t>
        </is>
      </c>
      <c r="D429" s="7" t="inlineStr">
        <is>
          <t>Skinless salmon fillets, 2x125g</t>
        </is>
      </c>
      <c r="E429" s="7" t="inlineStr">
        <is>
          <t>Kestrel Bay</t>
        </is>
      </c>
      <c r="F429" s="7" t="inlineStr">
        <is>
          <t>Fish &amp; Seafood</t>
        </is>
      </c>
      <c r="G429" s="7" t="inlineStr">
        <is>
          <t>Fresh Fish</t>
        </is>
      </c>
      <c r="H429" s="7" t="inlineStr">
        <is>
          <t>yes</t>
        </is>
      </c>
      <c r="I429" s="7" t="inlineStr">
        <is>
          <t>Animal core</t>
        </is>
      </c>
      <c r="J429" s="7" t="inlineStr">
        <is>
          <t>Fish and seafood</t>
        </is>
      </c>
      <c r="K429" s="7" t="inlineStr">
        <is>
          <t>A</t>
        </is>
      </c>
      <c r="L429" s="7" t="inlineStr">
        <is>
          <t>All ingredients on one side</t>
        </is>
      </c>
      <c r="M429" s="51" t="n">
        <v>19.7</v>
      </c>
      <c r="N429" s="7" t="inlineStr">
        <is>
          <t>National food table (CIQUAL in France)</t>
        </is>
      </c>
      <c r="O429" s="54" t="n">
        <v>0</v>
      </c>
      <c r="P429" s="54" t="n">
        <v>19.7</v>
      </c>
      <c r="Q429" s="7" t="inlineStr">
        <is>
          <t>yes</t>
        </is>
      </c>
      <c r="R429" s="7" t="inlineStr">
        <is>
          <t>whole</t>
        </is>
      </c>
      <c r="S429" s="7" t="inlineStr">
        <is>
          <t>FG1</t>
        </is>
      </c>
      <c r="T429" s="7" t="inlineStr">
        <is>
          <t>Fish &amp; shellfish</t>
        </is>
      </c>
      <c r="U429" s="7" t="inlineStr">
        <is>
          <t>animal</t>
        </is>
      </c>
      <c r="V429" s="7" t="n"/>
      <c r="W429" s="7" t="n"/>
      <c r="X429" s="55" t="n">
        <v>1</v>
      </c>
      <c r="Y429" s="50" t="n">
        <v>0.25</v>
      </c>
      <c r="Z429" s="7" t="inlineStr">
        <is>
          <t>declared</t>
        </is>
      </c>
      <c r="AA429" s="19">
        <f>IF(ISBLANK(Welcome!D455),"",Welcome!D455)</f>
        <v/>
      </c>
      <c r="AB429" s="29">
        <f>IF(ISBLANK(Welcome!E455),"",Welcome!E455)</f>
        <v/>
      </c>
      <c r="AC429" s="29">
        <f>IF(N(AB429)&gt;0,N(AB429),N(AA429)*Y429)</f>
        <v/>
      </c>
      <c r="AD429" s="29">
        <f>IF(H429="yes",AC429,0)</f>
        <v/>
      </c>
      <c r="AE429" s="29">
        <f>AD429*N(M429)/100</f>
        <v/>
      </c>
      <c r="AF429" s="29">
        <f>AD429*N(O429)/100</f>
        <v/>
      </c>
      <c r="AG429" s="29">
        <f>AD429*N(P429)/100</f>
        <v/>
      </c>
      <c r="AH429" s="50">
        <f>IF(Q429="yes",AD429/1000,0)</f>
        <v/>
      </c>
      <c r="AI429" s="50">
        <f>IF(S429="FG2",AH429*X429,AH429)</f>
        <v/>
      </c>
    </row>
    <row r="430">
      <c r="A430" s="7" t="inlineStr">
        <is>
          <t>HM00443</t>
        </is>
      </c>
      <c r="B430" s="16" t="inlineStr">
        <is>
          <t>5012345488905</t>
        </is>
      </c>
      <c r="C430" s="7" t="inlineStr">
        <is>
          <t>HM SUNFLOWER OIL 1L</t>
        </is>
      </c>
      <c r="D430" s="7" t="inlineStr">
        <is>
          <t>Sunflower oil, 1l</t>
        </is>
      </c>
      <c r="E430" s="7" t="inlineStr">
        <is>
          <t>Harbour Market</t>
        </is>
      </c>
      <c r="F430" s="7" t="inlineStr">
        <is>
          <t>Grocery</t>
        </is>
      </c>
      <c r="G430" s="7" t="inlineStr">
        <is>
          <t>Oils</t>
        </is>
      </c>
      <c r="H430" s="7" t="inlineStr">
        <is>
          <t>yes</t>
        </is>
      </c>
      <c r="I430" s="7" t="inlineStr">
        <is>
          <t>Plant-based non-core</t>
        </is>
      </c>
      <c r="J430" s="7" t="inlineStr">
        <is>
          <t>Other</t>
        </is>
      </c>
      <c r="K430" s="7" t="inlineStr">
        <is>
          <t>B</t>
        </is>
      </c>
      <c r="L430" s="7" t="inlineStr">
        <is>
          <t>Follows the class</t>
        </is>
      </c>
      <c r="M430" s="51" t="n">
        <v>0</v>
      </c>
      <c r="N430" s="7" t="inlineStr">
        <is>
          <t>Altera reference base</t>
        </is>
      </c>
      <c r="O430" s="54" t="n">
        <v>0</v>
      </c>
      <c r="P430" s="54" t="n">
        <v>0</v>
      </c>
      <c r="Q430" s="7" t="inlineStr">
        <is>
          <t>yes</t>
        </is>
      </c>
      <c r="R430" s="7" t="inlineStr">
        <is>
          <t>whole</t>
        </is>
      </c>
      <c r="S430" s="7" t="inlineStr">
        <is>
          <t>FG3</t>
        </is>
      </c>
      <c r="T430" s="7" t="inlineStr">
        <is>
          <t>Plant-based fat</t>
        </is>
      </c>
      <c r="U430" s="7" t="inlineStr">
        <is>
          <t>plant</t>
        </is>
      </c>
      <c r="V430" s="7" t="n"/>
      <c r="W430" s="7" t="n"/>
      <c r="X430" s="55" t="n">
        <v>1</v>
      </c>
      <c r="Y430" s="50" t="n">
        <v>0.92</v>
      </c>
      <c r="Z430" s="7" t="inlineStr">
        <is>
          <t>label</t>
        </is>
      </c>
      <c r="AA430" s="19">
        <f>IF(ISBLANK(Welcome!D456),"",Welcome!D456)</f>
        <v/>
      </c>
      <c r="AB430" s="29">
        <f>IF(ISBLANK(Welcome!E456),"",Welcome!E456)</f>
        <v/>
      </c>
      <c r="AC430" s="29">
        <f>IF(N(AB430)&gt;0,N(AB430),N(AA430)*Y430)</f>
        <v/>
      </c>
      <c r="AD430" s="29">
        <f>IF(H430="yes",AC430,0)</f>
        <v/>
      </c>
      <c r="AE430" s="29">
        <f>AD430*N(M430)/100</f>
        <v/>
      </c>
      <c r="AF430" s="29">
        <f>AD430*N(O430)/100</f>
        <v/>
      </c>
      <c r="AG430" s="29">
        <f>AD430*N(P430)/100</f>
        <v/>
      </c>
      <c r="AH430" s="50">
        <f>IF(Q430="yes",AD430/1000,0)</f>
        <v/>
      </c>
      <c r="AI430" s="50">
        <f>IF(S430="FG2",AH430*X430,AH430)</f>
        <v/>
      </c>
    </row>
    <row r="431">
      <c r="A431" s="7" t="inlineStr">
        <is>
          <t>HM00398</t>
        </is>
      </c>
      <c r="B431" s="16" t="inlineStr">
        <is>
          <t>8712345660031</t>
        </is>
      </c>
      <c r="C431" s="7" t="inlineStr">
        <is>
          <t>HM LONG GRAIN RICE 500G</t>
        </is>
      </c>
      <c r="D431" s="7" t="inlineStr">
        <is>
          <t>Long-grain rice, 500g</t>
        </is>
      </c>
      <c r="E431" s="7" t="inlineStr">
        <is>
          <t>Harbour Market</t>
        </is>
      </c>
      <c r="F431" s="7" t="inlineStr">
        <is>
          <t>Grocery</t>
        </is>
      </c>
      <c r="G431" s="7" t="inlineStr">
        <is>
          <t>Rice &amp; Grains</t>
        </is>
      </c>
      <c r="H431" s="7" t="inlineStr">
        <is>
          <t>yes</t>
        </is>
      </c>
      <c r="I431" s="7" t="inlineStr">
        <is>
          <t>Plant-based non-core</t>
        </is>
      </c>
      <c r="J431" s="7" t="inlineStr">
        <is>
          <t>Refined grains</t>
        </is>
      </c>
      <c r="K431" s="7" t="inlineStr">
        <is>
          <t>A</t>
        </is>
      </c>
      <c r="L431" s="7" t="inlineStr">
        <is>
          <t>All ingredients on one side</t>
        </is>
      </c>
      <c r="M431" s="51" t="n">
        <v>7.1</v>
      </c>
      <c r="N431" s="7" t="inlineStr">
        <is>
          <t>National food table (CIQUAL in France)</t>
        </is>
      </c>
      <c r="O431" s="54" t="n">
        <v>7.1</v>
      </c>
      <c r="P431" s="54" t="n">
        <v>0</v>
      </c>
      <c r="Q431" s="7" t="inlineStr">
        <is>
          <t>yes</t>
        </is>
      </c>
      <c r="R431" s="7" t="inlineStr">
        <is>
          <t>whole</t>
        </is>
      </c>
      <c r="S431" s="7" t="inlineStr">
        <is>
          <t>FG5</t>
        </is>
      </c>
      <c r="T431" s="7" t="inlineStr">
        <is>
          <t>Refined grain</t>
        </is>
      </c>
      <c r="U431" s="7" t="inlineStr">
        <is>
          <t>plant</t>
        </is>
      </c>
      <c r="V431" s="7" t="n"/>
      <c r="W431" s="7" t="n"/>
      <c r="X431" s="55" t="n">
        <v>1</v>
      </c>
      <c r="Y431" s="50" t="n">
        <v>0.5</v>
      </c>
      <c r="Z431" s="7" t="inlineStr">
        <is>
          <t>declared</t>
        </is>
      </c>
      <c r="AA431" s="19">
        <f>IF(ISBLANK(Welcome!D457),"",Welcome!D457)</f>
        <v/>
      </c>
      <c r="AB431" s="29">
        <f>IF(ISBLANK(Welcome!E457),"",Welcome!E457)</f>
        <v/>
      </c>
      <c r="AC431" s="29">
        <f>IF(N(AB431)&gt;0,N(AB431),N(AA431)*Y431)</f>
        <v/>
      </c>
      <c r="AD431" s="29">
        <f>IF(H431="yes",AC431,0)</f>
        <v/>
      </c>
      <c r="AE431" s="29">
        <f>AD431*N(M431)/100</f>
        <v/>
      </c>
      <c r="AF431" s="29">
        <f>AD431*N(O431)/100</f>
        <v/>
      </c>
      <c r="AG431" s="29">
        <f>AD431*N(P431)/100</f>
        <v/>
      </c>
      <c r="AH431" s="50">
        <f>IF(Q431="yes",AD431/1000,0)</f>
        <v/>
      </c>
      <c r="AI431" s="50">
        <f>IF(S431="FG2",AH431*X431,AH431)</f>
        <v/>
      </c>
    </row>
    <row r="432">
      <c r="A432" s="7" t="inlineStr">
        <is>
          <t>HM00784</t>
        </is>
      </c>
      <c r="B432" s="16" t="inlineStr">
        <is>
          <t>5012345646114</t>
        </is>
      </c>
      <c r="C432" s="7" t="inlineStr">
        <is>
          <t>HM BRIE 250G</t>
        </is>
      </c>
      <c r="D432" s="7" t="inlineStr">
        <is>
          <t>Brie, 250g</t>
        </is>
      </c>
      <c r="E432" s="7" t="inlineStr">
        <is>
          <t>Harbour Market</t>
        </is>
      </c>
      <c r="F432" s="7" t="inlineStr">
        <is>
          <t>Cheese</t>
        </is>
      </c>
      <c r="G432" s="7" t="inlineStr">
        <is>
          <t>Soft Cheese</t>
        </is>
      </c>
      <c r="H432" s="7" t="inlineStr">
        <is>
          <t>yes</t>
        </is>
      </c>
      <c r="I432" s="7" t="inlineStr">
        <is>
          <t>Animal core</t>
        </is>
      </c>
      <c r="J432" s="7" t="inlineStr">
        <is>
          <t>Cheese</t>
        </is>
      </c>
      <c r="K432" s="7" t="inlineStr">
        <is>
          <t>A</t>
        </is>
      </c>
      <c r="L432" s="7" t="inlineStr">
        <is>
          <t>All ingredients on one side</t>
        </is>
      </c>
      <c r="M432" s="51" t="n">
        <v>20.7</v>
      </c>
      <c r="N432" s="7" t="inlineStr">
        <is>
          <t>Declared by the retailer</t>
        </is>
      </c>
      <c r="O432" s="54" t="n">
        <v>0</v>
      </c>
      <c r="P432" s="54" t="n">
        <v>20.7</v>
      </c>
      <c r="Q432" s="7" t="inlineStr">
        <is>
          <t>yes</t>
        </is>
      </c>
      <c r="R432" s="7" t="inlineStr">
        <is>
          <t>whole</t>
        </is>
      </c>
      <c r="S432" s="7" t="inlineStr">
        <is>
          <t>FG2</t>
        </is>
      </c>
      <c r="T432" s="7" t="inlineStr">
        <is>
          <t>Dairy</t>
        </is>
      </c>
      <c r="U432" s="7" t="inlineStr">
        <is>
          <t>animal</t>
        </is>
      </c>
      <c r="V432" s="7" t="n"/>
      <c r="W432" s="7" t="n"/>
      <c r="X432" s="55" t="n">
        <v>10</v>
      </c>
      <c r="Y432" s="50" t="n">
        <v>0.25</v>
      </c>
      <c r="Z432" s="7" t="inlineStr">
        <is>
          <t>declared</t>
        </is>
      </c>
      <c r="AA432" s="19">
        <f>IF(ISBLANK(Welcome!D458),"",Welcome!D458)</f>
        <v/>
      </c>
      <c r="AB432" s="29">
        <f>IF(ISBLANK(Welcome!E458),"",Welcome!E458)</f>
        <v/>
      </c>
      <c r="AC432" s="29">
        <f>IF(N(AB432)&gt;0,N(AB432),N(AA432)*Y432)</f>
        <v/>
      </c>
      <c r="AD432" s="29">
        <f>IF(H432="yes",AC432,0)</f>
        <v/>
      </c>
      <c r="AE432" s="29">
        <f>AD432*N(M432)/100</f>
        <v/>
      </c>
      <c r="AF432" s="29">
        <f>AD432*N(O432)/100</f>
        <v/>
      </c>
      <c r="AG432" s="29">
        <f>AD432*N(P432)/100</f>
        <v/>
      </c>
      <c r="AH432" s="50">
        <f>IF(Q432="yes",AD432/1000,0)</f>
        <v/>
      </c>
      <c r="AI432" s="50">
        <f>IF(S432="FG2",AH432*X432,AH432)</f>
        <v/>
      </c>
    </row>
    <row r="433">
      <c r="A433" s="7" t="inlineStr">
        <is>
          <t>HM00620</t>
        </is>
      </c>
      <c r="B433" s="16" t="inlineStr">
        <is>
          <t>8712345150112</t>
        </is>
      </c>
      <c r="C433" s="7" t="inlineStr">
        <is>
          <t>HM APPLES GALA 500G</t>
        </is>
      </c>
      <c r="D433" s="7" t="inlineStr">
        <is>
          <t>Gala apples, 500g</t>
        </is>
      </c>
      <c r="E433" s="7" t="inlineStr">
        <is>
          <t>Harbour Market</t>
        </is>
      </c>
      <c r="F433" s="7" t="inlineStr">
        <is>
          <t>Fruit &amp; Vegetables</t>
        </is>
      </c>
      <c r="G433" s="7" t="inlineStr">
        <is>
          <t>Fruit</t>
        </is>
      </c>
      <c r="H433" s="7" t="inlineStr">
        <is>
          <t>yes</t>
        </is>
      </c>
      <c r="I433" s="7" t="inlineStr">
        <is>
          <t>Plant-based non-core</t>
        </is>
      </c>
      <c r="J433" s="7" t="inlineStr">
        <is>
          <t>Fruit and vegetables</t>
        </is>
      </c>
      <c r="K433" s="7" t="inlineStr">
        <is>
          <t>B</t>
        </is>
      </c>
      <c r="L433" s="7" t="inlineStr">
        <is>
          <t>Follows the class</t>
        </is>
      </c>
      <c r="M433" s="51" t="n">
        <v>0.31</v>
      </c>
      <c r="N433" s="7" t="inlineStr">
        <is>
          <t>Declared by the retailer</t>
        </is>
      </c>
      <c r="O433" s="54" t="n">
        <v>0.31</v>
      </c>
      <c r="P433" s="54" t="n">
        <v>0</v>
      </c>
      <c r="Q433" s="7" t="inlineStr">
        <is>
          <t>yes</t>
        </is>
      </c>
      <c r="R433" s="7" t="inlineStr">
        <is>
          <t>whole</t>
        </is>
      </c>
      <c r="S433" s="7" t="inlineStr">
        <is>
          <t>FG4</t>
        </is>
      </c>
      <c r="T433" s="7" t="n"/>
      <c r="U433" s="7" t="inlineStr">
        <is>
          <t>plant</t>
        </is>
      </c>
      <c r="V433" s="7" t="n"/>
      <c r="W433" s="7" t="n"/>
      <c r="X433" s="55" t="n">
        <v>1</v>
      </c>
      <c r="Y433" s="50" t="n">
        <v>0.5</v>
      </c>
      <c r="Z433" s="7" t="inlineStr">
        <is>
          <t>declared</t>
        </is>
      </c>
      <c r="AA433" s="19">
        <f>IF(ISBLANK(Welcome!D459),"",Welcome!D459)</f>
        <v/>
      </c>
      <c r="AB433" s="29">
        <f>IF(ISBLANK(Welcome!E459),"",Welcome!E459)</f>
        <v/>
      </c>
      <c r="AC433" s="29">
        <f>IF(N(AB433)&gt;0,N(AB433),N(AA433)*Y433)</f>
        <v/>
      </c>
      <c r="AD433" s="29">
        <f>IF(H433="yes",AC433,0)</f>
        <v/>
      </c>
      <c r="AE433" s="29">
        <f>AD433*N(M433)/100</f>
        <v/>
      </c>
      <c r="AF433" s="29">
        <f>AD433*N(O433)/100</f>
        <v/>
      </c>
      <c r="AG433" s="29">
        <f>AD433*N(P433)/100</f>
        <v/>
      </c>
      <c r="AH433" s="50">
        <f>IF(Q433="yes",AD433/1000,0)</f>
        <v/>
      </c>
      <c r="AI433" s="50">
        <f>IF(S433="FG2",AH433*X433,AH433)</f>
        <v/>
      </c>
    </row>
    <row r="434">
      <c r="A434" s="7" t="inlineStr">
        <is>
          <t>HM00007</t>
        </is>
      </c>
      <c r="B434" s="16" t="inlineStr">
        <is>
          <t>2172222284030</t>
        </is>
      </c>
      <c r="C434" s="7" t="inlineStr">
        <is>
          <t>HM CONFERENCE PEARS LOOSE</t>
        </is>
      </c>
      <c r="D434" s="7" t="inlineStr">
        <is>
          <t>Conference pears</t>
        </is>
      </c>
      <c r="E434" s="7" t="inlineStr">
        <is>
          <t>Harbour Market</t>
        </is>
      </c>
      <c r="F434" s="7" t="inlineStr">
        <is>
          <t>Fruit &amp; Vegetables</t>
        </is>
      </c>
      <c r="G434" s="7" t="inlineStr">
        <is>
          <t>Fruit</t>
        </is>
      </c>
      <c r="H434" s="7" t="inlineStr">
        <is>
          <t>yes</t>
        </is>
      </c>
      <c r="I434" s="7" t="inlineStr">
        <is>
          <t>Plant-based non-core</t>
        </is>
      </c>
      <c r="J434" s="7" t="inlineStr">
        <is>
          <t>Fruit and vegetables</t>
        </is>
      </c>
      <c r="K434" s="7" t="inlineStr">
        <is>
          <t>B</t>
        </is>
      </c>
      <c r="L434" s="7" t="inlineStr">
        <is>
          <t>Follows the class</t>
        </is>
      </c>
      <c r="M434" s="51" t="n">
        <v>0.39</v>
      </c>
      <c r="N434" s="7" t="inlineStr">
        <is>
          <t>Declared by the retailer</t>
        </is>
      </c>
      <c r="O434" s="54" t="n">
        <v>0.39</v>
      </c>
      <c r="P434" s="54" t="n">
        <v>0</v>
      </c>
      <c r="Q434" s="7" t="inlineStr">
        <is>
          <t>yes</t>
        </is>
      </c>
      <c r="R434" s="7" t="inlineStr">
        <is>
          <t>whole</t>
        </is>
      </c>
      <c r="S434" s="7" t="inlineStr">
        <is>
          <t>FG4</t>
        </is>
      </c>
      <c r="T434" s="7" t="n"/>
      <c r="U434" s="7" t="inlineStr">
        <is>
          <t>plant</t>
        </is>
      </c>
      <c r="V434" s="7" t="n"/>
      <c r="W434" s="7" t="n"/>
      <c r="X434" s="55" t="n">
        <v>1</v>
      </c>
      <c r="Y434" s="50" t="n">
        <v>1</v>
      </c>
      <c r="Z434" s="7" t="inlineStr">
        <is>
          <t>variable</t>
        </is>
      </c>
      <c r="AA434" s="19">
        <f>IF(ISBLANK(Welcome!D460),"",Welcome!D460)</f>
        <v/>
      </c>
      <c r="AB434" s="29">
        <f>IF(ISBLANK(Welcome!E460),"",Welcome!E460)</f>
        <v/>
      </c>
      <c r="AC434" s="29">
        <f>IF(N(AB434)&gt;0,N(AB434),N(AA434)*Y434)</f>
        <v/>
      </c>
      <c r="AD434" s="29">
        <f>IF(H434="yes",AC434,0)</f>
        <v/>
      </c>
      <c r="AE434" s="29">
        <f>AD434*N(M434)/100</f>
        <v/>
      </c>
      <c r="AF434" s="29">
        <f>AD434*N(O434)/100</f>
        <v/>
      </c>
      <c r="AG434" s="29">
        <f>AD434*N(P434)/100</f>
        <v/>
      </c>
      <c r="AH434" s="50">
        <f>IF(Q434="yes",AD434/1000,0)</f>
        <v/>
      </c>
      <c r="AI434" s="50">
        <f>IF(S434="FG2",AH434*X434,AH434)</f>
        <v/>
      </c>
    </row>
    <row r="435">
      <c r="A435" s="7" t="inlineStr">
        <is>
          <t>HM00059</t>
        </is>
      </c>
      <c r="B435" s="16" t="inlineStr">
        <is>
          <t>3012345099905</t>
        </is>
      </c>
      <c r="C435" s="7" t="inlineStr">
        <is>
          <t>HM VODKA 70CL</t>
        </is>
      </c>
      <c r="D435" s="7" t="inlineStr">
        <is>
          <t>Vodka, 70cl</t>
        </is>
      </c>
      <c r="E435" s="7" t="inlineStr">
        <is>
          <t>Harbour Market</t>
        </is>
      </c>
      <c r="F435" s="7" t="inlineStr">
        <is>
          <t>Beer, Wine &amp; Spirits</t>
        </is>
      </c>
      <c r="G435" s="7" t="inlineStr">
        <is>
          <t>Spirits</t>
        </is>
      </c>
      <c r="H435" s="7" t="inlineStr">
        <is>
          <t>yes</t>
        </is>
      </c>
      <c r="I435" s="7" t="inlineStr">
        <is>
          <t>Plant-based non-core</t>
        </is>
      </c>
      <c r="J435" s="7" t="inlineStr">
        <is>
          <t>Outside the WWF scope</t>
        </is>
      </c>
      <c r="K435" s="7" t="inlineStr">
        <is>
          <t>A</t>
        </is>
      </c>
      <c r="L435" s="7" t="inlineStr">
        <is>
          <t>All ingredients on one side</t>
        </is>
      </c>
      <c r="M435" s="51" t="n">
        <v>0</v>
      </c>
      <c r="N435" s="7" t="inlineStr">
        <is>
          <t>National food table (CIQUAL in France)</t>
        </is>
      </c>
      <c r="O435" s="54" t="n">
        <v>0</v>
      </c>
      <c r="P435" s="54" t="n">
        <v>0</v>
      </c>
      <c r="Q435" s="7" t="inlineStr">
        <is>
          <t>no</t>
        </is>
      </c>
      <c r="R435" s="7" t="n"/>
      <c r="S435" s="7" t="n"/>
      <c r="T435" s="7" t="n"/>
      <c r="U435" s="7" t="n"/>
      <c r="V435" s="7" t="n"/>
      <c r="W435" s="7" t="inlineStr">
        <is>
          <t>alcohol</t>
        </is>
      </c>
      <c r="X435" s="55" t="n">
        <v>1</v>
      </c>
      <c r="Y435" s="50" t="n">
        <v>0.7</v>
      </c>
      <c r="Z435" s="7" t="inlineStr">
        <is>
          <t>declared</t>
        </is>
      </c>
      <c r="AA435" s="19">
        <f>IF(ISBLANK(Welcome!D461),"",Welcome!D461)</f>
        <v/>
      </c>
      <c r="AB435" s="29">
        <f>IF(ISBLANK(Welcome!E461),"",Welcome!E461)</f>
        <v/>
      </c>
      <c r="AC435" s="29">
        <f>IF(N(AB435)&gt;0,N(AB435),N(AA435)*Y435)</f>
        <v/>
      </c>
      <c r="AD435" s="29">
        <f>IF(H435="yes",AC435,0)</f>
        <v/>
      </c>
      <c r="AE435" s="29">
        <f>AD435*N(M435)/100</f>
        <v/>
      </c>
      <c r="AF435" s="29">
        <f>AD435*N(O435)/100</f>
        <v/>
      </c>
      <c r="AG435" s="29">
        <f>AD435*N(P435)/100</f>
        <v/>
      </c>
      <c r="AH435" s="50">
        <f>IF(Q435="yes",AD435/1000,0)</f>
        <v/>
      </c>
      <c r="AI435" s="50">
        <f>IF(S435="FG2",AH435*X435,AH435)</f>
        <v/>
      </c>
    </row>
    <row r="436">
      <c r="A436" s="7" t="inlineStr">
        <is>
          <t>HM00142</t>
        </is>
      </c>
      <c r="B436" s="16" t="inlineStr">
        <is>
          <t>8712345780449</t>
        </is>
      </c>
      <c r="C436" s="7" t="inlineStr">
        <is>
          <t>HM LARGE EGGS 6PK</t>
        </is>
      </c>
      <c r="D436" s="7" t="inlineStr">
        <is>
          <t>Large eggs, 6pk</t>
        </is>
      </c>
      <c r="E436" s="7" t="inlineStr">
        <is>
          <t>Harbour Market</t>
        </is>
      </c>
      <c r="F436" s="7" t="inlineStr">
        <is>
          <t>Dairy &amp; Eggs</t>
        </is>
      </c>
      <c r="G436" s="7" t="inlineStr">
        <is>
          <t>Eggs</t>
        </is>
      </c>
      <c r="H436" s="7" t="inlineStr">
        <is>
          <t>yes</t>
        </is>
      </c>
      <c r="I436" s="7" t="inlineStr">
        <is>
          <t>Animal core</t>
        </is>
      </c>
      <c r="J436" s="7" t="inlineStr">
        <is>
          <t>Eggs</t>
        </is>
      </c>
      <c r="K436" s="7" t="inlineStr">
        <is>
          <t>B</t>
        </is>
      </c>
      <c r="L436" s="7" t="inlineStr">
        <is>
          <t>Follows the class</t>
        </is>
      </c>
      <c r="M436" s="51" t="n">
        <v>12.1</v>
      </c>
      <c r="N436" s="7" t="inlineStr">
        <is>
          <t>Declared by the retailer</t>
        </is>
      </c>
      <c r="O436" s="54" t="n">
        <v>0</v>
      </c>
      <c r="P436" s="54" t="n">
        <v>12.1</v>
      </c>
      <c r="Q436" s="7" t="inlineStr">
        <is>
          <t>yes</t>
        </is>
      </c>
      <c r="R436" s="7" t="inlineStr">
        <is>
          <t>whole</t>
        </is>
      </c>
      <c r="S436" s="7" t="inlineStr">
        <is>
          <t>FG1</t>
        </is>
      </c>
      <c r="T436" s="7" t="inlineStr">
        <is>
          <t>Eggs</t>
        </is>
      </c>
      <c r="U436" s="7" t="inlineStr">
        <is>
          <t>animal</t>
        </is>
      </c>
      <c r="V436" s="7" t="n"/>
      <c r="W436" s="7" t="n"/>
      <c r="X436" s="55" t="n">
        <v>1</v>
      </c>
      <c r="Y436" s="50" t="n">
        <v>0.36</v>
      </c>
      <c r="Z436" s="7" t="inlineStr">
        <is>
          <t>declared</t>
        </is>
      </c>
      <c r="AA436" s="19">
        <f>IF(ISBLANK(Welcome!D462),"",Welcome!D462)</f>
        <v/>
      </c>
      <c r="AB436" s="29">
        <f>IF(ISBLANK(Welcome!E462),"",Welcome!E462)</f>
        <v/>
      </c>
      <c r="AC436" s="29">
        <f>IF(N(AB436)&gt;0,N(AB436),N(AA436)*Y436)</f>
        <v/>
      </c>
      <c r="AD436" s="29">
        <f>IF(H436="yes",AC436,0)</f>
        <v/>
      </c>
      <c r="AE436" s="29">
        <f>AD436*N(M436)/100</f>
        <v/>
      </c>
      <c r="AF436" s="29">
        <f>AD436*N(O436)/100</f>
        <v/>
      </c>
      <c r="AG436" s="29">
        <f>AD436*N(P436)/100</f>
        <v/>
      </c>
      <c r="AH436" s="50">
        <f>IF(Q436="yes",AD436/1000,0)</f>
        <v/>
      </c>
      <c r="AI436" s="50">
        <f>IF(S436="FG2",AH436*X436,AH436)</f>
        <v/>
      </c>
    </row>
    <row r="437">
      <c r="A437" s="7" t="inlineStr">
        <is>
          <t>HM00202</t>
        </is>
      </c>
      <c r="B437" s="16" t="inlineStr">
        <is>
          <t>4012345826432</t>
        </is>
      </c>
      <c r="C437" s="7" t="inlineStr">
        <is>
          <t>HM BF MINCE 5% 500G</t>
        </is>
      </c>
      <c r="D437" s="7" t="inlineStr">
        <is>
          <t>Beef mince, 5% fat, 500g</t>
        </is>
      </c>
      <c r="E437" s="7" t="inlineStr">
        <is>
          <t>Harbour Market</t>
        </is>
      </c>
      <c r="F437" s="7" t="inlineStr">
        <is>
          <t>Fresh Meat &amp; Poultry</t>
        </is>
      </c>
      <c r="G437" s="7" t="inlineStr">
        <is>
          <t>Beef</t>
        </is>
      </c>
      <c r="H437" s="7" t="inlineStr">
        <is>
          <t>yes</t>
        </is>
      </c>
      <c r="I437" s="7" t="inlineStr">
        <is>
          <t>Animal core</t>
        </is>
      </c>
      <c r="J437" s="7" t="inlineStr">
        <is>
          <t>Red meat</t>
        </is>
      </c>
      <c r="K437" s="7" t="inlineStr">
        <is>
          <t>A</t>
        </is>
      </c>
      <c r="L437" s="7" t="inlineStr">
        <is>
          <t>All ingredients on one side</t>
        </is>
      </c>
      <c r="M437" s="51" t="n">
        <v>19.9</v>
      </c>
      <c r="N437" s="7" t="inlineStr">
        <is>
          <t>Altera reference base</t>
        </is>
      </c>
      <c r="O437" s="54" t="n">
        <v>0</v>
      </c>
      <c r="P437" s="54" t="n">
        <v>19.9</v>
      </c>
      <c r="Q437" s="7" t="inlineStr">
        <is>
          <t>yes</t>
        </is>
      </c>
      <c r="R437" s="7" t="inlineStr">
        <is>
          <t>whole</t>
        </is>
      </c>
      <c r="S437" s="7" t="inlineStr">
        <is>
          <t>FG1</t>
        </is>
      </c>
      <c r="T437" s="7" t="inlineStr">
        <is>
          <t>Red meat</t>
        </is>
      </c>
      <c r="U437" s="7" t="inlineStr">
        <is>
          <t>animal</t>
        </is>
      </c>
      <c r="V437" s="7" t="n"/>
      <c r="W437" s="7" t="n"/>
      <c r="X437" s="55" t="n">
        <v>1</v>
      </c>
      <c r="Y437" s="50" t="n">
        <v>0.5</v>
      </c>
      <c r="Z437" s="7" t="inlineStr">
        <is>
          <t>declared</t>
        </is>
      </c>
      <c r="AA437" s="19">
        <f>IF(ISBLANK(Welcome!D463),"",Welcome!D463)</f>
        <v/>
      </c>
      <c r="AB437" s="29">
        <f>IF(ISBLANK(Welcome!E463),"",Welcome!E463)</f>
        <v/>
      </c>
      <c r="AC437" s="29">
        <f>IF(N(AB437)&gt;0,N(AB437),N(AA437)*Y437)</f>
        <v/>
      </c>
      <c r="AD437" s="29">
        <f>IF(H437="yes",AC437,0)</f>
        <v/>
      </c>
      <c r="AE437" s="29">
        <f>AD437*N(M437)/100</f>
        <v/>
      </c>
      <c r="AF437" s="29">
        <f>AD437*N(O437)/100</f>
        <v/>
      </c>
      <c r="AG437" s="29">
        <f>AD437*N(P437)/100</f>
        <v/>
      </c>
      <c r="AH437" s="50">
        <f>IF(Q437="yes",AD437/1000,0)</f>
        <v/>
      </c>
      <c r="AI437" s="50">
        <f>IF(S437="FG2",AH437*X437,AH437)</f>
        <v/>
      </c>
    </row>
    <row r="438">
      <c r="A438" s="7" t="inlineStr">
        <is>
          <t>HM00648</t>
        </is>
      </c>
      <c r="B438" s="16" t="inlineStr">
        <is>
          <t>8712345301927</t>
        </is>
      </c>
      <c r="C438" s="7" t="inlineStr">
        <is>
          <t>HM WHITE PITTA 250G</t>
        </is>
      </c>
      <c r="D438" s="7" t="inlineStr">
        <is>
          <t>White pitta bread, 250g</t>
        </is>
      </c>
      <c r="E438" s="7" t="inlineStr">
        <is>
          <t>Harbour Market</t>
        </is>
      </c>
      <c r="F438" s="7" t="inlineStr">
        <is>
          <t>Bakery</t>
        </is>
      </c>
      <c r="G438" s="7" t="inlineStr">
        <is>
          <t>Bread</t>
        </is>
      </c>
      <c r="H438" s="7" t="inlineStr">
        <is>
          <t>yes</t>
        </is>
      </c>
      <c r="I438" s="7" t="inlineStr">
        <is>
          <t>Plant-based non-core</t>
        </is>
      </c>
      <c r="J438" s="7" t="inlineStr">
        <is>
          <t>Refined grains</t>
        </is>
      </c>
      <c r="K438" s="7" t="inlineStr">
        <is>
          <t>A</t>
        </is>
      </c>
      <c r="L438" s="7" t="inlineStr">
        <is>
          <t>All ingredients on one side</t>
        </is>
      </c>
      <c r="M438" s="51" t="n">
        <v>8.800000000000001</v>
      </c>
      <c r="N438" s="7" t="inlineStr">
        <is>
          <t>Median of the family</t>
        </is>
      </c>
      <c r="O438" s="54" t="n">
        <v>8.800000000000001</v>
      </c>
      <c r="P438" s="54" t="n">
        <v>0</v>
      </c>
      <c r="Q438" s="7" t="inlineStr">
        <is>
          <t>yes</t>
        </is>
      </c>
      <c r="R438" s="7" t="inlineStr">
        <is>
          <t>whole</t>
        </is>
      </c>
      <c r="S438" s="7" t="inlineStr">
        <is>
          <t>FG5</t>
        </is>
      </c>
      <c r="T438" s="7" t="inlineStr">
        <is>
          <t>Refined grain</t>
        </is>
      </c>
      <c r="U438" s="7" t="inlineStr">
        <is>
          <t>plant</t>
        </is>
      </c>
      <c r="V438" s="7" t="n"/>
      <c r="W438" s="7" t="n"/>
      <c r="X438" s="55" t="n">
        <v>1</v>
      </c>
      <c r="Y438" s="50" t="n">
        <v>0.25</v>
      </c>
      <c r="Z438" s="7" t="inlineStr">
        <is>
          <t>label</t>
        </is>
      </c>
      <c r="AA438" s="19">
        <f>IF(ISBLANK(Welcome!D464),"",Welcome!D464)</f>
        <v/>
      </c>
      <c r="AB438" s="29">
        <f>IF(ISBLANK(Welcome!E464),"",Welcome!E464)</f>
        <v/>
      </c>
      <c r="AC438" s="29">
        <f>IF(N(AB438)&gt;0,N(AB438),N(AA438)*Y438)</f>
        <v/>
      </c>
      <c r="AD438" s="29">
        <f>IF(H438="yes",AC438,0)</f>
        <v/>
      </c>
      <c r="AE438" s="29">
        <f>AD438*N(M438)/100</f>
        <v/>
      </c>
      <c r="AF438" s="29">
        <f>AD438*N(O438)/100</f>
        <v/>
      </c>
      <c r="AG438" s="29">
        <f>AD438*N(P438)/100</f>
        <v/>
      </c>
      <c r="AH438" s="50">
        <f>IF(Q438="yes",AD438/1000,0)</f>
        <v/>
      </c>
      <c r="AI438" s="50">
        <f>IF(S438="FG2",AH438*X438,AH438)</f>
        <v/>
      </c>
    </row>
    <row r="439">
      <c r="A439" s="7" t="inlineStr">
        <is>
          <t>HM00783</t>
        </is>
      </c>
      <c r="B439" s="16" t="inlineStr">
        <is>
          <t>8712345486266</t>
        </is>
      </c>
      <c r="C439" s="7" t="inlineStr">
        <is>
          <t>ALDERWICK RED LEICESTER 400G</t>
        </is>
      </c>
      <c r="D439" s="7" t="inlineStr">
        <is>
          <t>Red Leicester, 400g</t>
        </is>
      </c>
      <c r="E439" s="7" t="inlineStr">
        <is>
          <t>Alderwick</t>
        </is>
      </c>
      <c r="F439" s="7" t="inlineStr">
        <is>
          <t>Cheese</t>
        </is>
      </c>
      <c r="G439" s="7" t="inlineStr">
        <is>
          <t>Hard Cheese</t>
        </is>
      </c>
      <c r="H439" s="7" t="inlineStr">
        <is>
          <t>yes</t>
        </is>
      </c>
      <c r="I439" s="7" t="inlineStr">
        <is>
          <t>Animal core</t>
        </is>
      </c>
      <c r="J439" s="7" t="inlineStr">
        <is>
          <t>Cheese</t>
        </is>
      </c>
      <c r="K439" s="7" t="inlineStr">
        <is>
          <t>B</t>
        </is>
      </c>
      <c r="L439" s="7" t="inlineStr">
        <is>
          <t>Follows the class</t>
        </is>
      </c>
      <c r="M439" s="51" t="n">
        <v>26.1</v>
      </c>
      <c r="N439" s="7" t="inlineStr">
        <is>
          <t>Median of the family</t>
        </is>
      </c>
      <c r="O439" s="54" t="n">
        <v>0</v>
      </c>
      <c r="P439" s="54" t="n">
        <v>26.1</v>
      </c>
      <c r="Q439" s="7" t="inlineStr">
        <is>
          <t>yes</t>
        </is>
      </c>
      <c r="R439" s="7" t="inlineStr">
        <is>
          <t>whole</t>
        </is>
      </c>
      <c r="S439" s="7" t="inlineStr">
        <is>
          <t>FG2</t>
        </is>
      </c>
      <c r="T439" s="7" t="inlineStr">
        <is>
          <t>Dairy</t>
        </is>
      </c>
      <c r="U439" s="7" t="inlineStr">
        <is>
          <t>animal</t>
        </is>
      </c>
      <c r="V439" s="7" t="n"/>
      <c r="W439" s="7" t="n"/>
      <c r="X439" s="55" t="n">
        <v>10</v>
      </c>
      <c r="Y439" s="50" t="n">
        <v>0.4</v>
      </c>
      <c r="Z439" s="7" t="inlineStr">
        <is>
          <t>declared</t>
        </is>
      </c>
      <c r="AA439" s="19">
        <f>IF(ISBLANK(Welcome!D465),"",Welcome!D465)</f>
        <v/>
      </c>
      <c r="AB439" s="29">
        <f>IF(ISBLANK(Welcome!E465),"",Welcome!E465)</f>
        <v/>
      </c>
      <c r="AC439" s="29">
        <f>IF(N(AB439)&gt;0,N(AB439),N(AA439)*Y439)</f>
        <v/>
      </c>
      <c r="AD439" s="29">
        <f>IF(H439="yes",AC439,0)</f>
        <v/>
      </c>
      <c r="AE439" s="29">
        <f>AD439*N(M439)/100</f>
        <v/>
      </c>
      <c r="AF439" s="29">
        <f>AD439*N(O439)/100</f>
        <v/>
      </c>
      <c r="AG439" s="29">
        <f>AD439*N(P439)/100</f>
        <v/>
      </c>
      <c r="AH439" s="50">
        <f>IF(Q439="yes",AD439/1000,0)</f>
        <v/>
      </c>
      <c r="AI439" s="50">
        <f>IF(S439="FG2",AH439*X439,AH439)</f>
        <v/>
      </c>
    </row>
    <row r="440">
      <c r="A440" s="7" t="inlineStr">
        <is>
          <t>HM00584</t>
        </is>
      </c>
      <c r="B440" s="16" t="inlineStr">
        <is>
          <t>4012345989854</t>
        </is>
      </c>
      <c r="C440" s="7" t="inlineStr">
        <is>
          <t>HM WHOLEMEAL SLICED 400G</t>
        </is>
      </c>
      <c r="D440" s="7" t="inlineStr">
        <is>
          <t>Wholemeal sliced bread, 400g</t>
        </is>
      </c>
      <c r="E440" s="7" t="inlineStr">
        <is>
          <t>Harbour Market</t>
        </is>
      </c>
      <c r="F440" s="7" t="inlineStr">
        <is>
          <t>Bakery</t>
        </is>
      </c>
      <c r="G440" s="7" t="inlineStr">
        <is>
          <t>Bread</t>
        </is>
      </c>
      <c r="H440" s="7" t="inlineStr">
        <is>
          <t>yes</t>
        </is>
      </c>
      <c r="I440" s="7" t="inlineStr">
        <is>
          <t>Plant-based non-core</t>
        </is>
      </c>
      <c r="J440" s="7" t="inlineStr">
        <is>
          <t>Whole grains</t>
        </is>
      </c>
      <c r="K440" s="7" t="inlineStr">
        <is>
          <t>A</t>
        </is>
      </c>
      <c r="L440" s="7" t="inlineStr">
        <is>
          <t>All ingredients on one side</t>
        </is>
      </c>
      <c r="M440" s="51" t="n">
        <v>10.6</v>
      </c>
      <c r="N440" s="7" t="inlineStr">
        <is>
          <t>National food table (CIQUAL in France)</t>
        </is>
      </c>
      <c r="O440" s="54" t="n">
        <v>10.6</v>
      </c>
      <c r="P440" s="54" t="n">
        <v>0</v>
      </c>
      <c r="Q440" s="7" t="inlineStr">
        <is>
          <t>yes</t>
        </is>
      </c>
      <c r="R440" s="7" t="inlineStr">
        <is>
          <t>whole</t>
        </is>
      </c>
      <c r="S440" s="7" t="inlineStr">
        <is>
          <t>FG5</t>
        </is>
      </c>
      <c r="T440" s="7" t="inlineStr">
        <is>
          <t>Whole grain</t>
        </is>
      </c>
      <c r="U440" s="7" t="inlineStr">
        <is>
          <t>plant</t>
        </is>
      </c>
      <c r="V440" s="7" t="n"/>
      <c r="W440" s="7" t="n"/>
      <c r="X440" s="55" t="n">
        <v>1</v>
      </c>
      <c r="Y440" s="50" t="n">
        <v>0.4</v>
      </c>
      <c r="Z440" s="7" t="inlineStr">
        <is>
          <t>declared</t>
        </is>
      </c>
      <c r="AA440" s="19">
        <f>IF(ISBLANK(Welcome!D466),"",Welcome!D466)</f>
        <v/>
      </c>
      <c r="AB440" s="29">
        <f>IF(ISBLANK(Welcome!E466),"",Welcome!E466)</f>
        <v/>
      </c>
      <c r="AC440" s="29">
        <f>IF(N(AB440)&gt;0,N(AB440),N(AA440)*Y440)</f>
        <v/>
      </c>
      <c r="AD440" s="29">
        <f>IF(H440="yes",AC440,0)</f>
        <v/>
      </c>
      <c r="AE440" s="29">
        <f>AD440*N(M440)/100</f>
        <v/>
      </c>
      <c r="AF440" s="29">
        <f>AD440*N(O440)/100</f>
        <v/>
      </c>
      <c r="AG440" s="29">
        <f>AD440*N(P440)/100</f>
        <v/>
      </c>
      <c r="AH440" s="50">
        <f>IF(Q440="yes",AD440/1000,0)</f>
        <v/>
      </c>
      <c r="AI440" s="50">
        <f>IF(S440="FG2",AH440*X440,AH440)</f>
        <v/>
      </c>
    </row>
    <row r="441">
      <c r="A441" s="7" t="inlineStr">
        <is>
          <t>HM00287</t>
        </is>
      </c>
      <c r="B441" s="16" t="inlineStr">
        <is>
          <t>5012345703800</t>
        </is>
      </c>
      <c r="C441" s="7" t="inlineStr">
        <is>
          <t>ORVALIS BRAN FLAKES 1KG</t>
        </is>
      </c>
      <c r="D441" s="7" t="inlineStr">
        <is>
          <t>Bran flakes, 1kg</t>
        </is>
      </c>
      <c r="E441" s="7" t="inlineStr">
        <is>
          <t>Orvalis</t>
        </is>
      </c>
      <c r="F441" s="7" t="inlineStr">
        <is>
          <t>Breakfast &amp; Snacks</t>
        </is>
      </c>
      <c r="G441" s="7" t="inlineStr">
        <is>
          <t>Cereals</t>
        </is>
      </c>
      <c r="H441" s="7" t="inlineStr">
        <is>
          <t>yes</t>
        </is>
      </c>
      <c r="I441" s="7" t="inlineStr">
        <is>
          <t>Plant-based non-core</t>
        </is>
      </c>
      <c r="J441" s="7" t="inlineStr">
        <is>
          <t>Whole grains</t>
        </is>
      </c>
      <c r="K441" s="7" t="inlineStr">
        <is>
          <t>A</t>
        </is>
      </c>
      <c r="L441" s="7" t="inlineStr">
        <is>
          <t>All ingredients on one side</t>
        </is>
      </c>
      <c r="M441" s="51" t="n">
        <v>10</v>
      </c>
      <c r="N441" s="7" t="inlineStr">
        <is>
          <t>National food table (CIQUAL in France)</t>
        </is>
      </c>
      <c r="O441" s="54" t="n">
        <v>10</v>
      </c>
      <c r="P441" s="54" t="n">
        <v>0</v>
      </c>
      <c r="Q441" s="7" t="inlineStr">
        <is>
          <t>yes</t>
        </is>
      </c>
      <c r="R441" s="7" t="inlineStr">
        <is>
          <t>whole</t>
        </is>
      </c>
      <c r="S441" s="7" t="inlineStr">
        <is>
          <t>FG5</t>
        </is>
      </c>
      <c r="T441" s="7" t="inlineStr">
        <is>
          <t>Whole grain</t>
        </is>
      </c>
      <c r="U441" s="7" t="inlineStr">
        <is>
          <t>plant</t>
        </is>
      </c>
      <c r="V441" s="7" t="n"/>
      <c r="W441" s="7" t="n"/>
      <c r="X441" s="55" t="n">
        <v>1</v>
      </c>
      <c r="Y441" s="50" t="n">
        <v>1</v>
      </c>
      <c r="Z441" s="7" t="inlineStr">
        <is>
          <t>declared</t>
        </is>
      </c>
      <c r="AA441" s="19">
        <f>IF(ISBLANK(Welcome!D467),"",Welcome!D467)</f>
        <v/>
      </c>
      <c r="AB441" s="29">
        <f>IF(ISBLANK(Welcome!E467),"",Welcome!E467)</f>
        <v/>
      </c>
      <c r="AC441" s="29">
        <f>IF(N(AB441)&gt;0,N(AB441),N(AA441)*Y441)</f>
        <v/>
      </c>
      <c r="AD441" s="29">
        <f>IF(H441="yes",AC441,0)</f>
        <v/>
      </c>
      <c r="AE441" s="29">
        <f>AD441*N(M441)/100</f>
        <v/>
      </c>
      <c r="AF441" s="29">
        <f>AD441*N(O441)/100</f>
        <v/>
      </c>
      <c r="AG441" s="29">
        <f>AD441*N(P441)/100</f>
        <v/>
      </c>
      <c r="AH441" s="50">
        <f>IF(Q441="yes",AD441/1000,0)</f>
        <v/>
      </c>
      <c r="AI441" s="50">
        <f>IF(S441="FG2",AH441*X441,AH441)</f>
        <v/>
      </c>
    </row>
    <row r="442">
      <c r="A442" s="7" t="inlineStr">
        <is>
          <t>HM00217</t>
        </is>
      </c>
      <c r="B442" s="16" t="inlineStr">
        <is>
          <t>5012345517568</t>
        </is>
      </c>
      <c r="C442" s="7" t="inlineStr">
        <is>
          <t>WHOLEMEAL SLICED 400G BRAMBLECOTE</t>
        </is>
      </c>
      <c r="D442" s="7" t="inlineStr">
        <is>
          <t>Wholemeal sliced bread, 400g</t>
        </is>
      </c>
      <c r="E442" s="7" t="inlineStr">
        <is>
          <t>Bramblecote</t>
        </is>
      </c>
      <c r="F442" s="7" t="inlineStr">
        <is>
          <t>Bakery</t>
        </is>
      </c>
      <c r="G442" s="7" t="inlineStr">
        <is>
          <t>Bread</t>
        </is>
      </c>
      <c r="H442" s="7" t="inlineStr">
        <is>
          <t>yes</t>
        </is>
      </c>
      <c r="I442" s="7" t="inlineStr">
        <is>
          <t>Plant-based non-core</t>
        </is>
      </c>
      <c r="J442" s="7" t="inlineStr">
        <is>
          <t>Whole grains</t>
        </is>
      </c>
      <c r="K442" s="7" t="inlineStr">
        <is>
          <t>A</t>
        </is>
      </c>
      <c r="L442" s="7" t="inlineStr">
        <is>
          <t>All ingredients on one side</t>
        </is>
      </c>
      <c r="M442" s="51" t="n">
        <v>9.699999999999999</v>
      </c>
      <c r="N442" s="7" t="inlineStr">
        <is>
          <t>Declared by the retailer</t>
        </is>
      </c>
      <c r="O442" s="54" t="n">
        <v>9.699999999999999</v>
      </c>
      <c r="P442" s="54" t="n">
        <v>0</v>
      </c>
      <c r="Q442" s="7" t="inlineStr">
        <is>
          <t>yes</t>
        </is>
      </c>
      <c r="R442" s="7" t="inlineStr">
        <is>
          <t>whole</t>
        </is>
      </c>
      <c r="S442" s="7" t="inlineStr">
        <is>
          <t>FG5</t>
        </is>
      </c>
      <c r="T442" s="7" t="inlineStr">
        <is>
          <t>Whole grain</t>
        </is>
      </c>
      <c r="U442" s="7" t="inlineStr">
        <is>
          <t>plant</t>
        </is>
      </c>
      <c r="V442" s="7" t="n"/>
      <c r="W442" s="7" t="n"/>
      <c r="X442" s="55" t="n">
        <v>1</v>
      </c>
      <c r="Y442" s="50" t="n">
        <v>0.4</v>
      </c>
      <c r="Z442" s="7" t="inlineStr">
        <is>
          <t>declared</t>
        </is>
      </c>
      <c r="AA442" s="19">
        <f>IF(ISBLANK(Welcome!D468),"",Welcome!D468)</f>
        <v/>
      </c>
      <c r="AB442" s="29">
        <f>IF(ISBLANK(Welcome!E468),"",Welcome!E468)</f>
        <v/>
      </c>
      <c r="AC442" s="29">
        <f>IF(N(AB442)&gt;0,N(AB442),N(AA442)*Y442)</f>
        <v/>
      </c>
      <c r="AD442" s="29">
        <f>IF(H442="yes",AC442,0)</f>
        <v/>
      </c>
      <c r="AE442" s="29">
        <f>AD442*N(M442)/100</f>
        <v/>
      </c>
      <c r="AF442" s="29">
        <f>AD442*N(O442)/100</f>
        <v/>
      </c>
      <c r="AG442" s="29">
        <f>AD442*N(P442)/100</f>
        <v/>
      </c>
      <c r="AH442" s="50">
        <f>IF(Q442="yes",AD442/1000,0)</f>
        <v/>
      </c>
      <c r="AI442" s="50">
        <f>IF(S442="FG2",AH442*X442,AH442)</f>
        <v/>
      </c>
    </row>
    <row r="443">
      <c r="A443" s="7" t="inlineStr">
        <is>
          <t>HM00589</t>
        </is>
      </c>
      <c r="B443" s="16" t="inlineStr">
        <is>
          <t>8712345220617</t>
        </is>
      </c>
      <c r="C443" s="7" t="inlineStr">
        <is>
          <t>HM SALMON FLT SKINLESS 4X125G</t>
        </is>
      </c>
      <c r="D443" s="7" t="inlineStr">
        <is>
          <t>Skinless salmon fillets, 4x125g</t>
        </is>
      </c>
      <c r="E443" s="7" t="inlineStr">
        <is>
          <t>Harbour Market</t>
        </is>
      </c>
      <c r="F443" s="7" t="inlineStr">
        <is>
          <t>Fish &amp; Seafood</t>
        </is>
      </c>
      <c r="G443" s="7" t="inlineStr">
        <is>
          <t>Fresh Fish</t>
        </is>
      </c>
      <c r="H443" s="7" t="inlineStr">
        <is>
          <t>yes</t>
        </is>
      </c>
      <c r="I443" s="7" t="inlineStr">
        <is>
          <t>Animal core</t>
        </is>
      </c>
      <c r="J443" s="7" t="inlineStr">
        <is>
          <t>Fish and seafood</t>
        </is>
      </c>
      <c r="K443" s="7" t="inlineStr">
        <is>
          <t>B</t>
        </is>
      </c>
      <c r="L443" s="7" t="inlineStr">
        <is>
          <t>Follows the class</t>
        </is>
      </c>
      <c r="M443" s="51" t="n">
        <v>19.5</v>
      </c>
      <c r="N443" s="7" t="inlineStr">
        <is>
          <t>Declared by the retailer</t>
        </is>
      </c>
      <c r="O443" s="54" t="n">
        <v>0</v>
      </c>
      <c r="P443" s="54" t="n">
        <v>19.5</v>
      </c>
      <c r="Q443" s="7" t="inlineStr">
        <is>
          <t>yes</t>
        </is>
      </c>
      <c r="R443" s="7" t="inlineStr">
        <is>
          <t>whole</t>
        </is>
      </c>
      <c r="S443" s="7" t="inlineStr">
        <is>
          <t>FG1</t>
        </is>
      </c>
      <c r="T443" s="7" t="inlineStr">
        <is>
          <t>Fish &amp; shellfish</t>
        </is>
      </c>
      <c r="U443" s="7" t="inlineStr">
        <is>
          <t>animal</t>
        </is>
      </c>
      <c r="V443" s="7" t="n"/>
      <c r="W443" s="7" t="n"/>
      <c r="X443" s="55" t="n">
        <v>1</v>
      </c>
      <c r="Y443" s="50" t="n">
        <v>0.5</v>
      </c>
      <c r="Z443" s="7" t="inlineStr">
        <is>
          <t>label</t>
        </is>
      </c>
      <c r="AA443" s="19">
        <f>IF(ISBLANK(Welcome!D469),"",Welcome!D469)</f>
        <v/>
      </c>
      <c r="AB443" s="29">
        <f>IF(ISBLANK(Welcome!E469),"",Welcome!E469)</f>
        <v/>
      </c>
      <c r="AC443" s="29">
        <f>IF(N(AB443)&gt;0,N(AB443),N(AA443)*Y443)</f>
        <v/>
      </c>
      <c r="AD443" s="29">
        <f>IF(H443="yes",AC443,0)</f>
        <v/>
      </c>
      <c r="AE443" s="29">
        <f>AD443*N(M443)/100</f>
        <v/>
      </c>
      <c r="AF443" s="29">
        <f>AD443*N(O443)/100</f>
        <v/>
      </c>
      <c r="AG443" s="29">
        <f>AD443*N(P443)/100</f>
        <v/>
      </c>
      <c r="AH443" s="50">
        <f>IF(Q443="yes",AD443/1000,0)</f>
        <v/>
      </c>
      <c r="AI443" s="50">
        <f>IF(S443="FG2",AH443*X443,AH443)</f>
        <v/>
      </c>
    </row>
    <row r="444">
      <c r="A444" s="7" t="inlineStr">
        <is>
          <t>HM00099</t>
        </is>
      </c>
      <c r="B444" s="16" t="inlineStr">
        <is>
          <t>4012345308969</t>
        </is>
      </c>
      <c r="C444" s="7" t="inlineStr">
        <is>
          <t>HM RICH TEA BISCUITS 300G</t>
        </is>
      </c>
      <c r="D444" s="7" t="inlineStr">
        <is>
          <t>Rich tea biscuits, 300g</t>
        </is>
      </c>
      <c r="E444" s="7" t="inlineStr">
        <is>
          <t>Harbour Market</t>
        </is>
      </c>
      <c r="F444" s="7" t="inlineStr">
        <is>
          <t>Breakfast &amp; Snacks</t>
        </is>
      </c>
      <c r="G444" s="7" t="inlineStr">
        <is>
          <t>Biscuits</t>
        </is>
      </c>
      <c r="H444" s="7" t="inlineStr">
        <is>
          <t>yes</t>
        </is>
      </c>
      <c r="I444" s="7" t="inlineStr">
        <is>
          <t>Plant-based non-core</t>
        </is>
      </c>
      <c r="J444" s="7" t="inlineStr">
        <is>
          <t>Discretionary products</t>
        </is>
      </c>
      <c r="K444" s="7" t="inlineStr">
        <is>
          <t>A</t>
        </is>
      </c>
      <c r="L444" s="7" t="inlineStr">
        <is>
          <t>All ingredients on one side</t>
        </is>
      </c>
      <c r="M444" s="51" t="n">
        <v>7.2</v>
      </c>
      <c r="N444" s="7" t="inlineStr">
        <is>
          <t>Median of the family</t>
        </is>
      </c>
      <c r="O444" s="54" t="n">
        <v>7.2</v>
      </c>
      <c r="P444" s="54" t="n">
        <v>0</v>
      </c>
      <c r="Q444" s="7" t="inlineStr">
        <is>
          <t>yes</t>
        </is>
      </c>
      <c r="R444" s="7" t="inlineStr">
        <is>
          <t>whole</t>
        </is>
      </c>
      <c r="S444" s="7" t="inlineStr">
        <is>
          <t>FG7</t>
        </is>
      </c>
      <c r="T444" s="7" t="n"/>
      <c r="U444" s="7" t="inlineStr">
        <is>
          <t>plant</t>
        </is>
      </c>
      <c r="V444" s="7" t="n"/>
      <c r="W444" s="7" t="n"/>
      <c r="X444" s="55" t="n">
        <v>1</v>
      </c>
      <c r="Y444" s="50" t="n">
        <v>0.3</v>
      </c>
      <c r="Z444" s="7" t="inlineStr">
        <is>
          <t>declared</t>
        </is>
      </c>
      <c r="AA444" s="19">
        <f>IF(ISBLANK(Welcome!D470),"",Welcome!D470)</f>
        <v/>
      </c>
      <c r="AB444" s="29">
        <f>IF(ISBLANK(Welcome!E470),"",Welcome!E470)</f>
        <v/>
      </c>
      <c r="AC444" s="29">
        <f>IF(N(AB444)&gt;0,N(AB444),N(AA444)*Y444)</f>
        <v/>
      </c>
      <c r="AD444" s="29">
        <f>IF(H444="yes",AC444,0)</f>
        <v/>
      </c>
      <c r="AE444" s="29">
        <f>AD444*N(M444)/100</f>
        <v/>
      </c>
      <c r="AF444" s="29">
        <f>AD444*N(O444)/100</f>
        <v/>
      </c>
      <c r="AG444" s="29">
        <f>AD444*N(P444)/100</f>
        <v/>
      </c>
      <c r="AH444" s="50">
        <f>IF(Q444="yes",AD444/1000,0)</f>
        <v/>
      </c>
      <c r="AI444" s="50">
        <f>IF(S444="FG2",AH444*X444,AH444)</f>
        <v/>
      </c>
    </row>
    <row r="445">
      <c r="A445" s="7" t="inlineStr">
        <is>
          <t>HM00222</t>
        </is>
      </c>
      <c r="B445" s="16" t="inlineStr">
        <is>
          <t>8712345018771</t>
        </is>
      </c>
      <c r="C445" s="7" t="inlineStr">
        <is>
          <t>TARROW LAMB LEG STEAKS 300G</t>
        </is>
      </c>
      <c r="D445" s="7" t="inlineStr">
        <is>
          <t>Lamb leg steaks, 300g</t>
        </is>
      </c>
      <c r="E445" s="7" t="inlineStr">
        <is>
          <t>Tarrow Farm</t>
        </is>
      </c>
      <c r="F445" s="7" t="inlineStr">
        <is>
          <t>Fresh Meat &amp; Poultry</t>
        </is>
      </c>
      <c r="G445" s="7" t="inlineStr">
        <is>
          <t>Turkey &amp; Lamb</t>
        </is>
      </c>
      <c r="H445" s="7" t="inlineStr">
        <is>
          <t>yes</t>
        </is>
      </c>
      <c r="I445" s="7" t="inlineStr">
        <is>
          <t>Animal core</t>
        </is>
      </c>
      <c r="J445" s="7" t="inlineStr">
        <is>
          <t>Red meat</t>
        </is>
      </c>
      <c r="K445" s="7" t="inlineStr">
        <is>
          <t>B</t>
        </is>
      </c>
      <c r="L445" s="7" t="inlineStr">
        <is>
          <t>Follows the class</t>
        </is>
      </c>
      <c r="M445" s="51" t="n">
        <v>22.3</v>
      </c>
      <c r="N445" s="7" t="inlineStr">
        <is>
          <t>Declared by the retailer</t>
        </is>
      </c>
      <c r="O445" s="54" t="n">
        <v>0</v>
      </c>
      <c r="P445" s="54" t="n">
        <v>22.3</v>
      </c>
      <c r="Q445" s="7" t="inlineStr">
        <is>
          <t>yes</t>
        </is>
      </c>
      <c r="R445" s="7" t="inlineStr">
        <is>
          <t>whole</t>
        </is>
      </c>
      <c r="S445" s="7" t="inlineStr">
        <is>
          <t>FG1</t>
        </is>
      </c>
      <c r="T445" s="7" t="inlineStr">
        <is>
          <t>Red meat</t>
        </is>
      </c>
      <c r="U445" s="7" t="inlineStr">
        <is>
          <t>animal</t>
        </is>
      </c>
      <c r="V445" s="7" t="n"/>
      <c r="W445" s="7" t="n"/>
      <c r="X445" s="55" t="n">
        <v>1</v>
      </c>
      <c r="Y445" s="50" t="n">
        <v>0.3</v>
      </c>
      <c r="Z445" s="7" t="inlineStr">
        <is>
          <t>declared</t>
        </is>
      </c>
      <c r="AA445" s="19">
        <f>IF(ISBLANK(Welcome!D471),"",Welcome!D471)</f>
        <v/>
      </c>
      <c r="AB445" s="29">
        <f>IF(ISBLANK(Welcome!E471),"",Welcome!E471)</f>
        <v/>
      </c>
      <c r="AC445" s="29">
        <f>IF(N(AB445)&gt;0,N(AB445),N(AA445)*Y445)</f>
        <v/>
      </c>
      <c r="AD445" s="29">
        <f>IF(H445="yes",AC445,0)</f>
        <v/>
      </c>
      <c r="AE445" s="29">
        <f>AD445*N(M445)/100</f>
        <v/>
      </c>
      <c r="AF445" s="29">
        <f>AD445*N(O445)/100</f>
        <v/>
      </c>
      <c r="AG445" s="29">
        <f>AD445*N(P445)/100</f>
        <v/>
      </c>
      <c r="AH445" s="50">
        <f>IF(Q445="yes",AD445/1000,0)</f>
        <v/>
      </c>
      <c r="AI445" s="50">
        <f>IF(S445="FG2",AH445*X445,AH445)</f>
        <v/>
      </c>
    </row>
    <row r="446">
      <c r="A446" s="7" t="inlineStr">
        <is>
          <t>HM00176</t>
        </is>
      </c>
      <c r="B446" s="16" t="inlineStr">
        <is>
          <t>4012345855173</t>
        </is>
      </c>
      <c r="C446" s="7" t="inlineStr">
        <is>
          <t>BRIOCHE ROLLS 4PK 180G BRAMBLECOTE</t>
        </is>
      </c>
      <c r="D446" s="7" t="inlineStr">
        <is>
          <t>Brioche rolls, 4pk 180g</t>
        </is>
      </c>
      <c r="E446" s="7" t="inlineStr">
        <is>
          <t>Bramblecote</t>
        </is>
      </c>
      <c r="F446" s="7" t="inlineStr">
        <is>
          <t>Bakery</t>
        </is>
      </c>
      <c r="G446" s="7" t="inlineStr">
        <is>
          <t>Pastries</t>
        </is>
      </c>
      <c r="H446" s="7" t="inlineStr">
        <is>
          <t>yes</t>
        </is>
      </c>
      <c r="I446" s="7" t="inlineStr">
        <is>
          <t>Animal &amp; plant composite</t>
        </is>
      </c>
      <c r="J446" s="7" t="inlineStr">
        <is>
          <t>Discretionary products</t>
        </is>
      </c>
      <c r="K446" s="7" t="inlineStr">
        <is>
          <t>A</t>
        </is>
      </c>
      <c r="L446" s="7" t="inlineStr">
        <is>
          <t>NEVO food table (ratio only)</t>
        </is>
      </c>
      <c r="M446" s="51" t="n">
        <v>8.300000000000001</v>
      </c>
      <c r="N446" s="7" t="inlineStr">
        <is>
          <t>Declared by the retailer</t>
        </is>
      </c>
      <c r="O446" s="54" t="n">
        <v>4.57</v>
      </c>
      <c r="P446" s="54" t="n">
        <v>3.73</v>
      </c>
      <c r="Q446" s="7" t="inlineStr">
        <is>
          <t>yes</t>
        </is>
      </c>
      <c r="R446" s="7" t="inlineStr">
        <is>
          <t>whole</t>
        </is>
      </c>
      <c r="S446" s="7" t="inlineStr">
        <is>
          <t>FG7</t>
        </is>
      </c>
      <c r="T446" s="7" t="n"/>
      <c r="U446" s="7" t="inlineStr">
        <is>
          <t>plant</t>
        </is>
      </c>
      <c r="V446" s="7" t="n"/>
      <c r="W446" s="7" t="n"/>
      <c r="X446" s="55" t="n">
        <v>1</v>
      </c>
      <c r="Y446" s="50" t="n">
        <v>0.18</v>
      </c>
      <c r="Z446" s="7" t="inlineStr">
        <is>
          <t>label</t>
        </is>
      </c>
      <c r="AA446" s="19">
        <f>IF(ISBLANK(Welcome!D472),"",Welcome!D472)</f>
        <v/>
      </c>
      <c r="AB446" s="29">
        <f>IF(ISBLANK(Welcome!E472),"",Welcome!E472)</f>
        <v/>
      </c>
      <c r="AC446" s="29">
        <f>IF(N(AB446)&gt;0,N(AB446),N(AA446)*Y446)</f>
        <v/>
      </c>
      <c r="AD446" s="29">
        <f>IF(H446="yes",AC446,0)</f>
        <v/>
      </c>
      <c r="AE446" s="29">
        <f>AD446*N(M446)/100</f>
        <v/>
      </c>
      <c r="AF446" s="29">
        <f>AD446*N(O446)/100</f>
        <v/>
      </c>
      <c r="AG446" s="29">
        <f>AD446*N(P446)/100</f>
        <v/>
      </c>
      <c r="AH446" s="50">
        <f>IF(Q446="yes",AD446/1000,0)</f>
        <v/>
      </c>
      <c r="AI446" s="50">
        <f>IF(S446="FG2",AH446*X446,AH446)</f>
        <v/>
      </c>
    </row>
    <row r="447">
      <c r="A447" s="7" t="inlineStr">
        <is>
          <t>HM00265</t>
        </is>
      </c>
      <c r="B447" s="16" t="inlineStr">
        <is>
          <t>5012345195407</t>
        </is>
      </c>
      <c r="C447" s="7" t="inlineStr">
        <is>
          <t>HM HAM TRIM 400G</t>
        </is>
      </c>
      <c r="D447" s="7" t="inlineStr">
        <is>
          <t>Ham trimmings, 400g</t>
        </is>
      </c>
      <c r="E447" s="7" t="inlineStr">
        <is>
          <t>Harbour Market</t>
        </is>
      </c>
      <c r="F447" s="7" t="inlineStr">
        <is>
          <t>Deli</t>
        </is>
      </c>
      <c r="G447" s="7" t="inlineStr">
        <is>
          <t>Cooked Meats</t>
        </is>
      </c>
      <c r="H447" s="7" t="inlineStr">
        <is>
          <t>yes</t>
        </is>
      </c>
      <c r="I447" s="7" t="inlineStr">
        <is>
          <t>Animal core</t>
        </is>
      </c>
      <c r="J447" s="7" t="inlineStr">
        <is>
          <t>Dishes and processed products</t>
        </is>
      </c>
      <c r="K447" s="7" t="inlineStr">
        <is>
          <t>A</t>
        </is>
      </c>
      <c r="L447" s="7" t="inlineStr">
        <is>
          <t>All ingredients on one side</t>
        </is>
      </c>
      <c r="M447" s="51" t="n">
        <v>18.5</v>
      </c>
      <c r="N447" s="7" t="inlineStr">
        <is>
          <t>Declared by the retailer</t>
        </is>
      </c>
      <c r="O447" s="54" t="n">
        <v>0</v>
      </c>
      <c r="P447" s="54" t="n">
        <v>18.5</v>
      </c>
      <c r="Q447" s="7" t="inlineStr">
        <is>
          <t>yes</t>
        </is>
      </c>
      <c r="R447" s="7" t="inlineStr">
        <is>
          <t>whole</t>
        </is>
      </c>
      <c r="S447" s="7" t="inlineStr">
        <is>
          <t>FG1</t>
        </is>
      </c>
      <c r="T447" s="7" t="inlineStr">
        <is>
          <t>Red meat</t>
        </is>
      </c>
      <c r="U447" s="7" t="inlineStr">
        <is>
          <t>animal</t>
        </is>
      </c>
      <c r="V447" s="7" t="n"/>
      <c r="W447" s="7" t="n"/>
      <c r="X447" s="55" t="n">
        <v>1</v>
      </c>
      <c r="Y447" s="50" t="n">
        <v>0.4</v>
      </c>
      <c r="Z447" s="7" t="inlineStr">
        <is>
          <t>declared</t>
        </is>
      </c>
      <c r="AA447" s="19">
        <f>IF(ISBLANK(Welcome!D473),"",Welcome!D473)</f>
        <v/>
      </c>
      <c r="AB447" s="29">
        <f>IF(ISBLANK(Welcome!E473),"",Welcome!E473)</f>
        <v/>
      </c>
      <c r="AC447" s="29">
        <f>IF(N(AB447)&gt;0,N(AB447),N(AA447)*Y447)</f>
        <v/>
      </c>
      <c r="AD447" s="29">
        <f>IF(H447="yes",AC447,0)</f>
        <v/>
      </c>
      <c r="AE447" s="29">
        <f>AD447*N(M447)/100</f>
        <v/>
      </c>
      <c r="AF447" s="29">
        <f>AD447*N(O447)/100</f>
        <v/>
      </c>
      <c r="AG447" s="29">
        <f>AD447*N(P447)/100</f>
        <v/>
      </c>
      <c r="AH447" s="50">
        <f>IF(Q447="yes",AD447/1000,0)</f>
        <v/>
      </c>
      <c r="AI447" s="50">
        <f>IF(S447="FG2",AH447*X447,AH447)</f>
        <v/>
      </c>
    </row>
    <row r="448">
      <c r="A448" s="7" t="inlineStr">
        <is>
          <t>HM00209</t>
        </is>
      </c>
      <c r="B448" s="16" t="inlineStr">
        <is>
          <t>5012345060286</t>
        </is>
      </c>
      <c r="C448" s="7" t="inlineStr">
        <is>
          <t>HM PLANT BURGERS 226G</t>
        </is>
      </c>
      <c r="D448" s="7" t="inlineStr">
        <is>
          <t>Plant-based burgers, 226g</t>
        </is>
      </c>
      <c r="E448" s="7" t="inlineStr">
        <is>
          <t>Harbour Market</t>
        </is>
      </c>
      <c r="F448" s="7" t="inlineStr">
        <is>
          <t>Plant-Based</t>
        </is>
      </c>
      <c r="G448" s="7" t="inlineStr">
        <is>
          <t>Meat Alternatives</t>
        </is>
      </c>
      <c r="H448" s="7" t="inlineStr">
        <is>
          <t>yes</t>
        </is>
      </c>
      <c r="I448" s="7" t="inlineStr">
        <is>
          <t>Plant-based core</t>
        </is>
      </c>
      <c r="J448" s="7" t="inlineStr">
        <is>
          <t>Plant-based meat alternatives</t>
        </is>
      </c>
      <c r="K448" s="7" t="inlineStr">
        <is>
          <t>B</t>
        </is>
      </c>
      <c r="L448" s="7" t="inlineStr">
        <is>
          <t>Follows the class</t>
        </is>
      </c>
      <c r="M448" s="51" t="n">
        <v>15.1</v>
      </c>
      <c r="N448" s="7" t="inlineStr">
        <is>
          <t>National food table (CIQUAL in France)</t>
        </is>
      </c>
      <c r="O448" s="54" t="n">
        <v>15.1</v>
      </c>
      <c r="P448" s="54" t="n">
        <v>0</v>
      </c>
      <c r="Q448" s="7" t="inlineStr">
        <is>
          <t>yes</t>
        </is>
      </c>
      <c r="R448" s="7" t="inlineStr">
        <is>
          <t>whole</t>
        </is>
      </c>
      <c r="S448" s="7" t="inlineStr">
        <is>
          <t>FG1</t>
        </is>
      </c>
      <c r="T448" s="7" t="inlineStr">
        <is>
          <t>Alternative products</t>
        </is>
      </c>
      <c r="U448" s="7" t="inlineStr">
        <is>
          <t>plant</t>
        </is>
      </c>
      <c r="V448" s="7" t="n"/>
      <c r="W448" s="7" t="n"/>
      <c r="X448" s="55" t="n">
        <v>1</v>
      </c>
      <c r="Y448" s="50" t="n">
        <v>0.226</v>
      </c>
      <c r="Z448" s="7" t="inlineStr">
        <is>
          <t>declared</t>
        </is>
      </c>
      <c r="AA448" s="19">
        <f>IF(ISBLANK(Welcome!D474),"",Welcome!D474)</f>
        <v/>
      </c>
      <c r="AB448" s="29">
        <f>IF(ISBLANK(Welcome!E474),"",Welcome!E474)</f>
        <v/>
      </c>
      <c r="AC448" s="29">
        <f>IF(N(AB448)&gt;0,N(AB448),N(AA448)*Y448)</f>
        <v/>
      </c>
      <c r="AD448" s="29">
        <f>IF(H448="yes",AC448,0)</f>
        <v/>
      </c>
      <c r="AE448" s="29">
        <f>AD448*N(M448)/100</f>
        <v/>
      </c>
      <c r="AF448" s="29">
        <f>AD448*N(O448)/100</f>
        <v/>
      </c>
      <c r="AG448" s="29">
        <f>AD448*N(P448)/100</f>
        <v/>
      </c>
      <c r="AH448" s="50">
        <f>IF(Q448="yes",AD448/1000,0)</f>
        <v/>
      </c>
      <c r="AI448" s="50">
        <f>IF(S448="FG2",AH448*X448,AH448)</f>
        <v/>
      </c>
    </row>
    <row r="449">
      <c r="A449" s="7" t="inlineStr">
        <is>
          <t>HM00425</t>
        </is>
      </c>
      <c r="B449" s="16" t="inlineStr">
        <is>
          <t>4012345481662</t>
        </is>
      </c>
      <c r="C449" s="7" t="inlineStr">
        <is>
          <t>PASSATA 690G CASTELNA</t>
        </is>
      </c>
      <c r="D449" s="7" t="inlineStr">
        <is>
          <t>Sieved tomatoes (passata), 690g</t>
        </is>
      </c>
      <c r="E449" s="7" t="inlineStr">
        <is>
          <t>Castelna</t>
        </is>
      </c>
      <c r="F449" s="7" t="inlineStr">
        <is>
          <t>Grocery</t>
        </is>
      </c>
      <c r="G449" s="7" t="inlineStr">
        <is>
          <t>Canned Vegetables</t>
        </is>
      </c>
      <c r="H449" s="7" t="inlineStr">
        <is>
          <t>yes</t>
        </is>
      </c>
      <c r="I449" s="7" t="inlineStr">
        <is>
          <t>Plant-based non-core</t>
        </is>
      </c>
      <c r="J449" s="7" t="inlineStr">
        <is>
          <t>Fruit and vegetables</t>
        </is>
      </c>
      <c r="K449" s="7" t="inlineStr">
        <is>
          <t>A</t>
        </is>
      </c>
      <c r="L449" s="7" t="inlineStr">
        <is>
          <t>All ingredients on one side</t>
        </is>
      </c>
      <c r="M449" s="51" t="n">
        <v>1</v>
      </c>
      <c r="N449" s="7" t="inlineStr">
        <is>
          <t>National food table (CIQUAL in France)</t>
        </is>
      </c>
      <c r="O449" s="54" t="n">
        <v>1</v>
      </c>
      <c r="P449" s="54" t="n">
        <v>0</v>
      </c>
      <c r="Q449" s="7" t="inlineStr">
        <is>
          <t>yes</t>
        </is>
      </c>
      <c r="R449" s="7" t="inlineStr">
        <is>
          <t>whole</t>
        </is>
      </c>
      <c r="S449" s="7" t="inlineStr">
        <is>
          <t>FG4</t>
        </is>
      </c>
      <c r="T449" s="7" t="n"/>
      <c r="U449" s="7" t="inlineStr">
        <is>
          <t>plant</t>
        </is>
      </c>
      <c r="V449" s="7" t="n"/>
      <c r="W449" s="7" t="n"/>
      <c r="X449" s="55" t="n">
        <v>1</v>
      </c>
      <c r="Y449" s="50" t="n">
        <v>0.6899999999999999</v>
      </c>
      <c r="Z449" s="7" t="inlineStr">
        <is>
          <t>declared</t>
        </is>
      </c>
      <c r="AA449" s="19">
        <f>IF(ISBLANK(Welcome!D475),"",Welcome!D475)</f>
        <v/>
      </c>
      <c r="AB449" s="29">
        <f>IF(ISBLANK(Welcome!E475),"",Welcome!E475)</f>
        <v/>
      </c>
      <c r="AC449" s="29">
        <f>IF(N(AB449)&gt;0,N(AB449),N(AA449)*Y449)</f>
        <v/>
      </c>
      <c r="AD449" s="29">
        <f>IF(H449="yes",AC449,0)</f>
        <v/>
      </c>
      <c r="AE449" s="29">
        <f>AD449*N(M449)/100</f>
        <v/>
      </c>
      <c r="AF449" s="29">
        <f>AD449*N(O449)/100</f>
        <v/>
      </c>
      <c r="AG449" s="29">
        <f>AD449*N(P449)/100</f>
        <v/>
      </c>
      <c r="AH449" s="50">
        <f>IF(Q449="yes",AD449/1000,0)</f>
        <v/>
      </c>
      <c r="AI449" s="50">
        <f>IF(S449="FG2",AH449*X449,AH449)</f>
        <v/>
      </c>
    </row>
    <row r="450">
      <c r="A450" s="7" t="inlineStr">
        <is>
          <t>HM00659</t>
        </is>
      </c>
      <c r="B450" s="16" t="inlineStr">
        <is>
          <t>5012345313016</t>
        </is>
      </c>
      <c r="C450" s="7" t="inlineStr">
        <is>
          <t>HM WHOLE CHKN 650G</t>
        </is>
      </c>
      <c r="D450" s="7" t="inlineStr">
        <is>
          <t>Whole chicken, 650g</t>
        </is>
      </c>
      <c r="E450" s="7" t="inlineStr">
        <is>
          <t>Harbour Market</t>
        </is>
      </c>
      <c r="F450" s="7" t="inlineStr">
        <is>
          <t>Fresh Meat &amp; Poultry</t>
        </is>
      </c>
      <c r="G450" s="7" t="inlineStr">
        <is>
          <t>Poultry</t>
        </is>
      </c>
      <c r="H450" s="7" t="inlineStr">
        <is>
          <t>yes</t>
        </is>
      </c>
      <c r="I450" s="7" t="inlineStr">
        <is>
          <t>Animal core</t>
        </is>
      </c>
      <c r="J450" s="7" t="inlineStr">
        <is>
          <t>Poultry</t>
        </is>
      </c>
      <c r="K450" s="7" t="inlineStr">
        <is>
          <t>A</t>
        </is>
      </c>
      <c r="L450" s="7" t="inlineStr">
        <is>
          <t>All ingredients on one side</t>
        </is>
      </c>
      <c r="M450" s="51" t="n">
        <v>20.4</v>
      </c>
      <c r="N450" s="7" t="inlineStr">
        <is>
          <t>Open Food Facts and NEVO, by EAN</t>
        </is>
      </c>
      <c r="O450" s="54" t="n">
        <v>0</v>
      </c>
      <c r="P450" s="54" t="n">
        <v>20.4</v>
      </c>
      <c r="Q450" s="7" t="inlineStr">
        <is>
          <t>yes</t>
        </is>
      </c>
      <c r="R450" s="7" t="inlineStr">
        <is>
          <t>whole</t>
        </is>
      </c>
      <c r="S450" s="7" t="inlineStr">
        <is>
          <t>FG1</t>
        </is>
      </c>
      <c r="T450" s="7" t="inlineStr">
        <is>
          <t>Poultry</t>
        </is>
      </c>
      <c r="U450" s="7" t="inlineStr">
        <is>
          <t>animal</t>
        </is>
      </c>
      <c r="V450" s="7" t="n"/>
      <c r="W450" s="7" t="n"/>
      <c r="X450" s="55" t="n">
        <v>1</v>
      </c>
      <c r="Y450" s="50" t="n">
        <v>0.65</v>
      </c>
      <c r="Z450" s="7" t="inlineStr">
        <is>
          <t>declared</t>
        </is>
      </c>
      <c r="AA450" s="19">
        <f>IF(ISBLANK(Welcome!D476),"",Welcome!D476)</f>
        <v/>
      </c>
      <c r="AB450" s="29">
        <f>IF(ISBLANK(Welcome!E476),"",Welcome!E476)</f>
        <v/>
      </c>
      <c r="AC450" s="29">
        <f>IF(N(AB450)&gt;0,N(AB450),N(AA450)*Y450)</f>
        <v/>
      </c>
      <c r="AD450" s="29">
        <f>IF(H450="yes",AC450,0)</f>
        <v/>
      </c>
      <c r="AE450" s="29">
        <f>AD450*N(M450)/100</f>
        <v/>
      </c>
      <c r="AF450" s="29">
        <f>AD450*N(O450)/100</f>
        <v/>
      </c>
      <c r="AG450" s="29">
        <f>AD450*N(P450)/100</f>
        <v/>
      </c>
      <c r="AH450" s="50">
        <f>IF(Q450="yes",AD450/1000,0)</f>
        <v/>
      </c>
      <c r="AI450" s="50">
        <f>IF(S450="FG2",AH450*X450,AH450)</f>
        <v/>
      </c>
    </row>
    <row r="451">
      <c r="A451" s="7" t="inlineStr">
        <is>
          <t>HM00146</t>
        </is>
      </c>
      <c r="B451" s="16" t="inlineStr">
        <is>
          <t>8712345385811</t>
        </is>
      </c>
      <c r="C451" s="7" t="inlineStr">
        <is>
          <t>STRAWB MILKSHAKE 6X200ML FJELDA</t>
        </is>
      </c>
      <c r="D451" s="7" t="inlineStr">
        <is>
          <t>Strawberry milkshake, 6x200ml</t>
        </is>
      </c>
      <c r="E451" s="7" t="inlineStr">
        <is>
          <t>Fjelda</t>
        </is>
      </c>
      <c r="F451" s="7" t="inlineStr">
        <is>
          <t>Dairy &amp; Eggs</t>
        </is>
      </c>
      <c r="G451" s="7" t="inlineStr">
        <is>
          <t>Milk Drinks</t>
        </is>
      </c>
      <c r="H451" s="7" t="inlineStr">
        <is>
          <t>yes</t>
        </is>
      </c>
      <c r="I451" s="7" t="inlineStr">
        <is>
          <t>Animal core</t>
        </is>
      </c>
      <c r="J451" s="7" t="inlineStr">
        <is>
          <t>Milk, yoghurt and cream</t>
        </is>
      </c>
      <c r="K451" s="7" t="inlineStr">
        <is>
          <t>B</t>
        </is>
      </c>
      <c r="L451" s="7" t="inlineStr">
        <is>
          <t>First ingredient</t>
        </is>
      </c>
      <c r="M451" s="51" t="n">
        <v>3.3</v>
      </c>
      <c r="N451" s="7" t="inlineStr">
        <is>
          <t>Declared by the retailer</t>
        </is>
      </c>
      <c r="O451" s="54" t="n">
        <v>0</v>
      </c>
      <c r="P451" s="54" t="n">
        <v>3.3</v>
      </c>
      <c r="Q451" s="7" t="inlineStr">
        <is>
          <t>yes</t>
        </is>
      </c>
      <c r="R451" s="7" t="inlineStr">
        <is>
          <t>whole</t>
        </is>
      </c>
      <c r="S451" s="7" t="inlineStr">
        <is>
          <t>FG2</t>
        </is>
      </c>
      <c r="T451" s="7" t="inlineStr">
        <is>
          <t>Dairy</t>
        </is>
      </c>
      <c r="U451" s="7" t="inlineStr">
        <is>
          <t>animal</t>
        </is>
      </c>
      <c r="V451" s="7" t="n"/>
      <c r="W451" s="7" t="n"/>
      <c r="X451" s="55" t="n">
        <v>1</v>
      </c>
      <c r="Y451" s="50" t="n">
        <v>1.24</v>
      </c>
      <c r="Z451" s="7" t="inlineStr">
        <is>
          <t>declared</t>
        </is>
      </c>
      <c r="AA451" s="19">
        <f>IF(ISBLANK(Welcome!D477),"",Welcome!D477)</f>
        <v/>
      </c>
      <c r="AB451" s="29">
        <f>IF(ISBLANK(Welcome!E477),"",Welcome!E477)</f>
        <v/>
      </c>
      <c r="AC451" s="29">
        <f>IF(N(AB451)&gt;0,N(AB451),N(AA451)*Y451)</f>
        <v/>
      </c>
      <c r="AD451" s="29">
        <f>IF(H451="yes",AC451,0)</f>
        <v/>
      </c>
      <c r="AE451" s="29">
        <f>AD451*N(M451)/100</f>
        <v/>
      </c>
      <c r="AF451" s="29">
        <f>AD451*N(O451)/100</f>
        <v/>
      </c>
      <c r="AG451" s="29">
        <f>AD451*N(P451)/100</f>
        <v/>
      </c>
      <c r="AH451" s="50">
        <f>IF(Q451="yes",AD451/1000,0)</f>
        <v/>
      </c>
      <c r="AI451" s="50">
        <f>IF(S451="FG2",AH451*X451,AH451)</f>
        <v/>
      </c>
    </row>
    <row r="452">
      <c r="A452" s="7" t="inlineStr">
        <is>
          <t>HM00249</t>
        </is>
      </c>
      <c r="B452" s="16" t="inlineStr">
        <is>
          <t>2486207341860</t>
        </is>
      </c>
      <c r="C452" s="7" t="inlineStr">
        <is>
          <t>HM STRAWBERRIES KG</t>
        </is>
      </c>
      <c r="D452" s="7" t="inlineStr">
        <is>
          <t>Strawberries</t>
        </is>
      </c>
      <c r="E452" s="7" t="inlineStr">
        <is>
          <t>Harbour Market</t>
        </is>
      </c>
      <c r="F452" s="7" t="inlineStr">
        <is>
          <t>Fruit &amp; Vegetables</t>
        </is>
      </c>
      <c r="G452" s="7" t="inlineStr">
        <is>
          <t>Fruit</t>
        </is>
      </c>
      <c r="H452" s="7" t="inlineStr">
        <is>
          <t>yes</t>
        </is>
      </c>
      <c r="I452" s="7" t="inlineStr">
        <is>
          <t>Plant-based non-core</t>
        </is>
      </c>
      <c r="J452" s="7" t="inlineStr">
        <is>
          <t>Fruit and vegetables</t>
        </is>
      </c>
      <c r="K452" s="7" t="inlineStr">
        <is>
          <t>B</t>
        </is>
      </c>
      <c r="L452" s="7" t="inlineStr">
        <is>
          <t>Follows the class</t>
        </is>
      </c>
      <c r="M452" s="51" t="n">
        <v>0.67</v>
      </c>
      <c r="N452" s="7" t="inlineStr">
        <is>
          <t>National food table (CIQUAL in France)</t>
        </is>
      </c>
      <c r="O452" s="54" t="n">
        <v>0.67</v>
      </c>
      <c r="P452" s="54" t="n">
        <v>0</v>
      </c>
      <c r="Q452" s="7" t="inlineStr">
        <is>
          <t>yes</t>
        </is>
      </c>
      <c r="R452" s="7" t="inlineStr">
        <is>
          <t>whole</t>
        </is>
      </c>
      <c r="S452" s="7" t="inlineStr">
        <is>
          <t>FG4</t>
        </is>
      </c>
      <c r="T452" s="7" t="n"/>
      <c r="U452" s="7" t="inlineStr">
        <is>
          <t>plant</t>
        </is>
      </c>
      <c r="V452" s="7" t="n"/>
      <c r="W452" s="7" t="n"/>
      <c r="X452" s="55" t="n">
        <v>1</v>
      </c>
      <c r="Y452" s="50" t="n">
        <v>1</v>
      </c>
      <c r="Z452" s="7" t="inlineStr">
        <is>
          <t>variable</t>
        </is>
      </c>
      <c r="AA452" s="19">
        <f>IF(ISBLANK(Welcome!D478),"",Welcome!D478)</f>
        <v/>
      </c>
      <c r="AB452" s="29">
        <f>IF(ISBLANK(Welcome!E478),"",Welcome!E478)</f>
        <v/>
      </c>
      <c r="AC452" s="29">
        <f>IF(N(AB452)&gt;0,N(AB452),N(AA452)*Y452)</f>
        <v/>
      </c>
      <c r="AD452" s="29">
        <f>IF(H452="yes",AC452,0)</f>
        <v/>
      </c>
      <c r="AE452" s="29">
        <f>AD452*N(M452)/100</f>
        <v/>
      </c>
      <c r="AF452" s="29">
        <f>AD452*N(O452)/100</f>
        <v/>
      </c>
      <c r="AG452" s="29">
        <f>AD452*N(P452)/100</f>
        <v/>
      </c>
      <c r="AH452" s="50">
        <f>IF(Q452="yes",AD452/1000,0)</f>
        <v/>
      </c>
      <c r="AI452" s="50">
        <f>IF(S452="FG2",AH452*X452,AH452)</f>
        <v/>
      </c>
    </row>
    <row r="453">
      <c r="A453" s="7" t="inlineStr">
        <is>
          <t>HM00430</t>
        </is>
      </c>
      <c r="B453" s="16" t="inlineStr">
        <is>
          <t>8712345599102</t>
        </is>
      </c>
      <c r="C453" s="7" t="inlineStr">
        <is>
          <t>HM BUTTER BEANS 400G</t>
        </is>
      </c>
      <c r="D453" s="7" t="inlineStr">
        <is>
          <t>Butter beans in water, 400g</t>
        </is>
      </c>
      <c r="E453" s="7" t="inlineStr">
        <is>
          <t>Harbour Market</t>
        </is>
      </c>
      <c r="F453" s="7" t="inlineStr">
        <is>
          <t>Grocery</t>
        </is>
      </c>
      <c r="G453" s="7" t="inlineStr">
        <is>
          <t>Pulses</t>
        </is>
      </c>
      <c r="H453" s="7" t="inlineStr">
        <is>
          <t>yes</t>
        </is>
      </c>
      <c r="I453" s="7" t="inlineStr">
        <is>
          <t>Plant-based core</t>
        </is>
      </c>
      <c r="J453" s="7" t="inlineStr">
        <is>
          <t>Pulses</t>
        </is>
      </c>
      <c r="K453" s="7" t="inlineStr">
        <is>
          <t>B</t>
        </is>
      </c>
      <c r="L453" s="7" t="inlineStr">
        <is>
          <t>Follows the class</t>
        </is>
      </c>
      <c r="M453" s="51" t="n">
        <v>7.1</v>
      </c>
      <c r="N453" s="7" t="inlineStr">
        <is>
          <t>Declared by the retailer</t>
        </is>
      </c>
      <c r="O453" s="54" t="n">
        <v>7.1</v>
      </c>
      <c r="P453" s="54" t="n">
        <v>0</v>
      </c>
      <c r="Q453" s="7" t="inlineStr">
        <is>
          <t>yes</t>
        </is>
      </c>
      <c r="R453" s="7" t="inlineStr">
        <is>
          <t>whole</t>
        </is>
      </c>
      <c r="S453" s="7" t="inlineStr">
        <is>
          <t>FG1</t>
        </is>
      </c>
      <c r="T453" s="7" t="inlineStr">
        <is>
          <t>Pulses</t>
        </is>
      </c>
      <c r="U453" s="7" t="inlineStr">
        <is>
          <t>plant</t>
        </is>
      </c>
      <c r="V453" s="7" t="n"/>
      <c r="W453" s="7" t="n"/>
      <c r="X453" s="55" t="n">
        <v>1</v>
      </c>
      <c r="Y453" s="50" t="n">
        <v>0.4</v>
      </c>
      <c r="Z453" s="7" t="inlineStr">
        <is>
          <t>declared</t>
        </is>
      </c>
      <c r="AA453" s="19">
        <f>IF(ISBLANK(Welcome!D479),"",Welcome!D479)</f>
        <v/>
      </c>
      <c r="AB453" s="29">
        <f>IF(ISBLANK(Welcome!E479),"",Welcome!E479)</f>
        <v/>
      </c>
      <c r="AC453" s="29">
        <f>IF(N(AB453)&gt;0,N(AB453),N(AA453)*Y453)</f>
        <v/>
      </c>
      <c r="AD453" s="29">
        <f>IF(H453="yes",AC453,0)</f>
        <v/>
      </c>
      <c r="AE453" s="29">
        <f>AD453*N(M453)/100</f>
        <v/>
      </c>
      <c r="AF453" s="29">
        <f>AD453*N(O453)/100</f>
        <v/>
      </c>
      <c r="AG453" s="29">
        <f>AD453*N(P453)/100</f>
        <v/>
      </c>
      <c r="AH453" s="50">
        <f>IF(Q453="yes",AD453/1000,0)</f>
        <v/>
      </c>
      <c r="AI453" s="50">
        <f>IF(S453="FG2",AH453*X453,AH453)</f>
        <v/>
      </c>
    </row>
    <row r="454">
      <c r="A454" s="7" t="inlineStr">
        <is>
          <t>HM00024</t>
        </is>
      </c>
      <c r="B454" s="16" t="inlineStr">
        <is>
          <t>5012345168616</t>
        </is>
      </c>
      <c r="C454" s="7" t="inlineStr">
        <is>
          <t>HM CHERRY TOMATOES 300G</t>
        </is>
      </c>
      <c r="D454" s="7" t="inlineStr">
        <is>
          <t>Cherry tomatoes, 300g</t>
        </is>
      </c>
      <c r="E454" s="7" t="inlineStr">
        <is>
          <t>Harbour Market</t>
        </is>
      </c>
      <c r="F454" s="7" t="inlineStr">
        <is>
          <t>Fruit &amp; Vegetables</t>
        </is>
      </c>
      <c r="G454" s="7" t="inlineStr">
        <is>
          <t>Vegetables</t>
        </is>
      </c>
      <c r="H454" s="7" t="inlineStr">
        <is>
          <t>yes</t>
        </is>
      </c>
      <c r="I454" s="7" t="inlineStr">
        <is>
          <t>Plant-based non-core</t>
        </is>
      </c>
      <c r="J454" s="7" t="inlineStr">
        <is>
          <t>Fruit and vegetables</t>
        </is>
      </c>
      <c r="K454" s="7" t="inlineStr">
        <is>
          <t>B</t>
        </is>
      </c>
      <c r="L454" s="7" t="inlineStr">
        <is>
          <t>Follows the class</t>
        </is>
      </c>
      <c r="M454" s="51" t="n">
        <v>0.95</v>
      </c>
      <c r="N454" s="7" t="inlineStr">
        <is>
          <t>Declared by the retailer</t>
        </is>
      </c>
      <c r="O454" s="54" t="n">
        <v>0.95</v>
      </c>
      <c r="P454" s="54" t="n">
        <v>0</v>
      </c>
      <c r="Q454" s="7" t="inlineStr">
        <is>
          <t>yes</t>
        </is>
      </c>
      <c r="R454" s="7" t="inlineStr">
        <is>
          <t>whole</t>
        </is>
      </c>
      <c r="S454" s="7" t="inlineStr">
        <is>
          <t>FG4</t>
        </is>
      </c>
      <c r="T454" s="7" t="n"/>
      <c r="U454" s="7" t="inlineStr">
        <is>
          <t>plant</t>
        </is>
      </c>
      <c r="V454" s="7" t="n"/>
      <c r="W454" s="7" t="n"/>
      <c r="X454" s="55" t="n">
        <v>1</v>
      </c>
      <c r="Y454" s="50" t="n">
        <v>0.3</v>
      </c>
      <c r="Z454" s="7" t="inlineStr">
        <is>
          <t>declared</t>
        </is>
      </c>
      <c r="AA454" s="19">
        <f>IF(ISBLANK(Welcome!D480),"",Welcome!D480)</f>
        <v/>
      </c>
      <c r="AB454" s="29">
        <f>IF(ISBLANK(Welcome!E480),"",Welcome!E480)</f>
        <v/>
      </c>
      <c r="AC454" s="29">
        <f>IF(N(AB454)&gt;0,N(AB454),N(AA454)*Y454)</f>
        <v/>
      </c>
      <c r="AD454" s="29">
        <f>IF(H454="yes",AC454,0)</f>
        <v/>
      </c>
      <c r="AE454" s="29">
        <f>AD454*N(M454)/100</f>
        <v/>
      </c>
      <c r="AF454" s="29">
        <f>AD454*N(O454)/100</f>
        <v/>
      </c>
      <c r="AG454" s="29">
        <f>AD454*N(P454)/100</f>
        <v/>
      </c>
      <c r="AH454" s="50">
        <f>IF(Q454="yes",AD454/1000,0)</f>
        <v/>
      </c>
      <c r="AI454" s="50">
        <f>IF(S454="FG2",AH454*X454,AH454)</f>
        <v/>
      </c>
    </row>
    <row r="455">
      <c r="A455" s="7" t="inlineStr">
        <is>
          <t>HM00152</t>
        </is>
      </c>
      <c r="B455" s="16" t="inlineStr">
        <is>
          <t>3012345808125</t>
        </is>
      </c>
      <c r="C455" s="7" t="inlineStr">
        <is>
          <t>HM CAMEMBERT 250G</t>
        </is>
      </c>
      <c r="D455" s="7" t="inlineStr">
        <is>
          <t>Camembert, 250g</t>
        </is>
      </c>
      <c r="E455" s="7" t="inlineStr">
        <is>
          <t>Harbour Market</t>
        </is>
      </c>
      <c r="F455" s="7" t="inlineStr">
        <is>
          <t>Cheese</t>
        </is>
      </c>
      <c r="G455" s="7" t="inlineStr">
        <is>
          <t>Soft Cheese</t>
        </is>
      </c>
      <c r="H455" s="7" t="inlineStr">
        <is>
          <t>yes</t>
        </is>
      </c>
      <c r="I455" s="7" t="inlineStr">
        <is>
          <t>Animal core</t>
        </is>
      </c>
      <c r="J455" s="7" t="inlineStr">
        <is>
          <t>Cheese</t>
        </is>
      </c>
      <c r="K455" s="7" t="inlineStr">
        <is>
          <t>A</t>
        </is>
      </c>
      <c r="L455" s="7" t="inlineStr">
        <is>
          <t>All ingredients on one side</t>
        </is>
      </c>
      <c r="M455" s="51" t="n">
        <v>21.1</v>
      </c>
      <c r="N455" s="7" t="inlineStr">
        <is>
          <t>Declared by the retailer</t>
        </is>
      </c>
      <c r="O455" s="54" t="n">
        <v>0</v>
      </c>
      <c r="P455" s="54" t="n">
        <v>21.1</v>
      </c>
      <c r="Q455" s="7" t="inlineStr">
        <is>
          <t>yes</t>
        </is>
      </c>
      <c r="R455" s="7" t="inlineStr">
        <is>
          <t>whole</t>
        </is>
      </c>
      <c r="S455" s="7" t="inlineStr">
        <is>
          <t>FG2</t>
        </is>
      </c>
      <c r="T455" s="7" t="inlineStr">
        <is>
          <t>Dairy</t>
        </is>
      </c>
      <c r="U455" s="7" t="inlineStr">
        <is>
          <t>animal</t>
        </is>
      </c>
      <c r="V455" s="7" t="n"/>
      <c r="W455" s="7" t="n"/>
      <c r="X455" s="55" t="n">
        <v>10</v>
      </c>
      <c r="Y455" s="50" t="n">
        <v>0.25</v>
      </c>
      <c r="Z455" s="7" t="inlineStr">
        <is>
          <t>declared</t>
        </is>
      </c>
      <c r="AA455" s="19">
        <f>IF(ISBLANK(Welcome!D481),"",Welcome!D481)</f>
        <v/>
      </c>
      <c r="AB455" s="29">
        <f>IF(ISBLANK(Welcome!E481),"",Welcome!E481)</f>
        <v/>
      </c>
      <c r="AC455" s="29">
        <f>IF(N(AB455)&gt;0,N(AB455),N(AA455)*Y455)</f>
        <v/>
      </c>
      <c r="AD455" s="29">
        <f>IF(H455="yes",AC455,0)</f>
        <v/>
      </c>
      <c r="AE455" s="29">
        <f>AD455*N(M455)/100</f>
        <v/>
      </c>
      <c r="AF455" s="29">
        <f>AD455*N(O455)/100</f>
        <v/>
      </c>
      <c r="AG455" s="29">
        <f>AD455*N(P455)/100</f>
        <v/>
      </c>
      <c r="AH455" s="50">
        <f>IF(Q455="yes",AD455/1000,0)</f>
        <v/>
      </c>
      <c r="AI455" s="50">
        <f>IF(S455="FG2",AH455*X455,AH455)</f>
        <v/>
      </c>
    </row>
    <row r="456">
      <c r="A456" s="7" t="inlineStr">
        <is>
          <t>HM00798</t>
        </is>
      </c>
      <c r="B456" s="16" t="inlineStr">
        <is>
          <t>5012345275130</t>
        </is>
      </c>
      <c r="C456" s="7" t="inlineStr">
        <is>
          <t>HM BAKED BEANS TOM SCE 400G</t>
        </is>
      </c>
      <c r="D456" s="7" t="inlineStr">
        <is>
          <t>Baked beans in tomato sauce, 400g</t>
        </is>
      </c>
      <c r="E456" s="7" t="inlineStr">
        <is>
          <t>Harbour Market</t>
        </is>
      </c>
      <c r="F456" s="7" t="inlineStr">
        <is>
          <t>Grocery</t>
        </is>
      </c>
      <c r="G456" s="7" t="inlineStr">
        <is>
          <t>Pulses</t>
        </is>
      </c>
      <c r="H456" s="7" t="inlineStr">
        <is>
          <t>yes</t>
        </is>
      </c>
      <c r="I456" s="7" t="inlineStr">
        <is>
          <t>Plant-based core</t>
        </is>
      </c>
      <c r="J456" s="7" t="inlineStr">
        <is>
          <t>Pulses</t>
        </is>
      </c>
      <c r="K456" s="7" t="inlineStr">
        <is>
          <t>A</t>
        </is>
      </c>
      <c r="L456" s="7" t="inlineStr">
        <is>
          <t>All ingredients on one side</t>
        </is>
      </c>
      <c r="M456" s="51" t="n">
        <v>4.5</v>
      </c>
      <c r="N456" s="7" t="inlineStr">
        <is>
          <t>Open Food Facts and NEVO, by EAN</t>
        </is>
      </c>
      <c r="O456" s="54" t="n">
        <v>4.5</v>
      </c>
      <c r="P456" s="54" t="n">
        <v>0</v>
      </c>
      <c r="Q456" s="7" t="inlineStr">
        <is>
          <t>yes</t>
        </is>
      </c>
      <c r="R456" s="7" t="inlineStr">
        <is>
          <t>whole</t>
        </is>
      </c>
      <c r="S456" s="7" t="inlineStr">
        <is>
          <t>FG1</t>
        </is>
      </c>
      <c r="T456" s="7" t="inlineStr">
        <is>
          <t>Pulses</t>
        </is>
      </c>
      <c r="U456" s="7" t="inlineStr">
        <is>
          <t>plant</t>
        </is>
      </c>
      <c r="V456" s="7" t="n"/>
      <c r="W456" s="7" t="n"/>
      <c r="X456" s="55" t="n">
        <v>1</v>
      </c>
      <c r="Y456" s="50" t="n">
        <v>0.4</v>
      </c>
      <c r="Z456" s="7" t="inlineStr">
        <is>
          <t>declared</t>
        </is>
      </c>
      <c r="AA456" s="19">
        <f>IF(ISBLANK(Welcome!D482),"",Welcome!D482)</f>
        <v/>
      </c>
      <c r="AB456" s="29">
        <f>IF(ISBLANK(Welcome!E482),"",Welcome!E482)</f>
        <v/>
      </c>
      <c r="AC456" s="29">
        <f>IF(N(AB456)&gt;0,N(AB456),N(AA456)*Y456)</f>
        <v/>
      </c>
      <c r="AD456" s="29">
        <f>IF(H456="yes",AC456,0)</f>
        <v/>
      </c>
      <c r="AE456" s="29">
        <f>AD456*N(M456)/100</f>
        <v/>
      </c>
      <c r="AF456" s="29">
        <f>AD456*N(O456)/100</f>
        <v/>
      </c>
      <c r="AG456" s="29">
        <f>AD456*N(P456)/100</f>
        <v/>
      </c>
      <c r="AH456" s="50">
        <f>IF(Q456="yes",AD456/1000,0)</f>
        <v/>
      </c>
      <c r="AI456" s="50">
        <f>IF(S456="FG2",AH456*X456,AH456)</f>
        <v/>
      </c>
    </row>
    <row r="457">
      <c r="A457" s="7" t="inlineStr">
        <is>
          <t>HM00338</t>
        </is>
      </c>
      <c r="B457" s="16" t="inlineStr">
        <is>
          <t>3012345159135</t>
        </is>
      </c>
      <c r="C457" s="7" t="inlineStr">
        <is>
          <t>ALDERWICK MATURE CHEDDAR 200G</t>
        </is>
      </c>
      <c r="D457" s="7" t="inlineStr">
        <is>
          <t>Mature cheddar, 200g</t>
        </is>
      </c>
      <c r="E457" s="7" t="inlineStr">
        <is>
          <t>Alderwick</t>
        </is>
      </c>
      <c r="F457" s="7" t="inlineStr">
        <is>
          <t>Cheese</t>
        </is>
      </c>
      <c r="G457" s="7" t="inlineStr">
        <is>
          <t>Hard Cheese</t>
        </is>
      </c>
      <c r="H457" s="7" t="inlineStr">
        <is>
          <t>yes</t>
        </is>
      </c>
      <c r="I457" s="7" t="inlineStr">
        <is>
          <t>Animal core</t>
        </is>
      </c>
      <c r="J457" s="7" t="inlineStr">
        <is>
          <t>Cheese</t>
        </is>
      </c>
      <c r="K457" s="7" t="inlineStr">
        <is>
          <t>A</t>
        </is>
      </c>
      <c r="L457" s="7" t="inlineStr">
        <is>
          <t>All ingredients on one side</t>
        </is>
      </c>
      <c r="M457" s="51" t="n">
        <v>25</v>
      </c>
      <c r="N457" s="7" t="inlineStr">
        <is>
          <t>Open Food Facts and NEVO, by EAN</t>
        </is>
      </c>
      <c r="O457" s="54" t="n">
        <v>0</v>
      </c>
      <c r="P457" s="54" t="n">
        <v>25</v>
      </c>
      <c r="Q457" s="7" t="inlineStr">
        <is>
          <t>yes</t>
        </is>
      </c>
      <c r="R457" s="7" t="inlineStr">
        <is>
          <t>whole</t>
        </is>
      </c>
      <c r="S457" s="7" t="inlineStr">
        <is>
          <t>FG2</t>
        </is>
      </c>
      <c r="T457" s="7" t="inlineStr">
        <is>
          <t>Dairy</t>
        </is>
      </c>
      <c r="U457" s="7" t="inlineStr">
        <is>
          <t>animal</t>
        </is>
      </c>
      <c r="V457" s="7" t="n"/>
      <c r="W457" s="7" t="n"/>
      <c r="X457" s="55" t="n">
        <v>10</v>
      </c>
      <c r="Y457" s="50" t="n">
        <v>0.2</v>
      </c>
      <c r="Z457" s="7" t="inlineStr">
        <is>
          <t>declared</t>
        </is>
      </c>
      <c r="AA457" s="19">
        <f>IF(ISBLANK(Welcome!D483),"",Welcome!D483)</f>
        <v/>
      </c>
      <c r="AB457" s="29">
        <f>IF(ISBLANK(Welcome!E483),"",Welcome!E483)</f>
        <v/>
      </c>
      <c r="AC457" s="29">
        <f>IF(N(AB457)&gt;0,N(AB457),N(AA457)*Y457)</f>
        <v/>
      </c>
      <c r="AD457" s="29">
        <f>IF(H457="yes",AC457,0)</f>
        <v/>
      </c>
      <c r="AE457" s="29">
        <f>AD457*N(M457)/100</f>
        <v/>
      </c>
      <c r="AF457" s="29">
        <f>AD457*N(O457)/100</f>
        <v/>
      </c>
      <c r="AG457" s="29">
        <f>AD457*N(P457)/100</f>
        <v/>
      </c>
      <c r="AH457" s="50">
        <f>IF(Q457="yes",AD457/1000,0)</f>
        <v/>
      </c>
      <c r="AI457" s="50">
        <f>IF(S457="FG2",AH457*X457,AH457)</f>
        <v/>
      </c>
    </row>
    <row r="458">
      <c r="A458" s="7" t="inlineStr">
        <is>
          <t>HM00525</t>
        </is>
      </c>
      <c r="B458" s="16" t="inlineStr">
        <is>
          <t>3012345757027</t>
        </is>
      </c>
      <c r="C458" s="7" t="inlineStr">
        <is>
          <t>CHOC ICE CREAM 900ML MARLOWE</t>
        </is>
      </c>
      <c r="D458" s="7" t="inlineStr">
        <is>
          <t>Chocolate ice cream, 900ml</t>
        </is>
      </c>
      <c r="E458" s="7" t="inlineStr">
        <is>
          <t>Marlowe</t>
        </is>
      </c>
      <c r="F458" s="7" t="inlineStr">
        <is>
          <t>Frozen</t>
        </is>
      </c>
      <c r="G458" s="7" t="inlineStr">
        <is>
          <t>Ice Cream</t>
        </is>
      </c>
      <c r="H458" s="7" t="inlineStr">
        <is>
          <t>yes</t>
        </is>
      </c>
      <c r="I458" s="7" t="inlineStr">
        <is>
          <t>Animal core</t>
        </is>
      </c>
      <c r="J458" s="7" t="inlineStr">
        <is>
          <t>Discretionary products</t>
        </is>
      </c>
      <c r="K458" s="7" t="inlineStr">
        <is>
          <t>B</t>
        </is>
      </c>
      <c r="L458" s="7" t="inlineStr">
        <is>
          <t>First ingredient</t>
        </is>
      </c>
      <c r="M458" s="51" t="n">
        <v>3.6</v>
      </c>
      <c r="N458" s="7" t="inlineStr">
        <is>
          <t>Declared by the retailer</t>
        </is>
      </c>
      <c r="O458" s="54" t="n">
        <v>0</v>
      </c>
      <c r="P458" s="54" t="n">
        <v>3.6</v>
      </c>
      <c r="Q458" s="7" t="inlineStr">
        <is>
          <t>yes</t>
        </is>
      </c>
      <c r="R458" s="7" t="inlineStr">
        <is>
          <t>whole</t>
        </is>
      </c>
      <c r="S458" s="7" t="inlineStr">
        <is>
          <t>FG7</t>
        </is>
      </c>
      <c r="T458" s="7" t="n"/>
      <c r="U458" s="7" t="inlineStr">
        <is>
          <t>animal</t>
        </is>
      </c>
      <c r="V458" s="7" t="n"/>
      <c r="W458" s="7" t="n"/>
      <c r="X458" s="55" t="n">
        <v>1</v>
      </c>
      <c r="Y458" s="50" t="n">
        <v>0.5</v>
      </c>
      <c r="Z458" s="7" t="inlineStr">
        <is>
          <t>declared</t>
        </is>
      </c>
      <c r="AA458" s="19">
        <f>IF(ISBLANK(Welcome!D484),"",Welcome!D484)</f>
        <v/>
      </c>
      <c r="AB458" s="29">
        <f>IF(ISBLANK(Welcome!E484),"",Welcome!E484)</f>
        <v/>
      </c>
      <c r="AC458" s="29">
        <f>IF(N(AB458)&gt;0,N(AB458),N(AA458)*Y458)</f>
        <v/>
      </c>
      <c r="AD458" s="29">
        <f>IF(H458="yes",AC458,0)</f>
        <v/>
      </c>
      <c r="AE458" s="29">
        <f>AD458*N(M458)/100</f>
        <v/>
      </c>
      <c r="AF458" s="29">
        <f>AD458*N(O458)/100</f>
        <v/>
      </c>
      <c r="AG458" s="29">
        <f>AD458*N(P458)/100</f>
        <v/>
      </c>
      <c r="AH458" s="50">
        <f>IF(Q458="yes",AD458/1000,0)</f>
        <v/>
      </c>
      <c r="AI458" s="50">
        <f>IF(S458="FG2",AH458*X458,AH458)</f>
        <v/>
      </c>
    </row>
    <row r="459">
      <c r="A459" s="7" t="inlineStr">
        <is>
          <t>HM00522</t>
        </is>
      </c>
      <c r="B459" s="16" t="inlineStr">
        <is>
          <t>5012345701790</t>
        </is>
      </c>
      <c r="C459" s="7" t="inlineStr">
        <is>
          <t>HM LAMB MINCE 500G</t>
        </is>
      </c>
      <c r="D459" s="7" t="inlineStr">
        <is>
          <t>Lamb mince, 500g</t>
        </is>
      </c>
      <c r="E459" s="7" t="inlineStr">
        <is>
          <t>Harbour Market</t>
        </is>
      </c>
      <c r="F459" s="7" t="inlineStr">
        <is>
          <t>Fresh Meat &amp; Poultry</t>
        </is>
      </c>
      <c r="G459" s="7" t="inlineStr">
        <is>
          <t>Turkey &amp; Lamb</t>
        </is>
      </c>
      <c r="H459" s="7" t="inlineStr">
        <is>
          <t>yes</t>
        </is>
      </c>
      <c r="I459" s="7" t="inlineStr">
        <is>
          <t>Animal core</t>
        </is>
      </c>
      <c r="J459" s="7" t="inlineStr">
        <is>
          <t>Red meat</t>
        </is>
      </c>
      <c r="K459" s="7" t="inlineStr">
        <is>
          <t>B</t>
        </is>
      </c>
      <c r="L459" s="7" t="inlineStr">
        <is>
          <t>Follows the class</t>
        </is>
      </c>
      <c r="M459" s="51" t="n">
        <v>17.2</v>
      </c>
      <c r="N459" s="7" t="inlineStr">
        <is>
          <t>Declared by the retailer</t>
        </is>
      </c>
      <c r="O459" s="54" t="n">
        <v>0</v>
      </c>
      <c r="P459" s="54" t="n">
        <v>17.2</v>
      </c>
      <c r="Q459" s="7" t="inlineStr">
        <is>
          <t>yes</t>
        </is>
      </c>
      <c r="R459" s="7" t="inlineStr">
        <is>
          <t>whole</t>
        </is>
      </c>
      <c r="S459" s="7" t="inlineStr">
        <is>
          <t>FG1</t>
        </is>
      </c>
      <c r="T459" s="7" t="inlineStr">
        <is>
          <t>Red meat</t>
        </is>
      </c>
      <c r="U459" s="7" t="inlineStr">
        <is>
          <t>animal</t>
        </is>
      </c>
      <c r="V459" s="7" t="n"/>
      <c r="W459" s="7" t="n"/>
      <c r="X459" s="55" t="n">
        <v>1</v>
      </c>
      <c r="Y459" s="50" t="n">
        <v>0.5</v>
      </c>
      <c r="Z459" s="7" t="inlineStr">
        <is>
          <t>declared</t>
        </is>
      </c>
      <c r="AA459" s="19">
        <f>IF(ISBLANK(Welcome!D485),"",Welcome!D485)</f>
        <v/>
      </c>
      <c r="AB459" s="29">
        <f>IF(ISBLANK(Welcome!E485),"",Welcome!E485)</f>
        <v/>
      </c>
      <c r="AC459" s="29">
        <f>IF(N(AB459)&gt;0,N(AB459),N(AA459)*Y459)</f>
        <v/>
      </c>
      <c r="AD459" s="29">
        <f>IF(H459="yes",AC459,0)</f>
        <v/>
      </c>
      <c r="AE459" s="29">
        <f>AD459*N(M459)/100</f>
        <v/>
      </c>
      <c r="AF459" s="29">
        <f>AD459*N(O459)/100</f>
        <v/>
      </c>
      <c r="AG459" s="29">
        <f>AD459*N(P459)/100</f>
        <v/>
      </c>
      <c r="AH459" s="50">
        <f>IF(Q459="yes",AD459/1000,0)</f>
        <v/>
      </c>
      <c r="AI459" s="50">
        <f>IF(S459="FG2",AH459*X459,AH459)</f>
        <v/>
      </c>
    </row>
    <row r="460">
      <c r="A460" s="7" t="inlineStr">
        <is>
          <t>HM00400</t>
        </is>
      </c>
      <c r="B460" s="16" t="inlineStr">
        <is>
          <t>8712345746759</t>
        </is>
      </c>
      <c r="C460" s="7" t="inlineStr">
        <is>
          <t>HM CHOC CHIP COOKIES 300G</t>
        </is>
      </c>
      <c r="D460" s="7" t="inlineStr">
        <is>
          <t>Chocolate chip cookies, 300g</t>
        </is>
      </c>
      <c r="E460" s="7" t="inlineStr">
        <is>
          <t>Harbour Market</t>
        </is>
      </c>
      <c r="F460" s="7" t="inlineStr">
        <is>
          <t>Breakfast &amp; Snacks</t>
        </is>
      </c>
      <c r="G460" s="7" t="inlineStr">
        <is>
          <t>Biscuits</t>
        </is>
      </c>
      <c r="H460" s="7" t="inlineStr">
        <is>
          <t>yes</t>
        </is>
      </c>
      <c r="I460" s="7" t="inlineStr">
        <is>
          <t>Animal &amp; plant composite</t>
        </is>
      </c>
      <c r="J460" s="7" t="inlineStr">
        <is>
          <t>Discretionary products</t>
        </is>
      </c>
      <c r="K460" s="7" t="inlineStr">
        <is>
          <t>B</t>
        </is>
      </c>
      <c r="L460" s="7" t="inlineStr">
        <is>
          <t>50/50 convention</t>
        </is>
      </c>
      <c r="M460" s="51" t="n">
        <v>6.6</v>
      </c>
      <c r="N460" s="7" t="inlineStr">
        <is>
          <t>Declared by the retailer</t>
        </is>
      </c>
      <c r="O460" s="54" t="n">
        <v>3.3</v>
      </c>
      <c r="P460" s="54" t="n">
        <v>3.3</v>
      </c>
      <c r="Q460" s="7" t="inlineStr">
        <is>
          <t>yes</t>
        </is>
      </c>
      <c r="R460" s="7" t="inlineStr">
        <is>
          <t>whole</t>
        </is>
      </c>
      <c r="S460" s="7" t="inlineStr">
        <is>
          <t>FG7</t>
        </is>
      </c>
      <c r="T460" s="7" t="n"/>
      <c r="U460" s="7" t="inlineStr">
        <is>
          <t>plant</t>
        </is>
      </c>
      <c r="V460" s="7" t="n"/>
      <c r="W460" s="7" t="n"/>
      <c r="X460" s="55" t="n">
        <v>1</v>
      </c>
      <c r="Y460" s="50" t="n">
        <v>0.3</v>
      </c>
      <c r="Z460" s="7" t="inlineStr">
        <is>
          <t>declared</t>
        </is>
      </c>
      <c r="AA460" s="19">
        <f>IF(ISBLANK(Welcome!D486),"",Welcome!D486)</f>
        <v/>
      </c>
      <c r="AB460" s="29">
        <f>IF(ISBLANK(Welcome!E486),"",Welcome!E486)</f>
        <v/>
      </c>
      <c r="AC460" s="29">
        <f>IF(N(AB460)&gt;0,N(AB460),N(AA460)*Y460)</f>
        <v/>
      </c>
      <c r="AD460" s="29">
        <f>IF(H460="yes",AC460,0)</f>
        <v/>
      </c>
      <c r="AE460" s="29">
        <f>AD460*N(M460)/100</f>
        <v/>
      </c>
      <c r="AF460" s="29">
        <f>AD460*N(O460)/100</f>
        <v/>
      </c>
      <c r="AG460" s="29">
        <f>AD460*N(P460)/100</f>
        <v/>
      </c>
      <c r="AH460" s="50">
        <f>IF(Q460="yes",AD460/1000,0)</f>
        <v/>
      </c>
      <c r="AI460" s="50">
        <f>IF(S460="FG2",AH460*X460,AH460)</f>
        <v/>
      </c>
    </row>
    <row r="461">
      <c r="A461" s="7" t="inlineStr">
        <is>
          <t>HM00612</t>
        </is>
      </c>
      <c r="B461" s="16" t="inlineStr">
        <is>
          <t>5012345849270</t>
        </is>
      </c>
      <c r="C461" s="7" t="inlineStr">
        <is>
          <t>KESTREL SALMON FLT SKIN ON 4X125G</t>
        </is>
      </c>
      <c r="D461" s="7" t="inlineStr">
        <is>
          <t>Salmon fillets, skin on, 4x125g</t>
        </is>
      </c>
      <c r="E461" s="7" t="inlineStr">
        <is>
          <t>Kestrel Bay</t>
        </is>
      </c>
      <c r="F461" s="7" t="inlineStr">
        <is>
          <t>Fish &amp; Seafood</t>
        </is>
      </c>
      <c r="G461" s="7" t="inlineStr">
        <is>
          <t>Fresh Fish</t>
        </is>
      </c>
      <c r="H461" s="7" t="inlineStr">
        <is>
          <t>yes</t>
        </is>
      </c>
      <c r="I461" s="7" t="inlineStr">
        <is>
          <t>Animal core</t>
        </is>
      </c>
      <c r="J461" s="7" t="inlineStr">
        <is>
          <t>Fish and seafood</t>
        </is>
      </c>
      <c r="K461" s="7" t="inlineStr">
        <is>
          <t>A</t>
        </is>
      </c>
      <c r="L461" s="7" t="inlineStr">
        <is>
          <t>All ingredients on one side</t>
        </is>
      </c>
      <c r="M461" s="51" t="n">
        <v>19.3</v>
      </c>
      <c r="N461" s="7" t="inlineStr">
        <is>
          <t>Declared by the retailer</t>
        </is>
      </c>
      <c r="O461" s="54" t="n">
        <v>0</v>
      </c>
      <c r="P461" s="54" t="n">
        <v>19.3</v>
      </c>
      <c r="Q461" s="7" t="inlineStr">
        <is>
          <t>yes</t>
        </is>
      </c>
      <c r="R461" s="7" t="inlineStr">
        <is>
          <t>whole</t>
        </is>
      </c>
      <c r="S461" s="7" t="inlineStr">
        <is>
          <t>FG1</t>
        </is>
      </c>
      <c r="T461" s="7" t="inlineStr">
        <is>
          <t>Fish &amp; shellfish</t>
        </is>
      </c>
      <c r="U461" s="7" t="inlineStr">
        <is>
          <t>animal</t>
        </is>
      </c>
      <c r="V461" s="7" t="n"/>
      <c r="W461" s="7" t="n"/>
      <c r="X461" s="55" t="n">
        <v>1</v>
      </c>
      <c r="Y461" s="50" t="n">
        <v>0.5</v>
      </c>
      <c r="Z461" s="7" t="inlineStr">
        <is>
          <t>declared</t>
        </is>
      </c>
      <c r="AA461" s="19">
        <f>IF(ISBLANK(Welcome!D487),"",Welcome!D487)</f>
        <v/>
      </c>
      <c r="AB461" s="29">
        <f>IF(ISBLANK(Welcome!E487),"",Welcome!E487)</f>
        <v/>
      </c>
      <c r="AC461" s="29">
        <f>IF(N(AB461)&gt;0,N(AB461),N(AA461)*Y461)</f>
        <v/>
      </c>
      <c r="AD461" s="29">
        <f>IF(H461="yes",AC461,0)</f>
        <v/>
      </c>
      <c r="AE461" s="29">
        <f>AD461*N(M461)/100</f>
        <v/>
      </c>
      <c r="AF461" s="29">
        <f>AD461*N(O461)/100</f>
        <v/>
      </c>
      <c r="AG461" s="29">
        <f>AD461*N(P461)/100</f>
        <v/>
      </c>
      <c r="AH461" s="50">
        <f>IF(Q461="yes",AD461/1000,0)</f>
        <v/>
      </c>
      <c r="AI461" s="50">
        <f>IF(S461="FG2",AH461*X461,AH461)</f>
        <v/>
      </c>
    </row>
    <row r="462">
      <c r="A462" s="7" t="inlineStr">
        <is>
          <t>HM00652</t>
        </is>
      </c>
      <c r="B462" s="16" t="inlineStr">
        <is>
          <t>8712345683108</t>
        </is>
      </c>
      <c r="C462" s="7" t="inlineStr">
        <is>
          <t>HM BOLOGNESE SCE BF 690G</t>
        </is>
      </c>
      <c r="D462" s="7" t="inlineStr">
        <is>
          <t>Beef bolognese sauce, 690g</t>
        </is>
      </c>
      <c r="E462" s="7" t="inlineStr">
        <is>
          <t>Harbour Market</t>
        </is>
      </c>
      <c r="F462" s="7" t="inlineStr">
        <is>
          <t>Grocery</t>
        </is>
      </c>
      <c r="G462" s="7" t="inlineStr">
        <is>
          <t>Cooking Sauces</t>
        </is>
      </c>
      <c r="H462" s="7" t="inlineStr">
        <is>
          <t>yes</t>
        </is>
      </c>
      <c r="I462" s="7" t="inlineStr">
        <is>
          <t>Animal &amp; plant composite</t>
        </is>
      </c>
      <c r="J462" s="7" t="inlineStr">
        <is>
          <t>Meat-based dishes</t>
        </is>
      </c>
      <c r="K462" s="7" t="inlineStr">
        <is>
          <t>A</t>
        </is>
      </c>
      <c r="L462" s="7" t="inlineStr">
        <is>
          <t>NEVO food table (ratio only)</t>
        </is>
      </c>
      <c r="M462" s="51" t="n">
        <v>5.8</v>
      </c>
      <c r="N462" s="7" t="inlineStr">
        <is>
          <t>Median of the family</t>
        </is>
      </c>
      <c r="O462" s="54" t="n">
        <v>1.04</v>
      </c>
      <c r="P462" s="54" t="n">
        <v>4.76</v>
      </c>
      <c r="Q462" s="7" t="inlineStr">
        <is>
          <t>yes</t>
        </is>
      </c>
      <c r="R462" s="7" t="inlineStr">
        <is>
          <t>composite</t>
        </is>
      </c>
      <c r="S462" s="7" t="n"/>
      <c r="T462" s="7" t="n"/>
      <c r="U462" s="7" t="n"/>
      <c r="V462" s="7" t="inlineStr">
        <is>
          <t>meat-based</t>
        </is>
      </c>
      <c r="W462" s="7" t="n"/>
      <c r="X462" s="55" t="n">
        <v>1</v>
      </c>
      <c r="Y462" s="50" t="n">
        <v>0.6899999999999999</v>
      </c>
      <c r="Z462" s="7" t="inlineStr">
        <is>
          <t>declared</t>
        </is>
      </c>
      <c r="AA462" s="19">
        <f>IF(ISBLANK(Welcome!D488),"",Welcome!D488)</f>
        <v/>
      </c>
      <c r="AB462" s="29">
        <f>IF(ISBLANK(Welcome!E488),"",Welcome!E488)</f>
        <v/>
      </c>
      <c r="AC462" s="29">
        <f>IF(N(AB462)&gt;0,N(AB462),N(AA462)*Y462)</f>
        <v/>
      </c>
      <c r="AD462" s="29">
        <f>IF(H462="yes",AC462,0)</f>
        <v/>
      </c>
      <c r="AE462" s="29">
        <f>AD462*N(M462)/100</f>
        <v/>
      </c>
      <c r="AF462" s="29">
        <f>AD462*N(O462)/100</f>
        <v/>
      </c>
      <c r="AG462" s="29">
        <f>AD462*N(P462)/100</f>
        <v/>
      </c>
      <c r="AH462" s="50">
        <f>IF(Q462="yes",AD462/1000,0)</f>
        <v/>
      </c>
      <c r="AI462" s="50">
        <f>IF(S462="FG2",AH462*X462,AH462)</f>
        <v/>
      </c>
    </row>
    <row r="463">
      <c r="A463" s="7" t="inlineStr">
        <is>
          <t>HM00145</t>
        </is>
      </c>
      <c r="B463" s="16" t="inlineStr">
        <is>
          <t>8712345587581</t>
        </is>
      </c>
      <c r="C463" s="7" t="inlineStr">
        <is>
          <t>TARROW ROAST CHKN SLICES 100G</t>
        </is>
      </c>
      <c r="D463" s="7" t="inlineStr">
        <is>
          <t>Roast chicken slices, 100g</t>
        </is>
      </c>
      <c r="E463" s="7" t="inlineStr">
        <is>
          <t>Tarrow Farm</t>
        </is>
      </c>
      <c r="F463" s="7" t="inlineStr">
        <is>
          <t>Deli</t>
        </is>
      </c>
      <c r="G463" s="7" t="inlineStr">
        <is>
          <t>Cooked Meats</t>
        </is>
      </c>
      <c r="H463" s="7" t="inlineStr">
        <is>
          <t>yes</t>
        </is>
      </c>
      <c r="I463" s="7" t="inlineStr">
        <is>
          <t>Animal core</t>
        </is>
      </c>
      <c r="J463" s="7" t="inlineStr">
        <is>
          <t>Dishes and processed products</t>
        </is>
      </c>
      <c r="K463" s="7" t="inlineStr">
        <is>
          <t>A</t>
        </is>
      </c>
      <c r="L463" s="7" t="inlineStr">
        <is>
          <t>All ingredients on one side</t>
        </is>
      </c>
      <c r="M463" s="51" t="n">
        <v>22.5</v>
      </c>
      <c r="N463" s="7" t="inlineStr">
        <is>
          <t>Altera reference base</t>
        </is>
      </c>
      <c r="O463" s="54" t="n">
        <v>0</v>
      </c>
      <c r="P463" s="54" t="n">
        <v>22.5</v>
      </c>
      <c r="Q463" s="7" t="inlineStr">
        <is>
          <t>yes</t>
        </is>
      </c>
      <c r="R463" s="7" t="inlineStr">
        <is>
          <t>whole</t>
        </is>
      </c>
      <c r="S463" s="7" t="inlineStr">
        <is>
          <t>FG1</t>
        </is>
      </c>
      <c r="T463" s="7" t="inlineStr">
        <is>
          <t>Poultry</t>
        </is>
      </c>
      <c r="U463" s="7" t="inlineStr">
        <is>
          <t>animal</t>
        </is>
      </c>
      <c r="V463" s="7" t="n"/>
      <c r="W463" s="7" t="n"/>
      <c r="X463" s="55" t="n">
        <v>1</v>
      </c>
      <c r="Y463" s="50" t="n">
        <v>0.1</v>
      </c>
      <c r="Z463" s="7" t="inlineStr">
        <is>
          <t>declared</t>
        </is>
      </c>
      <c r="AA463" s="19">
        <f>IF(ISBLANK(Welcome!D489),"",Welcome!D489)</f>
        <v/>
      </c>
      <c r="AB463" s="29">
        <f>IF(ISBLANK(Welcome!E489),"",Welcome!E489)</f>
        <v/>
      </c>
      <c r="AC463" s="29">
        <f>IF(N(AB463)&gt;0,N(AB463),N(AA463)*Y463)</f>
        <v/>
      </c>
      <c r="AD463" s="29">
        <f>IF(H463="yes",AC463,0)</f>
        <v/>
      </c>
      <c r="AE463" s="29">
        <f>AD463*N(M463)/100</f>
        <v/>
      </c>
      <c r="AF463" s="29">
        <f>AD463*N(O463)/100</f>
        <v/>
      </c>
      <c r="AG463" s="29">
        <f>AD463*N(P463)/100</f>
        <v/>
      </c>
      <c r="AH463" s="50">
        <f>IF(Q463="yes",AD463/1000,0)</f>
        <v/>
      </c>
      <c r="AI463" s="50">
        <f>IF(S463="FG2",AH463*X463,AH463)</f>
        <v/>
      </c>
    </row>
    <row r="464">
      <c r="A464" s="7" t="inlineStr">
        <is>
          <t>HM00346</t>
        </is>
      </c>
      <c r="B464" s="16" t="inlineStr">
        <is>
          <t>3012345001458</t>
        </is>
      </c>
      <c r="C464" s="7" t="inlineStr">
        <is>
          <t>KESTREL TUNA CHUNKS BRINE 4X110G</t>
        </is>
      </c>
      <c r="D464" s="7" t="inlineStr">
        <is>
          <t>Tuna chunks in brine, 4x110g</t>
        </is>
      </c>
      <c r="E464" s="7" t="inlineStr">
        <is>
          <t>Kestrel Bay</t>
        </is>
      </c>
      <c r="F464" s="7" t="inlineStr">
        <is>
          <t>Fish &amp; Seafood</t>
        </is>
      </c>
      <c r="G464" s="7" t="inlineStr">
        <is>
          <t>Canned Fish</t>
        </is>
      </c>
      <c r="H464" s="7" t="inlineStr">
        <is>
          <t>yes</t>
        </is>
      </c>
      <c r="I464" s="7" t="inlineStr">
        <is>
          <t>Animal core</t>
        </is>
      </c>
      <c r="J464" s="7" t="inlineStr">
        <is>
          <t>Fish and seafood</t>
        </is>
      </c>
      <c r="K464" s="7" t="inlineStr">
        <is>
          <t>A</t>
        </is>
      </c>
      <c r="L464" s="7" t="inlineStr">
        <is>
          <t>All ingredients on one side</t>
        </is>
      </c>
      <c r="M464" s="51" t="n">
        <v>24.3</v>
      </c>
      <c r="N464" s="7" t="inlineStr">
        <is>
          <t>Declared by the retailer</t>
        </is>
      </c>
      <c r="O464" s="54" t="n">
        <v>0</v>
      </c>
      <c r="P464" s="54" t="n">
        <v>24.3</v>
      </c>
      <c r="Q464" s="7" t="inlineStr">
        <is>
          <t>yes</t>
        </is>
      </c>
      <c r="R464" s="7" t="inlineStr">
        <is>
          <t>whole</t>
        </is>
      </c>
      <c r="S464" s="7" t="inlineStr">
        <is>
          <t>FG1</t>
        </is>
      </c>
      <c r="T464" s="7" t="inlineStr">
        <is>
          <t>Fish &amp; shellfish</t>
        </is>
      </c>
      <c r="U464" s="7" t="inlineStr">
        <is>
          <t>animal</t>
        </is>
      </c>
      <c r="V464" s="7" t="n"/>
      <c r="W464" s="7" t="n"/>
      <c r="X464" s="55" t="n">
        <v>1</v>
      </c>
      <c r="Y464" s="50" t="n">
        <v>0.44</v>
      </c>
      <c r="Z464" s="7" t="inlineStr">
        <is>
          <t>declared</t>
        </is>
      </c>
      <c r="AA464" s="19">
        <f>IF(ISBLANK(Welcome!D490),"",Welcome!D490)</f>
        <v/>
      </c>
      <c r="AB464" s="29">
        <f>IF(ISBLANK(Welcome!E490),"",Welcome!E490)</f>
        <v/>
      </c>
      <c r="AC464" s="29">
        <f>IF(N(AB464)&gt;0,N(AB464),N(AA464)*Y464)</f>
        <v/>
      </c>
      <c r="AD464" s="29">
        <f>IF(H464="yes",AC464,0)</f>
        <v/>
      </c>
      <c r="AE464" s="29">
        <f>AD464*N(M464)/100</f>
        <v/>
      </c>
      <c r="AF464" s="29">
        <f>AD464*N(O464)/100</f>
        <v/>
      </c>
      <c r="AG464" s="29">
        <f>AD464*N(P464)/100</f>
        <v/>
      </c>
      <c r="AH464" s="50">
        <f>IF(Q464="yes",AD464/1000,0)</f>
        <v/>
      </c>
      <c r="AI464" s="50">
        <f>IF(S464="FG2",AH464*X464,AH464)</f>
        <v/>
      </c>
    </row>
    <row r="465">
      <c r="A465" s="7" t="inlineStr">
        <is>
          <t>HM00556</t>
        </is>
      </c>
      <c r="B465" s="16" t="inlineStr">
        <is>
          <t>3012345355216</t>
        </is>
      </c>
      <c r="C465" s="7" t="inlineStr">
        <is>
          <t>CHKN TIKKA MASALA RICE 450G QUILLAN</t>
        </is>
      </c>
      <c r="D465" s="7" t="inlineStr">
        <is>
          <t>Chicken tikka masala with rice, 450g</t>
        </is>
      </c>
      <c r="E465" s="7" t="inlineStr">
        <is>
          <t>Quillan</t>
        </is>
      </c>
      <c r="F465" s="7" t="inlineStr">
        <is>
          <t>Ready Meals</t>
        </is>
      </c>
      <c r="G465" s="7" t="inlineStr">
        <is>
          <t>Ready Meals</t>
        </is>
      </c>
      <c r="H465" s="7" t="inlineStr">
        <is>
          <t>yes</t>
        </is>
      </c>
      <c r="I465" s="7" t="inlineStr">
        <is>
          <t>Animal &amp; plant composite</t>
        </is>
      </c>
      <c r="J465" s="7" t="inlineStr">
        <is>
          <t>Meat-based dishes</t>
        </is>
      </c>
      <c r="K465" s="7" t="inlineStr">
        <is>
          <t>B</t>
        </is>
      </c>
      <c r="L465" s="7" t="inlineStr">
        <is>
          <t>50/50 convention</t>
        </is>
      </c>
      <c r="M465" s="51" t="n">
        <v>6.8</v>
      </c>
      <c r="N465" s="7" t="inlineStr">
        <is>
          <t>Open Food Facts and NEVO, by EAN</t>
        </is>
      </c>
      <c r="O465" s="54" t="n">
        <v>3.4</v>
      </c>
      <c r="P465" s="54" t="n">
        <v>3.4</v>
      </c>
      <c r="Q465" s="7" t="inlineStr">
        <is>
          <t>yes</t>
        </is>
      </c>
      <c r="R465" s="7" t="inlineStr">
        <is>
          <t>composite</t>
        </is>
      </c>
      <c r="S465" s="7" t="n"/>
      <c r="T465" s="7" t="n"/>
      <c r="U465" s="7" t="n"/>
      <c r="V465" s="7" t="inlineStr">
        <is>
          <t>meat-based</t>
        </is>
      </c>
      <c r="W465" s="7" t="n"/>
      <c r="X465" s="55" t="n">
        <v>1</v>
      </c>
      <c r="Y465" s="50" t="n">
        <v>0.45</v>
      </c>
      <c r="Z465" s="7" t="inlineStr">
        <is>
          <t>declared</t>
        </is>
      </c>
      <c r="AA465" s="19">
        <f>IF(ISBLANK(Welcome!D491),"",Welcome!D491)</f>
        <v/>
      </c>
      <c r="AB465" s="29">
        <f>IF(ISBLANK(Welcome!E491),"",Welcome!E491)</f>
        <v/>
      </c>
      <c r="AC465" s="29">
        <f>IF(N(AB465)&gt;0,N(AB465),N(AA465)*Y465)</f>
        <v/>
      </c>
      <c r="AD465" s="29">
        <f>IF(H465="yes",AC465,0)</f>
        <v/>
      </c>
      <c r="AE465" s="29">
        <f>AD465*N(M465)/100</f>
        <v/>
      </c>
      <c r="AF465" s="29">
        <f>AD465*N(O465)/100</f>
        <v/>
      </c>
      <c r="AG465" s="29">
        <f>AD465*N(P465)/100</f>
        <v/>
      </c>
      <c r="AH465" s="50">
        <f>IF(Q465="yes",AD465/1000,0)</f>
        <v/>
      </c>
      <c r="AI465" s="50">
        <f>IF(S465="FG2",AH465*X465,AH465)</f>
        <v/>
      </c>
    </row>
    <row r="466">
      <c r="A466" s="7" t="inlineStr">
        <is>
          <t>HM00177</t>
        </is>
      </c>
      <c r="B466" s="16" t="inlineStr">
        <is>
          <t>5012345808246</t>
        </is>
      </c>
      <c r="C466" s="7" t="inlineStr">
        <is>
          <t>RED KIDNEY BEANS 400G ORVALIS</t>
        </is>
      </c>
      <c r="D466" s="7" t="inlineStr">
        <is>
          <t>Red kidney beans in water, 400g</t>
        </is>
      </c>
      <c r="E466" s="7" t="inlineStr">
        <is>
          <t>Orvalis</t>
        </is>
      </c>
      <c r="F466" s="7" t="inlineStr">
        <is>
          <t>Grocery</t>
        </is>
      </c>
      <c r="G466" s="7" t="inlineStr">
        <is>
          <t>Pulses</t>
        </is>
      </c>
      <c r="H466" s="7" t="inlineStr">
        <is>
          <t>yes</t>
        </is>
      </c>
      <c r="I466" s="7" t="inlineStr">
        <is>
          <t>Plant-based core</t>
        </is>
      </c>
      <c r="J466" s="7" t="inlineStr">
        <is>
          <t>Pulses</t>
        </is>
      </c>
      <c r="K466" s="7" t="inlineStr">
        <is>
          <t>B</t>
        </is>
      </c>
      <c r="L466" s="7" t="inlineStr">
        <is>
          <t>Follows the class</t>
        </is>
      </c>
      <c r="M466" s="51" t="n">
        <v>6.6</v>
      </c>
      <c r="N466" s="7" t="inlineStr">
        <is>
          <t>Declared by the retailer</t>
        </is>
      </c>
      <c r="O466" s="54" t="n">
        <v>6.6</v>
      </c>
      <c r="P466" s="54" t="n">
        <v>0</v>
      </c>
      <c r="Q466" s="7" t="inlineStr">
        <is>
          <t>yes</t>
        </is>
      </c>
      <c r="R466" s="7" t="inlineStr">
        <is>
          <t>whole</t>
        </is>
      </c>
      <c r="S466" s="7" t="inlineStr">
        <is>
          <t>FG1</t>
        </is>
      </c>
      <c r="T466" s="7" t="inlineStr">
        <is>
          <t>Pulses</t>
        </is>
      </c>
      <c r="U466" s="7" t="inlineStr">
        <is>
          <t>plant</t>
        </is>
      </c>
      <c r="V466" s="7" t="n"/>
      <c r="W466" s="7" t="n"/>
      <c r="X466" s="55" t="n">
        <v>1</v>
      </c>
      <c r="Y466" s="50" t="n">
        <v>0.4</v>
      </c>
      <c r="Z466" s="7" t="inlineStr">
        <is>
          <t>declared</t>
        </is>
      </c>
      <c r="AA466" s="19">
        <f>IF(ISBLANK(Welcome!D492),"",Welcome!D492)</f>
        <v/>
      </c>
      <c r="AB466" s="29">
        <f>IF(ISBLANK(Welcome!E492),"",Welcome!E492)</f>
        <v/>
      </c>
      <c r="AC466" s="29">
        <f>IF(N(AB466)&gt;0,N(AB466),N(AA466)*Y466)</f>
        <v/>
      </c>
      <c r="AD466" s="29">
        <f>IF(H466="yes",AC466,0)</f>
        <v/>
      </c>
      <c r="AE466" s="29">
        <f>AD466*N(M466)/100</f>
        <v/>
      </c>
      <c r="AF466" s="29">
        <f>AD466*N(O466)/100</f>
        <v/>
      </c>
      <c r="AG466" s="29">
        <f>AD466*N(P466)/100</f>
        <v/>
      </c>
      <c r="AH466" s="50">
        <f>IF(Q466="yes",AD466/1000,0)</f>
        <v/>
      </c>
      <c r="AI466" s="50">
        <f>IF(S466="FG2",AH466*X466,AH466)</f>
        <v/>
      </c>
    </row>
    <row r="467">
      <c r="A467" s="7" t="inlineStr">
        <is>
          <t>HM00567</t>
        </is>
      </c>
      <c r="B467" s="16" t="inlineStr">
        <is>
          <t>5012345784151</t>
        </is>
      </c>
      <c r="C467" s="7" t="inlineStr">
        <is>
          <t>HM PALE ALE 500ML</t>
        </is>
      </c>
      <c r="D467" s="7" t="inlineStr">
        <is>
          <t>Pale ale, 500ml</t>
        </is>
      </c>
      <c r="E467" s="7" t="inlineStr">
        <is>
          <t>Harbour Market</t>
        </is>
      </c>
      <c r="F467" s="7" t="inlineStr">
        <is>
          <t>Beer, Wine &amp; Spirits</t>
        </is>
      </c>
      <c r="G467" s="7" t="inlineStr">
        <is>
          <t>Beer &amp; Cider</t>
        </is>
      </c>
      <c r="H467" s="7" t="inlineStr">
        <is>
          <t>yes</t>
        </is>
      </c>
      <c r="I467" s="7" t="inlineStr">
        <is>
          <t>Plant-based non-core</t>
        </is>
      </c>
      <c r="J467" s="7" t="inlineStr">
        <is>
          <t>Outside the WWF scope</t>
        </is>
      </c>
      <c r="K467" s="7" t="inlineStr">
        <is>
          <t>A</t>
        </is>
      </c>
      <c r="L467" s="7" t="inlineStr">
        <is>
          <t>All ingredients on one side</t>
        </is>
      </c>
      <c r="M467" s="51" t="n">
        <v>0.38</v>
      </c>
      <c r="N467" s="7" t="inlineStr">
        <is>
          <t>Declared by the retailer</t>
        </is>
      </c>
      <c r="O467" s="54" t="n">
        <v>0.38</v>
      </c>
      <c r="P467" s="54" t="n">
        <v>0</v>
      </c>
      <c r="Q467" s="7" t="inlineStr">
        <is>
          <t>no</t>
        </is>
      </c>
      <c r="R467" s="7" t="n"/>
      <c r="S467" s="7" t="n"/>
      <c r="T467" s="7" t="n"/>
      <c r="U467" s="7" t="n"/>
      <c r="V467" s="7" t="n"/>
      <c r="W467" s="7" t="inlineStr">
        <is>
          <t>alcohol</t>
        </is>
      </c>
      <c r="X467" s="55" t="n">
        <v>1</v>
      </c>
      <c r="Y467" s="50" t="n">
        <v>0.5</v>
      </c>
      <c r="Z467" s="7" t="inlineStr">
        <is>
          <t>declared</t>
        </is>
      </c>
      <c r="AA467" s="19">
        <f>IF(ISBLANK(Welcome!D493),"",Welcome!D493)</f>
        <v/>
      </c>
      <c r="AB467" s="29">
        <f>IF(ISBLANK(Welcome!E493),"",Welcome!E493)</f>
        <v/>
      </c>
      <c r="AC467" s="29">
        <f>IF(N(AB467)&gt;0,N(AB467),N(AA467)*Y467)</f>
        <v/>
      </c>
      <c r="AD467" s="29">
        <f>IF(H467="yes",AC467,0)</f>
        <v/>
      </c>
      <c r="AE467" s="29">
        <f>AD467*N(M467)/100</f>
        <v/>
      </c>
      <c r="AF467" s="29">
        <f>AD467*N(O467)/100</f>
        <v/>
      </c>
      <c r="AG467" s="29">
        <f>AD467*N(P467)/100</f>
        <v/>
      </c>
      <c r="AH467" s="50">
        <f>IF(Q467="yes",AD467/1000,0)</f>
        <v/>
      </c>
      <c r="AI467" s="50">
        <f>IF(S467="FG2",AH467*X467,AH467)</f>
        <v/>
      </c>
    </row>
    <row r="468">
      <c r="A468" s="7" t="inlineStr">
        <is>
          <t>HM00415</t>
        </is>
      </c>
      <c r="B468" s="16" t="inlineStr">
        <is>
          <t>8712345488093</t>
        </is>
      </c>
      <c r="C468" s="7" t="inlineStr">
        <is>
          <t>FJELDA GREEK STYLE YOG 500G</t>
        </is>
      </c>
      <c r="D468" s="7" t="inlineStr">
        <is>
          <t>Greek-style yoghurt, 500g</t>
        </is>
      </c>
      <c r="E468" s="7" t="inlineStr">
        <is>
          <t>Fjelda</t>
        </is>
      </c>
      <c r="F468" s="7" t="inlineStr">
        <is>
          <t>Dairy &amp; Eggs</t>
        </is>
      </c>
      <c r="G468" s="7" t="inlineStr">
        <is>
          <t>Yoghurt</t>
        </is>
      </c>
      <c r="H468" s="7" t="inlineStr">
        <is>
          <t>yes</t>
        </is>
      </c>
      <c r="I468" s="7" t="inlineStr">
        <is>
          <t>Animal core</t>
        </is>
      </c>
      <c r="J468" s="7" t="inlineStr">
        <is>
          <t>Milk, yoghurt and cream</t>
        </is>
      </c>
      <c r="K468" s="7" t="inlineStr">
        <is>
          <t>A</t>
        </is>
      </c>
      <c r="L468" s="7" t="inlineStr">
        <is>
          <t>All ingredients on one side</t>
        </is>
      </c>
      <c r="M468" s="51" t="n">
        <v>6.1</v>
      </c>
      <c r="N468" s="7" t="inlineStr">
        <is>
          <t>Median of the family</t>
        </is>
      </c>
      <c r="O468" s="54" t="n">
        <v>0</v>
      </c>
      <c r="P468" s="54" t="n">
        <v>6.1</v>
      </c>
      <c r="Q468" s="7" t="inlineStr">
        <is>
          <t>yes</t>
        </is>
      </c>
      <c r="R468" s="7" t="inlineStr">
        <is>
          <t>whole</t>
        </is>
      </c>
      <c r="S468" s="7" t="inlineStr">
        <is>
          <t>FG2</t>
        </is>
      </c>
      <c r="T468" s="7" t="inlineStr">
        <is>
          <t>Dairy</t>
        </is>
      </c>
      <c r="U468" s="7" t="inlineStr">
        <is>
          <t>animal</t>
        </is>
      </c>
      <c r="V468" s="7" t="n"/>
      <c r="W468" s="7" t="n"/>
      <c r="X468" s="55" t="n">
        <v>1</v>
      </c>
      <c r="Y468" s="50" t="n">
        <v>0.5</v>
      </c>
      <c r="Z468" s="7" t="inlineStr">
        <is>
          <t>declared</t>
        </is>
      </c>
      <c r="AA468" s="19">
        <f>IF(ISBLANK(Welcome!D494),"",Welcome!D494)</f>
        <v/>
      </c>
      <c r="AB468" s="29">
        <f>IF(ISBLANK(Welcome!E494),"",Welcome!E494)</f>
        <v/>
      </c>
      <c r="AC468" s="29">
        <f>IF(N(AB468)&gt;0,N(AB468),N(AA468)*Y468)</f>
        <v/>
      </c>
      <c r="AD468" s="29">
        <f>IF(H468="yes",AC468,0)</f>
        <v/>
      </c>
      <c r="AE468" s="29">
        <f>AD468*N(M468)/100</f>
        <v/>
      </c>
      <c r="AF468" s="29">
        <f>AD468*N(O468)/100</f>
        <v/>
      </c>
      <c r="AG468" s="29">
        <f>AD468*N(P468)/100</f>
        <v/>
      </c>
      <c r="AH468" s="50">
        <f>IF(Q468="yes",AD468/1000,0)</f>
        <v/>
      </c>
      <c r="AI468" s="50">
        <f>IF(S468="FG2",AH468*X468,AH468)</f>
        <v/>
      </c>
    </row>
    <row r="469">
      <c r="A469" s="7" t="inlineStr">
        <is>
          <t>HM00264</t>
        </is>
      </c>
      <c r="B469" s="16" t="inlineStr">
        <is>
          <t>5012345560304</t>
        </is>
      </c>
      <c r="C469" s="7" t="inlineStr">
        <is>
          <t>HM MAYONNAISE 400G</t>
        </is>
      </c>
      <c r="D469" s="7" t="inlineStr">
        <is>
          <t>Mayonnaise, 400g</t>
        </is>
      </c>
      <c r="E469" s="7" t="inlineStr">
        <is>
          <t>Harbour Market</t>
        </is>
      </c>
      <c r="F469" s="7" t="inlineStr">
        <is>
          <t>Grocery</t>
        </is>
      </c>
      <c r="G469" s="7" t="inlineStr">
        <is>
          <t>Condiments</t>
        </is>
      </c>
      <c r="H469" s="7" t="inlineStr">
        <is>
          <t>yes</t>
        </is>
      </c>
      <c r="I469" s="7" t="inlineStr">
        <is>
          <t>Animal core</t>
        </is>
      </c>
      <c r="J469" s="7" t="inlineStr">
        <is>
          <t>Other</t>
        </is>
      </c>
      <c r="K469" s="7" t="inlineStr">
        <is>
          <t>A</t>
        </is>
      </c>
      <c r="L469" s="7" t="inlineStr">
        <is>
          <t>All ingredients on one side</t>
        </is>
      </c>
      <c r="M469" s="51" t="n">
        <v>1.1</v>
      </c>
      <c r="N469" s="7" t="inlineStr">
        <is>
          <t>Median of the family</t>
        </is>
      </c>
      <c r="O469" s="54" t="n">
        <v>0</v>
      </c>
      <c r="P469" s="54" t="n">
        <v>1.1</v>
      </c>
      <c r="Q469" s="7" t="inlineStr">
        <is>
          <t>no</t>
        </is>
      </c>
      <c r="R469" s="7" t="n"/>
      <c r="S469" s="7" t="n"/>
      <c r="T469" s="7" t="n"/>
      <c r="U469" s="7" t="n"/>
      <c r="V469" s="7" t="n"/>
      <c r="W469" s="7" t="inlineStr">
        <is>
          <t>condiment</t>
        </is>
      </c>
      <c r="X469" s="55" t="n">
        <v>1</v>
      </c>
      <c r="Y469" s="50" t="n">
        <v>0.4</v>
      </c>
      <c r="Z469" s="7" t="inlineStr">
        <is>
          <t>declared</t>
        </is>
      </c>
      <c r="AA469" s="19">
        <f>IF(ISBLANK(Welcome!D495),"",Welcome!D495)</f>
        <v/>
      </c>
      <c r="AB469" s="29">
        <f>IF(ISBLANK(Welcome!E495),"",Welcome!E495)</f>
        <v/>
      </c>
      <c r="AC469" s="29">
        <f>IF(N(AB469)&gt;0,N(AB469),N(AA469)*Y469)</f>
        <v/>
      </c>
      <c r="AD469" s="29">
        <f>IF(H469="yes",AC469,0)</f>
        <v/>
      </c>
      <c r="AE469" s="29">
        <f>AD469*N(M469)/100</f>
        <v/>
      </c>
      <c r="AF469" s="29">
        <f>AD469*N(O469)/100</f>
        <v/>
      </c>
      <c r="AG469" s="29">
        <f>AD469*N(P469)/100</f>
        <v/>
      </c>
      <c r="AH469" s="50">
        <f>IF(Q469="yes",AD469/1000,0)</f>
        <v/>
      </c>
      <c r="AI469" s="50">
        <f>IF(S469="FG2",AH469*X469,AH469)</f>
        <v/>
      </c>
    </row>
    <row r="470">
      <c r="A470" s="7" t="inlineStr">
        <is>
          <t>HM00727</t>
        </is>
      </c>
      <c r="B470" s="16" t="inlineStr">
        <is>
          <t>4012345659832</t>
        </is>
      </c>
      <c r="C470" s="7" t="inlineStr">
        <is>
          <t>HM PIZZA 4 CHEESE 2X320G</t>
        </is>
      </c>
      <c r="D470" s="7" t="inlineStr">
        <is>
          <t>Four cheese pizza, 2x320g</t>
        </is>
      </c>
      <c r="E470" s="7" t="inlineStr">
        <is>
          <t>Harbour Market</t>
        </is>
      </c>
      <c r="F470" s="7" t="inlineStr">
        <is>
          <t>Frozen</t>
        </is>
      </c>
      <c r="G470" s="7" t="inlineStr">
        <is>
          <t>Pizza</t>
        </is>
      </c>
      <c r="H470" s="7" t="inlineStr">
        <is>
          <t>yes</t>
        </is>
      </c>
      <c r="I470" s="7" t="inlineStr">
        <is>
          <t>Animal &amp; plant composite</t>
        </is>
      </c>
      <c r="J470" s="7" t="inlineStr">
        <is>
          <t>Vegetarian dishes</t>
        </is>
      </c>
      <c r="K470" s="7" t="inlineStr">
        <is>
          <t>B</t>
        </is>
      </c>
      <c r="L470" s="7" t="inlineStr">
        <is>
          <t>50/50 convention</t>
        </is>
      </c>
      <c r="M470" s="51" t="n">
        <v>10.1</v>
      </c>
      <c r="N470" s="7" t="inlineStr">
        <is>
          <t>National food table (CIQUAL in France)</t>
        </is>
      </c>
      <c r="O470" s="54" t="n">
        <v>5.05</v>
      </c>
      <c r="P470" s="54" t="n">
        <v>5.05</v>
      </c>
      <c r="Q470" s="7" t="inlineStr">
        <is>
          <t>yes</t>
        </is>
      </c>
      <c r="R470" s="7" t="inlineStr">
        <is>
          <t>composite</t>
        </is>
      </c>
      <c r="S470" s="7" t="n"/>
      <c r="T470" s="7" t="n"/>
      <c r="U470" s="7" t="n"/>
      <c r="V470" s="7" t="inlineStr">
        <is>
          <t>vegetarian</t>
        </is>
      </c>
      <c r="W470" s="7" t="n"/>
      <c r="X470" s="55" t="n">
        <v>1</v>
      </c>
      <c r="Y470" s="50" t="n">
        <v>0.64</v>
      </c>
      <c r="Z470" s="7" t="inlineStr">
        <is>
          <t>declared</t>
        </is>
      </c>
      <c r="AA470" s="19">
        <f>IF(ISBLANK(Welcome!D496),"",Welcome!D496)</f>
        <v/>
      </c>
      <c r="AB470" s="29">
        <f>IF(ISBLANK(Welcome!E496),"",Welcome!E496)</f>
        <v/>
      </c>
      <c r="AC470" s="29">
        <f>IF(N(AB470)&gt;0,N(AB470),N(AA470)*Y470)</f>
        <v/>
      </c>
      <c r="AD470" s="29">
        <f>IF(H470="yes",AC470,0)</f>
        <v/>
      </c>
      <c r="AE470" s="29">
        <f>AD470*N(M470)/100</f>
        <v/>
      </c>
      <c r="AF470" s="29">
        <f>AD470*N(O470)/100</f>
        <v/>
      </c>
      <c r="AG470" s="29">
        <f>AD470*N(P470)/100</f>
        <v/>
      </c>
      <c r="AH470" s="50">
        <f>IF(Q470="yes",AD470/1000,0)</f>
        <v/>
      </c>
      <c r="AI470" s="50">
        <f>IF(S470="FG2",AH470*X470,AH470)</f>
        <v/>
      </c>
    </row>
    <row r="471">
      <c r="A471" s="7" t="inlineStr">
        <is>
          <t>HM00325</t>
        </is>
      </c>
      <c r="B471" s="16" t="inlineStr">
        <is>
          <t>3012345652155</t>
        </is>
      </c>
      <c r="C471" s="7" t="inlineStr">
        <is>
          <t>HM BF SIRLOIN STK 500G</t>
        </is>
      </c>
      <c r="D471" s="7" t="inlineStr">
        <is>
          <t>Beef sirloin steak, 500g</t>
        </is>
      </c>
      <c r="E471" s="7" t="inlineStr">
        <is>
          <t>Harbour Market</t>
        </is>
      </c>
      <c r="F471" s="7" t="inlineStr">
        <is>
          <t>Fresh Meat &amp; Poultry</t>
        </is>
      </c>
      <c r="G471" s="7" t="inlineStr">
        <is>
          <t>Beef</t>
        </is>
      </c>
      <c r="H471" s="7" t="inlineStr">
        <is>
          <t>yes</t>
        </is>
      </c>
      <c r="I471" s="7" t="inlineStr">
        <is>
          <t>Animal core</t>
        </is>
      </c>
      <c r="J471" s="7" t="inlineStr">
        <is>
          <t>Red meat</t>
        </is>
      </c>
      <c r="K471" s="7" t="inlineStr">
        <is>
          <t>B</t>
        </is>
      </c>
      <c r="L471" s="7" t="inlineStr">
        <is>
          <t>Follows the class</t>
        </is>
      </c>
      <c r="M471" s="51" t="n">
        <v>22.6</v>
      </c>
      <c r="N471" s="7" t="inlineStr">
        <is>
          <t>Open Food Facts and NEVO, by EAN</t>
        </is>
      </c>
      <c r="O471" s="54" t="n">
        <v>0</v>
      </c>
      <c r="P471" s="54" t="n">
        <v>22.6</v>
      </c>
      <c r="Q471" s="7" t="inlineStr">
        <is>
          <t>yes</t>
        </is>
      </c>
      <c r="R471" s="7" t="inlineStr">
        <is>
          <t>whole</t>
        </is>
      </c>
      <c r="S471" s="7" t="inlineStr">
        <is>
          <t>FG1</t>
        </is>
      </c>
      <c r="T471" s="7" t="inlineStr">
        <is>
          <t>Red meat</t>
        </is>
      </c>
      <c r="U471" s="7" t="inlineStr">
        <is>
          <t>animal</t>
        </is>
      </c>
      <c r="V471" s="7" t="n"/>
      <c r="W471" s="7" t="n"/>
      <c r="X471" s="55" t="n">
        <v>1</v>
      </c>
      <c r="Y471" s="50" t="n">
        <v>0.5</v>
      </c>
      <c r="Z471" s="7" t="inlineStr">
        <is>
          <t>declared</t>
        </is>
      </c>
      <c r="AA471" s="19">
        <f>IF(ISBLANK(Welcome!D497),"",Welcome!D497)</f>
        <v/>
      </c>
      <c r="AB471" s="29">
        <f>IF(ISBLANK(Welcome!E497),"",Welcome!E497)</f>
        <v/>
      </c>
      <c r="AC471" s="29">
        <f>IF(N(AB471)&gt;0,N(AB471),N(AA471)*Y471)</f>
        <v/>
      </c>
      <c r="AD471" s="29">
        <f>IF(H471="yes",AC471,0)</f>
        <v/>
      </c>
      <c r="AE471" s="29">
        <f>AD471*N(M471)/100</f>
        <v/>
      </c>
      <c r="AF471" s="29">
        <f>AD471*N(O471)/100</f>
        <v/>
      </c>
      <c r="AG471" s="29">
        <f>AD471*N(P471)/100</f>
        <v/>
      </c>
      <c r="AH471" s="50">
        <f>IF(Q471="yes",AD471/1000,0)</f>
        <v/>
      </c>
      <c r="AI471" s="50">
        <f>IF(S471="FG2",AH471*X471,AH471)</f>
        <v/>
      </c>
    </row>
    <row r="472">
      <c r="A472" s="7" t="inlineStr">
        <is>
          <t>HM00283</t>
        </is>
      </c>
      <c r="B472" s="16" t="inlineStr">
        <is>
          <t>8712345190255</t>
        </is>
      </c>
      <c r="C472" s="7" t="inlineStr">
        <is>
          <t>BF MINCE 20% 750G TARROW</t>
        </is>
      </c>
      <c r="D472" s="7" t="inlineStr">
        <is>
          <t>Beef mince, 20% fat, 750g</t>
        </is>
      </c>
      <c r="E472" s="7" t="inlineStr">
        <is>
          <t>Tarrow Farm</t>
        </is>
      </c>
      <c r="F472" s="7" t="inlineStr">
        <is>
          <t>Fresh Meat &amp; Poultry</t>
        </is>
      </c>
      <c r="G472" s="7" t="inlineStr">
        <is>
          <t>Beef</t>
        </is>
      </c>
      <c r="H472" s="7" t="inlineStr">
        <is>
          <t>yes</t>
        </is>
      </c>
      <c r="I472" s="7" t="inlineStr">
        <is>
          <t>Animal core</t>
        </is>
      </c>
      <c r="J472" s="7" t="inlineStr">
        <is>
          <t>Red meat</t>
        </is>
      </c>
      <c r="K472" s="7" t="inlineStr">
        <is>
          <t>A</t>
        </is>
      </c>
      <c r="L472" s="7" t="inlineStr">
        <is>
          <t>All ingredients on one side</t>
        </is>
      </c>
      <c r="M472" s="51" t="n">
        <v>17.9</v>
      </c>
      <c r="N472" s="7" t="inlineStr">
        <is>
          <t>Declared by the retailer</t>
        </is>
      </c>
      <c r="O472" s="54" t="n">
        <v>0</v>
      </c>
      <c r="P472" s="54" t="n">
        <v>17.9</v>
      </c>
      <c r="Q472" s="7" t="inlineStr">
        <is>
          <t>yes</t>
        </is>
      </c>
      <c r="R472" s="7" t="inlineStr">
        <is>
          <t>whole</t>
        </is>
      </c>
      <c r="S472" s="7" t="inlineStr">
        <is>
          <t>FG1</t>
        </is>
      </c>
      <c r="T472" s="7" t="inlineStr">
        <is>
          <t>Red meat</t>
        </is>
      </c>
      <c r="U472" s="7" t="inlineStr">
        <is>
          <t>animal</t>
        </is>
      </c>
      <c r="V472" s="7" t="n"/>
      <c r="W472" s="7" t="n"/>
      <c r="X472" s="55" t="n">
        <v>1</v>
      </c>
      <c r="Y472" s="50" t="n">
        <v>0.75</v>
      </c>
      <c r="Z472" s="7" t="inlineStr">
        <is>
          <t>declared</t>
        </is>
      </c>
      <c r="AA472" s="19">
        <f>IF(ISBLANK(Welcome!D498),"",Welcome!D498)</f>
        <v/>
      </c>
      <c r="AB472" s="29">
        <f>IF(ISBLANK(Welcome!E498),"",Welcome!E498)</f>
        <v/>
      </c>
      <c r="AC472" s="29">
        <f>IF(N(AB472)&gt;0,N(AB472),N(AA472)*Y472)</f>
        <v/>
      </c>
      <c r="AD472" s="29">
        <f>IF(H472="yes",AC472,0)</f>
        <v/>
      </c>
      <c r="AE472" s="29">
        <f>AD472*N(M472)/100</f>
        <v/>
      </c>
      <c r="AF472" s="29">
        <f>AD472*N(O472)/100</f>
        <v/>
      </c>
      <c r="AG472" s="29">
        <f>AD472*N(P472)/100</f>
        <v/>
      </c>
      <c r="AH472" s="50">
        <f>IF(Q472="yes",AD472/1000,0)</f>
        <v/>
      </c>
      <c r="AI472" s="50">
        <f>IF(S472="FG2",AH472*X472,AH472)</f>
        <v/>
      </c>
    </row>
    <row r="473">
      <c r="A473" s="7" t="inlineStr">
        <is>
          <t>HM00537</t>
        </is>
      </c>
      <c r="B473" s="16" t="inlineStr">
        <is>
          <t>8712345956523</t>
        </is>
      </c>
      <c r="C473" s="7" t="inlineStr">
        <is>
          <t>HM SPAG BOLOGNESE 450G</t>
        </is>
      </c>
      <c r="D473" s="7" t="inlineStr">
        <is>
          <t>Spaghetti bolognese, 450g</t>
        </is>
      </c>
      <c r="E473" s="7" t="inlineStr">
        <is>
          <t>Harbour Market</t>
        </is>
      </c>
      <c r="F473" s="7" t="inlineStr">
        <is>
          <t>Ready Meals</t>
        </is>
      </c>
      <c r="G473" s="7" t="inlineStr">
        <is>
          <t>Ready Meals</t>
        </is>
      </c>
      <c r="H473" s="7" t="inlineStr">
        <is>
          <t>yes</t>
        </is>
      </c>
      <c r="I473" s="7" t="inlineStr">
        <is>
          <t>Animal &amp; plant composite</t>
        </is>
      </c>
      <c r="J473" s="7" t="inlineStr">
        <is>
          <t>Meat-based dishes</t>
        </is>
      </c>
      <c r="K473" s="7" t="inlineStr">
        <is>
          <t>A</t>
        </is>
      </c>
      <c r="L473" s="7" t="inlineStr">
        <is>
          <t>NEVO food table (ratio only)</t>
        </is>
      </c>
      <c r="M473" s="51" t="n">
        <v>6.9</v>
      </c>
      <c r="N473" s="7" t="inlineStr">
        <is>
          <t>Declared by the retailer</t>
        </is>
      </c>
      <c r="O473" s="54" t="n">
        <v>2.42</v>
      </c>
      <c r="P473" s="54" t="n">
        <v>4.48</v>
      </c>
      <c r="Q473" s="7" t="inlineStr">
        <is>
          <t>yes</t>
        </is>
      </c>
      <c r="R473" s="7" t="inlineStr">
        <is>
          <t>composite</t>
        </is>
      </c>
      <c r="S473" s="7" t="n"/>
      <c r="T473" s="7" t="n"/>
      <c r="U473" s="7" t="n"/>
      <c r="V473" s="7" t="inlineStr">
        <is>
          <t>meat-based</t>
        </is>
      </c>
      <c r="W473" s="7" t="n"/>
      <c r="X473" s="55" t="n">
        <v>1</v>
      </c>
      <c r="Y473" s="50" t="n">
        <v>0.45</v>
      </c>
      <c r="Z473" s="7" t="inlineStr">
        <is>
          <t>declared</t>
        </is>
      </c>
      <c r="AA473" s="19">
        <f>IF(ISBLANK(Welcome!D499),"",Welcome!D499)</f>
        <v/>
      </c>
      <c r="AB473" s="29">
        <f>IF(ISBLANK(Welcome!E499),"",Welcome!E499)</f>
        <v/>
      </c>
      <c r="AC473" s="29">
        <f>IF(N(AB473)&gt;0,N(AB473),N(AA473)*Y473)</f>
        <v/>
      </c>
      <c r="AD473" s="29">
        <f>IF(H473="yes",AC473,0)</f>
        <v/>
      </c>
      <c r="AE473" s="29">
        <f>AD473*N(M473)/100</f>
        <v/>
      </c>
      <c r="AF473" s="29">
        <f>AD473*N(O473)/100</f>
        <v/>
      </c>
      <c r="AG473" s="29">
        <f>AD473*N(P473)/100</f>
        <v/>
      </c>
      <c r="AH473" s="50">
        <f>IF(Q473="yes",AD473/1000,0)</f>
        <v/>
      </c>
      <c r="AI473" s="50">
        <f>IF(S473="FG2",AH473*X473,AH473)</f>
        <v/>
      </c>
    </row>
    <row r="474">
      <c r="A474" s="7" t="inlineStr">
        <is>
          <t>HM00248</t>
        </is>
      </c>
      <c r="B474" s="16" t="inlineStr">
        <is>
          <t>0012345858161</t>
        </is>
      </c>
      <c r="C474" s="7" t="inlineStr">
        <is>
          <t>HM BF BURGERS 4PK 400G</t>
        </is>
      </c>
      <c r="D474" s="7" t="inlineStr">
        <is>
          <t>Beef burgers, 4 pack, 400g</t>
        </is>
      </c>
      <c r="E474" s="7" t="inlineStr">
        <is>
          <t>Harbour Market</t>
        </is>
      </c>
      <c r="F474" s="7" t="inlineStr">
        <is>
          <t>Fresh Meat &amp; Poultry</t>
        </is>
      </c>
      <c r="G474" s="7" t="inlineStr">
        <is>
          <t>Sausages &amp; Burgers</t>
        </is>
      </c>
      <c r="H474" s="7" t="inlineStr">
        <is>
          <t>yes</t>
        </is>
      </c>
      <c r="I474" s="7" t="inlineStr">
        <is>
          <t>Animal core</t>
        </is>
      </c>
      <c r="J474" s="7" t="inlineStr">
        <is>
          <t>Dishes and processed products</t>
        </is>
      </c>
      <c r="K474" s="7" t="inlineStr">
        <is>
          <t>B</t>
        </is>
      </c>
      <c r="L474" s="7" t="inlineStr">
        <is>
          <t>First ingredient</t>
        </is>
      </c>
      <c r="M474" s="51" t="n">
        <v>14.7</v>
      </c>
      <c r="N474" s="7" t="inlineStr">
        <is>
          <t>National food table (CIQUAL in France)</t>
        </is>
      </c>
      <c r="O474" s="54" t="n">
        <v>0</v>
      </c>
      <c r="P474" s="54" t="n">
        <v>14.7</v>
      </c>
      <c r="Q474" s="7" t="inlineStr">
        <is>
          <t>yes</t>
        </is>
      </c>
      <c r="R474" s="7" t="inlineStr">
        <is>
          <t>whole</t>
        </is>
      </c>
      <c r="S474" s="7" t="inlineStr">
        <is>
          <t>FG1</t>
        </is>
      </c>
      <c r="T474" s="7" t="inlineStr">
        <is>
          <t>Red meat</t>
        </is>
      </c>
      <c r="U474" s="7" t="inlineStr">
        <is>
          <t>animal</t>
        </is>
      </c>
      <c r="V474" s="7" t="n"/>
      <c r="W474" s="7" t="n"/>
      <c r="X474" s="55" t="n">
        <v>1</v>
      </c>
      <c r="Y474" s="50" t="n">
        <v>0.4</v>
      </c>
      <c r="Z474" s="7" t="inlineStr">
        <is>
          <t>declared</t>
        </is>
      </c>
      <c r="AA474" s="19">
        <f>IF(ISBLANK(Welcome!D500),"",Welcome!D500)</f>
        <v/>
      </c>
      <c r="AB474" s="29">
        <f>IF(ISBLANK(Welcome!E500),"",Welcome!E500)</f>
        <v/>
      </c>
      <c r="AC474" s="29">
        <f>IF(N(AB474)&gt;0,N(AB474),N(AA474)*Y474)</f>
        <v/>
      </c>
      <c r="AD474" s="29">
        <f>IF(H474="yes",AC474,0)</f>
        <v/>
      </c>
      <c r="AE474" s="29">
        <f>AD474*N(M474)/100</f>
        <v/>
      </c>
      <c r="AF474" s="29">
        <f>AD474*N(O474)/100</f>
        <v/>
      </c>
      <c r="AG474" s="29">
        <f>AD474*N(P474)/100</f>
        <v/>
      </c>
      <c r="AH474" s="50">
        <f>IF(Q474="yes",AD474/1000,0)</f>
        <v/>
      </c>
      <c r="AI474" s="50">
        <f>IF(S474="FG2",AH474*X474,AH474)</f>
        <v/>
      </c>
    </row>
    <row r="475">
      <c r="A475" s="7" t="inlineStr">
        <is>
          <t>HM00060</t>
        </is>
      </c>
      <c r="B475" s="16" t="inlineStr">
        <is>
          <t>8712345131647</t>
        </is>
      </c>
      <c r="C475" s="7" t="inlineStr">
        <is>
          <t>HM BF DICED STEW 500G</t>
        </is>
      </c>
      <c r="D475" s="7" t="inlineStr">
        <is>
          <t>Diced beef for stewing, 500g</t>
        </is>
      </c>
      <c r="E475" s="7" t="inlineStr">
        <is>
          <t>Harbour Market</t>
        </is>
      </c>
      <c r="F475" s="7" t="inlineStr">
        <is>
          <t>Fresh Meat &amp; Poultry</t>
        </is>
      </c>
      <c r="G475" s="7" t="inlineStr">
        <is>
          <t>Beef</t>
        </is>
      </c>
      <c r="H475" s="7" t="inlineStr">
        <is>
          <t>yes</t>
        </is>
      </c>
      <c r="I475" s="7" t="inlineStr">
        <is>
          <t>Animal core</t>
        </is>
      </c>
      <c r="J475" s="7" t="inlineStr">
        <is>
          <t>Red meat</t>
        </is>
      </c>
      <c r="K475" s="7" t="inlineStr">
        <is>
          <t>B</t>
        </is>
      </c>
      <c r="L475" s="7" t="inlineStr">
        <is>
          <t>Follows the class</t>
        </is>
      </c>
      <c r="M475" s="51" t="n">
        <v>22.7</v>
      </c>
      <c r="N475" s="7" t="inlineStr">
        <is>
          <t>Declared by the retailer</t>
        </is>
      </c>
      <c r="O475" s="54" t="n">
        <v>0</v>
      </c>
      <c r="P475" s="54" t="n">
        <v>22.7</v>
      </c>
      <c r="Q475" s="7" t="inlineStr">
        <is>
          <t>yes</t>
        </is>
      </c>
      <c r="R475" s="7" t="inlineStr">
        <is>
          <t>whole</t>
        </is>
      </c>
      <c r="S475" s="7" t="inlineStr">
        <is>
          <t>FG1</t>
        </is>
      </c>
      <c r="T475" s="7" t="inlineStr">
        <is>
          <t>Red meat</t>
        </is>
      </c>
      <c r="U475" s="7" t="inlineStr">
        <is>
          <t>animal</t>
        </is>
      </c>
      <c r="V475" s="7" t="n"/>
      <c r="W475" s="7" t="n"/>
      <c r="X475" s="55" t="n">
        <v>1</v>
      </c>
      <c r="Y475" s="50" t="n">
        <v>0.5</v>
      </c>
      <c r="Z475" s="7" t="inlineStr">
        <is>
          <t>declared</t>
        </is>
      </c>
      <c r="AA475" s="19">
        <f>IF(ISBLANK(Welcome!D501),"",Welcome!D501)</f>
        <v/>
      </c>
      <c r="AB475" s="29">
        <f>IF(ISBLANK(Welcome!E501),"",Welcome!E501)</f>
        <v/>
      </c>
      <c r="AC475" s="29">
        <f>IF(N(AB475)&gt;0,N(AB475),N(AA475)*Y475)</f>
        <v/>
      </c>
      <c r="AD475" s="29">
        <f>IF(H475="yes",AC475,0)</f>
        <v/>
      </c>
      <c r="AE475" s="29">
        <f>AD475*N(M475)/100</f>
        <v/>
      </c>
      <c r="AF475" s="29">
        <f>AD475*N(O475)/100</f>
        <v/>
      </c>
      <c r="AG475" s="29">
        <f>AD475*N(P475)/100</f>
        <v/>
      </c>
      <c r="AH475" s="50">
        <f>IF(Q475="yes",AD475/1000,0)</f>
        <v/>
      </c>
      <c r="AI475" s="50">
        <f>IF(S475="FG2",AH475*X475,AH475)</f>
        <v/>
      </c>
    </row>
    <row r="476">
      <c r="A476" s="7" t="inlineStr">
        <is>
          <t>HM00721</t>
        </is>
      </c>
      <c r="B476" s="16" t="inlineStr">
        <is>
          <t>3012345555968</t>
        </is>
      </c>
      <c r="C476" s="7" t="inlineStr">
        <is>
          <t>HM COOKED MUSSELS 400G</t>
        </is>
      </c>
      <c r="D476" s="7" t="inlineStr">
        <is>
          <t>Cooked mussels, 400g</t>
        </is>
      </c>
      <c r="E476" s="7" t="inlineStr">
        <is>
          <t>Harbour Market</t>
        </is>
      </c>
      <c r="F476" s="7" t="inlineStr">
        <is>
          <t>Fish &amp; Seafood</t>
        </is>
      </c>
      <c r="G476" s="7" t="inlineStr">
        <is>
          <t>Shellfish</t>
        </is>
      </c>
      <c r="H476" s="7" t="inlineStr">
        <is>
          <t>yes</t>
        </is>
      </c>
      <c r="I476" s="7" t="inlineStr">
        <is>
          <t>Animal core</t>
        </is>
      </c>
      <c r="J476" s="7" t="inlineStr">
        <is>
          <t>Fish and seafood</t>
        </is>
      </c>
      <c r="K476" s="7" t="inlineStr">
        <is>
          <t>B</t>
        </is>
      </c>
      <c r="L476" s="7" t="inlineStr">
        <is>
          <t>Follows the class</t>
        </is>
      </c>
      <c r="M476" s="51" t="n">
        <v>11.9</v>
      </c>
      <c r="N476" s="7" t="inlineStr">
        <is>
          <t>Declared by the retailer</t>
        </is>
      </c>
      <c r="O476" s="54" t="n">
        <v>0</v>
      </c>
      <c r="P476" s="54" t="n">
        <v>11.9</v>
      </c>
      <c r="Q476" s="7" t="inlineStr">
        <is>
          <t>yes</t>
        </is>
      </c>
      <c r="R476" s="7" t="inlineStr">
        <is>
          <t>whole</t>
        </is>
      </c>
      <c r="S476" s="7" t="inlineStr">
        <is>
          <t>FG1</t>
        </is>
      </c>
      <c r="T476" s="7" t="inlineStr">
        <is>
          <t>Fish &amp; shellfish</t>
        </is>
      </c>
      <c r="U476" s="7" t="inlineStr">
        <is>
          <t>animal</t>
        </is>
      </c>
      <c r="V476" s="7" t="n"/>
      <c r="W476" s="7" t="n"/>
      <c r="X476" s="55" t="n">
        <v>1</v>
      </c>
      <c r="Y476" s="50" t="n">
        <v>0.4</v>
      </c>
      <c r="Z476" s="7" t="inlineStr">
        <is>
          <t>label</t>
        </is>
      </c>
      <c r="AA476" s="19">
        <f>IF(ISBLANK(Welcome!D502),"",Welcome!D502)</f>
        <v/>
      </c>
      <c r="AB476" s="29">
        <f>IF(ISBLANK(Welcome!E502),"",Welcome!E502)</f>
        <v/>
      </c>
      <c r="AC476" s="29">
        <f>IF(N(AB476)&gt;0,N(AB476),N(AA476)*Y476)</f>
        <v/>
      </c>
      <c r="AD476" s="29">
        <f>IF(H476="yes",AC476,0)</f>
        <v/>
      </c>
      <c r="AE476" s="29">
        <f>AD476*N(M476)/100</f>
        <v/>
      </c>
      <c r="AF476" s="29">
        <f>AD476*N(O476)/100</f>
        <v/>
      </c>
      <c r="AG476" s="29">
        <f>AD476*N(P476)/100</f>
        <v/>
      </c>
      <c r="AH476" s="50">
        <f>IF(Q476="yes",AD476/1000,0)</f>
        <v/>
      </c>
      <c r="AI476" s="50">
        <f>IF(S476="FG2",AH476*X476,AH476)</f>
        <v/>
      </c>
    </row>
    <row r="477">
      <c r="A477" s="7" t="inlineStr">
        <is>
          <t>HM00337</t>
        </is>
      </c>
      <c r="B477" s="16" t="inlineStr">
        <is>
          <t>4012345507997</t>
        </is>
      </c>
      <c r="C477" s="7" t="inlineStr">
        <is>
          <t>HM PUMPKIN SEEDS 300G</t>
        </is>
      </c>
      <c r="D477" s="7" t="inlineStr">
        <is>
          <t>Pumpkin seeds, 300g</t>
        </is>
      </c>
      <c r="E477" s="7" t="inlineStr">
        <is>
          <t>Harbour Market</t>
        </is>
      </c>
      <c r="F477" s="7" t="inlineStr">
        <is>
          <t>Grocery</t>
        </is>
      </c>
      <c r="G477" s="7" t="inlineStr">
        <is>
          <t>Nuts &amp; Seeds</t>
        </is>
      </c>
      <c r="H477" s="7" t="inlineStr">
        <is>
          <t>yes</t>
        </is>
      </c>
      <c r="I477" s="7" t="inlineStr">
        <is>
          <t>Plant-based core</t>
        </is>
      </c>
      <c r="J477" s="7" t="inlineStr">
        <is>
          <t>Seeds</t>
        </is>
      </c>
      <c r="K477" s="7" t="inlineStr">
        <is>
          <t>A</t>
        </is>
      </c>
      <c r="L477" s="7" t="inlineStr">
        <is>
          <t>All ingredients on one side</t>
        </is>
      </c>
      <c r="M477" s="51" t="n">
        <v>29.7</v>
      </c>
      <c r="N477" s="7" t="inlineStr">
        <is>
          <t>Declared by the retailer</t>
        </is>
      </c>
      <c r="O477" s="54" t="n">
        <v>29.7</v>
      </c>
      <c r="P477" s="54" t="n">
        <v>0</v>
      </c>
      <c r="Q477" s="7" t="inlineStr">
        <is>
          <t>yes</t>
        </is>
      </c>
      <c r="R477" s="7" t="inlineStr">
        <is>
          <t>whole</t>
        </is>
      </c>
      <c r="S477" s="7" t="inlineStr">
        <is>
          <t>FG1</t>
        </is>
      </c>
      <c r="T477" s="7" t="inlineStr">
        <is>
          <t>Seeds</t>
        </is>
      </c>
      <c r="U477" s="7" t="inlineStr">
        <is>
          <t>plant</t>
        </is>
      </c>
      <c r="V477" s="7" t="n"/>
      <c r="W477" s="7" t="n"/>
      <c r="X477" s="55" t="n">
        <v>1</v>
      </c>
      <c r="Y477" s="50" t="n">
        <v>0.3</v>
      </c>
      <c r="Z477" s="7" t="inlineStr">
        <is>
          <t>declared</t>
        </is>
      </c>
      <c r="AA477" s="19">
        <f>IF(ISBLANK(Welcome!D503),"",Welcome!D503)</f>
        <v/>
      </c>
      <c r="AB477" s="29">
        <f>IF(ISBLANK(Welcome!E503),"",Welcome!E503)</f>
        <v/>
      </c>
      <c r="AC477" s="29">
        <f>IF(N(AB477)&gt;0,N(AB477),N(AA477)*Y477)</f>
        <v/>
      </c>
      <c r="AD477" s="29">
        <f>IF(H477="yes",AC477,0)</f>
        <v/>
      </c>
      <c r="AE477" s="29">
        <f>AD477*N(M477)/100</f>
        <v/>
      </c>
      <c r="AF477" s="29">
        <f>AD477*N(O477)/100</f>
        <v/>
      </c>
      <c r="AG477" s="29">
        <f>AD477*N(P477)/100</f>
        <v/>
      </c>
      <c r="AH477" s="50">
        <f>IF(Q477="yes",AD477/1000,0)</f>
        <v/>
      </c>
      <c r="AI477" s="50">
        <f>IF(S477="FG2",AH477*X477,AH477)</f>
        <v/>
      </c>
    </row>
    <row r="478">
      <c r="A478" s="7" t="inlineStr">
        <is>
          <t>HM00396</t>
        </is>
      </c>
      <c r="B478" s="16" t="inlineStr">
        <is>
          <t>3012345013710</t>
        </is>
      </c>
      <c r="C478" s="7" t="inlineStr">
        <is>
          <t>ALDERWICK MATURE CHEDDAR 400G</t>
        </is>
      </c>
      <c r="D478" s="7" t="inlineStr">
        <is>
          <t>Mature cheddar, 400g</t>
        </is>
      </c>
      <c r="E478" s="7" t="inlineStr">
        <is>
          <t>Alderwick</t>
        </is>
      </c>
      <c r="F478" s="7" t="inlineStr">
        <is>
          <t>Cheese</t>
        </is>
      </c>
      <c r="G478" s="7" t="inlineStr">
        <is>
          <t>Hard Cheese</t>
        </is>
      </c>
      <c r="H478" s="7" t="inlineStr">
        <is>
          <t>yes</t>
        </is>
      </c>
      <c r="I478" s="7" t="inlineStr">
        <is>
          <t>Animal core</t>
        </is>
      </c>
      <c r="J478" s="7" t="inlineStr">
        <is>
          <t>Cheese</t>
        </is>
      </c>
      <c r="K478" s="7" t="inlineStr">
        <is>
          <t>A</t>
        </is>
      </c>
      <c r="L478" s="7" t="inlineStr">
        <is>
          <t>All ingredients on one side</t>
        </is>
      </c>
      <c r="M478" s="51" t="n">
        <v>25</v>
      </c>
      <c r="N478" s="7" t="inlineStr">
        <is>
          <t>Altera reference base</t>
        </is>
      </c>
      <c r="O478" s="54" t="n">
        <v>0</v>
      </c>
      <c r="P478" s="54" t="n">
        <v>25</v>
      </c>
      <c r="Q478" s="7" t="inlineStr">
        <is>
          <t>yes</t>
        </is>
      </c>
      <c r="R478" s="7" t="inlineStr">
        <is>
          <t>whole</t>
        </is>
      </c>
      <c r="S478" s="7" t="inlineStr">
        <is>
          <t>FG2</t>
        </is>
      </c>
      <c r="T478" s="7" t="inlineStr">
        <is>
          <t>Dairy</t>
        </is>
      </c>
      <c r="U478" s="7" t="inlineStr">
        <is>
          <t>animal</t>
        </is>
      </c>
      <c r="V478" s="7" t="n"/>
      <c r="W478" s="7" t="n"/>
      <c r="X478" s="55" t="n">
        <v>10</v>
      </c>
      <c r="Y478" s="50" t="n">
        <v>0.4</v>
      </c>
      <c r="Z478" s="7" t="inlineStr">
        <is>
          <t>declared</t>
        </is>
      </c>
      <c r="AA478" s="19">
        <f>IF(ISBLANK(Welcome!D504),"",Welcome!D504)</f>
        <v/>
      </c>
      <c r="AB478" s="29">
        <f>IF(ISBLANK(Welcome!E504),"",Welcome!E504)</f>
        <v/>
      </c>
      <c r="AC478" s="29">
        <f>IF(N(AB478)&gt;0,N(AB478),N(AA478)*Y478)</f>
        <v/>
      </c>
      <c r="AD478" s="29">
        <f>IF(H478="yes",AC478,0)</f>
        <v/>
      </c>
      <c r="AE478" s="29">
        <f>AD478*N(M478)/100</f>
        <v/>
      </c>
      <c r="AF478" s="29">
        <f>AD478*N(O478)/100</f>
        <v/>
      </c>
      <c r="AG478" s="29">
        <f>AD478*N(P478)/100</f>
        <v/>
      </c>
      <c r="AH478" s="50">
        <f>IF(Q478="yes",AD478/1000,0)</f>
        <v/>
      </c>
      <c r="AI478" s="50">
        <f>IF(S478="FG2",AH478*X478,AH478)</f>
        <v/>
      </c>
    </row>
    <row r="479">
      <c r="A479" s="7" t="inlineStr">
        <is>
          <t>HM00696</t>
        </is>
      </c>
      <c r="B479" s="16" t="inlineStr">
        <is>
          <t>5012345447377</t>
        </is>
      </c>
      <c r="C479" s="7" t="inlineStr">
        <is>
          <t>TARROW HAM TRIM 125G</t>
        </is>
      </c>
      <c r="D479" s="7" t="inlineStr">
        <is>
          <t>Ham trimmings, 125g</t>
        </is>
      </c>
      <c r="E479" s="7" t="inlineStr">
        <is>
          <t>Tarrow Farm</t>
        </is>
      </c>
      <c r="F479" s="7" t="inlineStr">
        <is>
          <t>Deli</t>
        </is>
      </c>
      <c r="G479" s="7" t="inlineStr">
        <is>
          <t>Cooked Meats</t>
        </is>
      </c>
      <c r="H479" s="7" t="inlineStr">
        <is>
          <t>yes</t>
        </is>
      </c>
      <c r="I479" s="7" t="inlineStr">
        <is>
          <t>Animal core</t>
        </is>
      </c>
      <c r="J479" s="7" t="inlineStr">
        <is>
          <t>Dishes and processed products</t>
        </is>
      </c>
      <c r="K479" s="7" t="inlineStr">
        <is>
          <t>A</t>
        </is>
      </c>
      <c r="L479" s="7" t="inlineStr">
        <is>
          <t>All ingredients on one side</t>
        </is>
      </c>
      <c r="M479" s="51" t="n">
        <v>17.3</v>
      </c>
      <c r="N479" s="7" t="inlineStr">
        <is>
          <t>Declared by the retailer</t>
        </is>
      </c>
      <c r="O479" s="54" t="n">
        <v>0</v>
      </c>
      <c r="P479" s="54" t="n">
        <v>17.3</v>
      </c>
      <c r="Q479" s="7" t="inlineStr">
        <is>
          <t>yes</t>
        </is>
      </c>
      <c r="R479" s="7" t="inlineStr">
        <is>
          <t>whole</t>
        </is>
      </c>
      <c r="S479" s="7" t="inlineStr">
        <is>
          <t>FG1</t>
        </is>
      </c>
      <c r="T479" s="7" t="inlineStr">
        <is>
          <t>Red meat</t>
        </is>
      </c>
      <c r="U479" s="7" t="inlineStr">
        <is>
          <t>animal</t>
        </is>
      </c>
      <c r="V479" s="7" t="n"/>
      <c r="W479" s="7" t="n"/>
      <c r="X479" s="55" t="n">
        <v>1</v>
      </c>
      <c r="Y479" s="50" t="n">
        <v>0.125</v>
      </c>
      <c r="Z479" s="7" t="inlineStr">
        <is>
          <t>declared</t>
        </is>
      </c>
      <c r="AA479" s="19">
        <f>IF(ISBLANK(Welcome!D505),"",Welcome!D505)</f>
        <v/>
      </c>
      <c r="AB479" s="29">
        <f>IF(ISBLANK(Welcome!E505),"",Welcome!E505)</f>
        <v/>
      </c>
      <c r="AC479" s="29">
        <f>IF(N(AB479)&gt;0,N(AB479),N(AA479)*Y479)</f>
        <v/>
      </c>
      <c r="AD479" s="29">
        <f>IF(H479="yes",AC479,0)</f>
        <v/>
      </c>
      <c r="AE479" s="29">
        <f>AD479*N(M479)/100</f>
        <v/>
      </c>
      <c r="AF479" s="29">
        <f>AD479*N(O479)/100</f>
        <v/>
      </c>
      <c r="AG479" s="29">
        <f>AD479*N(P479)/100</f>
        <v/>
      </c>
      <c r="AH479" s="50">
        <f>IF(Q479="yes",AD479/1000,0)</f>
        <v/>
      </c>
      <c r="AI479" s="50">
        <f>IF(S479="FG2",AH479*X479,AH479)</f>
        <v/>
      </c>
    </row>
    <row r="480">
      <c r="A480" s="7" t="inlineStr">
        <is>
          <t>HM00550</t>
        </is>
      </c>
      <c r="B480" s="16" t="inlineStr">
        <is>
          <t>3012345264709</t>
        </is>
      </c>
      <c r="C480" s="7" t="inlineStr">
        <is>
          <t>ORVALIS BASMATI RICE 500G</t>
        </is>
      </c>
      <c r="D480" s="7" t="inlineStr">
        <is>
          <t>Basmati rice, 500g</t>
        </is>
      </c>
      <c r="E480" s="7" t="inlineStr">
        <is>
          <t>Orvalis</t>
        </is>
      </c>
      <c r="F480" s="7" t="inlineStr">
        <is>
          <t>Grocery</t>
        </is>
      </c>
      <c r="G480" s="7" t="inlineStr">
        <is>
          <t>Rice &amp; Grains</t>
        </is>
      </c>
      <c r="H480" s="7" t="inlineStr">
        <is>
          <t>yes</t>
        </is>
      </c>
      <c r="I480" s="7" t="inlineStr">
        <is>
          <t>Plant-based non-core</t>
        </is>
      </c>
      <c r="J480" s="7" t="inlineStr">
        <is>
          <t>Refined grains</t>
        </is>
      </c>
      <c r="K480" s="7" t="inlineStr">
        <is>
          <t>A</t>
        </is>
      </c>
      <c r="L480" s="7" t="inlineStr">
        <is>
          <t>All ingredients on one side</t>
        </is>
      </c>
      <c r="M480" s="51" t="n">
        <v>7.3</v>
      </c>
      <c r="N480" s="7" t="inlineStr">
        <is>
          <t>Declared by the retailer</t>
        </is>
      </c>
      <c r="O480" s="54" t="n">
        <v>7.3</v>
      </c>
      <c r="P480" s="54" t="n">
        <v>0</v>
      </c>
      <c r="Q480" s="7" t="inlineStr">
        <is>
          <t>yes</t>
        </is>
      </c>
      <c r="R480" s="7" t="inlineStr">
        <is>
          <t>whole</t>
        </is>
      </c>
      <c r="S480" s="7" t="inlineStr">
        <is>
          <t>FG5</t>
        </is>
      </c>
      <c r="T480" s="7" t="inlineStr">
        <is>
          <t>Refined grain</t>
        </is>
      </c>
      <c r="U480" s="7" t="inlineStr">
        <is>
          <t>plant</t>
        </is>
      </c>
      <c r="V480" s="7" t="n"/>
      <c r="W480" s="7" t="n"/>
      <c r="X480" s="55" t="n">
        <v>1</v>
      </c>
      <c r="Y480" s="50" t="n">
        <v>0.5</v>
      </c>
      <c r="Z480" s="7" t="inlineStr">
        <is>
          <t>declared</t>
        </is>
      </c>
      <c r="AA480" s="19">
        <f>IF(ISBLANK(Welcome!D506),"",Welcome!D506)</f>
        <v/>
      </c>
      <c r="AB480" s="29">
        <f>IF(ISBLANK(Welcome!E506),"",Welcome!E506)</f>
        <v/>
      </c>
      <c r="AC480" s="29">
        <f>IF(N(AB480)&gt;0,N(AB480),N(AA480)*Y480)</f>
        <v/>
      </c>
      <c r="AD480" s="29">
        <f>IF(H480="yes",AC480,0)</f>
        <v/>
      </c>
      <c r="AE480" s="29">
        <f>AD480*N(M480)/100</f>
        <v/>
      </c>
      <c r="AF480" s="29">
        <f>AD480*N(O480)/100</f>
        <v/>
      </c>
      <c r="AG480" s="29">
        <f>AD480*N(P480)/100</f>
        <v/>
      </c>
      <c r="AH480" s="50">
        <f>IF(Q480="yes",AD480/1000,0)</f>
        <v/>
      </c>
      <c r="AI480" s="50">
        <f>IF(S480="FG2",AH480*X480,AH480)</f>
        <v/>
      </c>
    </row>
    <row r="481">
      <c r="A481" s="7" t="inlineStr">
        <is>
          <t>HM00114</t>
        </is>
      </c>
      <c r="B481" s="16" t="inlineStr">
        <is>
          <t>8712345085384</t>
        </is>
      </c>
      <c r="C481" s="7" t="inlineStr">
        <is>
          <t>HM CHOC FUDGE CAKE 6PK 300G</t>
        </is>
      </c>
      <c r="D481" s="7" t="inlineStr">
        <is>
          <t>Chocolate fudge cake, 6pk 300g</t>
        </is>
      </c>
      <c r="E481" s="7" t="inlineStr">
        <is>
          <t>Harbour Market</t>
        </is>
      </c>
      <c r="F481" s="7" t="inlineStr">
        <is>
          <t>Bakery</t>
        </is>
      </c>
      <c r="G481" s="7" t="inlineStr">
        <is>
          <t>Cakes</t>
        </is>
      </c>
      <c r="H481" s="7" t="inlineStr">
        <is>
          <t>yes</t>
        </is>
      </c>
      <c r="I481" s="7" t="inlineStr">
        <is>
          <t>Animal &amp; plant composite</t>
        </is>
      </c>
      <c r="J481" s="7" t="inlineStr">
        <is>
          <t>Discretionary products</t>
        </is>
      </c>
      <c r="K481" s="7" t="inlineStr">
        <is>
          <t>B</t>
        </is>
      </c>
      <c r="L481" s="7" t="inlineStr">
        <is>
          <t>50/50 convention</t>
        </is>
      </c>
      <c r="M481" s="51" t="n">
        <v>5.2</v>
      </c>
      <c r="N481" s="7" t="inlineStr">
        <is>
          <t>Declared by the retailer</t>
        </is>
      </c>
      <c r="O481" s="54" t="n">
        <v>2.6</v>
      </c>
      <c r="P481" s="54" t="n">
        <v>2.6</v>
      </c>
      <c r="Q481" s="7" t="inlineStr">
        <is>
          <t>yes</t>
        </is>
      </c>
      <c r="R481" s="7" t="inlineStr">
        <is>
          <t>whole</t>
        </is>
      </c>
      <c r="S481" s="7" t="inlineStr">
        <is>
          <t>FG7</t>
        </is>
      </c>
      <c r="T481" s="7" t="n"/>
      <c r="U481" s="7" t="inlineStr">
        <is>
          <t>plant</t>
        </is>
      </c>
      <c r="V481" s="7" t="n"/>
      <c r="W481" s="7" t="n"/>
      <c r="X481" s="55" t="n">
        <v>1</v>
      </c>
      <c r="Y481" s="50" t="n">
        <v>0.3</v>
      </c>
      <c r="Z481" s="7" t="inlineStr">
        <is>
          <t>declared</t>
        </is>
      </c>
      <c r="AA481" s="19">
        <f>IF(ISBLANK(Welcome!D507),"",Welcome!D507)</f>
        <v/>
      </c>
      <c r="AB481" s="29">
        <f>IF(ISBLANK(Welcome!E507),"",Welcome!E507)</f>
        <v/>
      </c>
      <c r="AC481" s="29">
        <f>IF(N(AB481)&gt;0,N(AB481),N(AA481)*Y481)</f>
        <v/>
      </c>
      <c r="AD481" s="29">
        <f>IF(H481="yes",AC481,0)</f>
        <v/>
      </c>
      <c r="AE481" s="29">
        <f>AD481*N(M481)/100</f>
        <v/>
      </c>
      <c r="AF481" s="29">
        <f>AD481*N(O481)/100</f>
        <v/>
      </c>
      <c r="AG481" s="29">
        <f>AD481*N(P481)/100</f>
        <v/>
      </c>
      <c r="AH481" s="50">
        <f>IF(Q481="yes",AD481/1000,0)</f>
        <v/>
      </c>
      <c r="AI481" s="50">
        <f>IF(S481="FG2",AH481*X481,AH481)</f>
        <v/>
      </c>
    </row>
    <row r="482">
      <c r="A482" s="7" t="inlineStr">
        <is>
          <t>HM00163</t>
        </is>
      </c>
      <c r="B482" s="16" t="inlineStr">
        <is>
          <t>4012345887655</t>
        </is>
      </c>
      <c r="C482" s="7" t="inlineStr">
        <is>
          <t>ORVALIS COUSCOUS 500G</t>
        </is>
      </c>
      <c r="D482" s="7" t="inlineStr">
        <is>
          <t>Couscous, 500g</t>
        </is>
      </c>
      <c r="E482" s="7" t="inlineStr">
        <is>
          <t>Orvalis</t>
        </is>
      </c>
      <c r="F482" s="7" t="inlineStr">
        <is>
          <t>Grocery</t>
        </is>
      </c>
      <c r="G482" s="7" t="inlineStr">
        <is>
          <t>Rice &amp; Grains</t>
        </is>
      </c>
      <c r="H482" s="7" t="inlineStr">
        <is>
          <t>yes</t>
        </is>
      </c>
      <c r="I482" s="7" t="inlineStr">
        <is>
          <t>Plant-based non-core</t>
        </is>
      </c>
      <c r="J482" s="7" t="inlineStr">
        <is>
          <t>Refined grains</t>
        </is>
      </c>
      <c r="K482" s="7" t="inlineStr">
        <is>
          <t>A</t>
        </is>
      </c>
      <c r="L482" s="7" t="inlineStr">
        <is>
          <t>All ingredients on one side</t>
        </is>
      </c>
      <c r="M482" s="51" t="n">
        <v>7.7</v>
      </c>
      <c r="N482" s="7" t="inlineStr">
        <is>
          <t>Altera reference base</t>
        </is>
      </c>
      <c r="O482" s="54" t="n">
        <v>7.7</v>
      </c>
      <c r="P482" s="54" t="n">
        <v>0</v>
      </c>
      <c r="Q482" s="7" t="inlineStr">
        <is>
          <t>yes</t>
        </is>
      </c>
      <c r="R482" s="7" t="inlineStr">
        <is>
          <t>whole</t>
        </is>
      </c>
      <c r="S482" s="7" t="inlineStr">
        <is>
          <t>FG5</t>
        </is>
      </c>
      <c r="T482" s="7" t="inlineStr">
        <is>
          <t>Refined grain</t>
        </is>
      </c>
      <c r="U482" s="7" t="inlineStr">
        <is>
          <t>plant</t>
        </is>
      </c>
      <c r="V482" s="7" t="n"/>
      <c r="W482" s="7" t="n"/>
      <c r="X482" s="55" t="n">
        <v>1</v>
      </c>
      <c r="Y482" s="50" t="n">
        <v>0.5</v>
      </c>
      <c r="Z482" s="7" t="inlineStr">
        <is>
          <t>declared</t>
        </is>
      </c>
      <c r="AA482" s="19">
        <f>IF(ISBLANK(Welcome!D508),"",Welcome!D508)</f>
        <v/>
      </c>
      <c r="AB482" s="29">
        <f>IF(ISBLANK(Welcome!E508),"",Welcome!E508)</f>
        <v/>
      </c>
      <c r="AC482" s="29">
        <f>IF(N(AB482)&gt;0,N(AB482),N(AA482)*Y482)</f>
        <v/>
      </c>
      <c r="AD482" s="29">
        <f>IF(H482="yes",AC482,0)</f>
        <v/>
      </c>
      <c r="AE482" s="29">
        <f>AD482*N(M482)/100</f>
        <v/>
      </c>
      <c r="AF482" s="29">
        <f>AD482*N(O482)/100</f>
        <v/>
      </c>
      <c r="AG482" s="29">
        <f>AD482*N(P482)/100</f>
        <v/>
      </c>
      <c r="AH482" s="50">
        <f>IF(Q482="yes",AD482/1000,0)</f>
        <v/>
      </c>
      <c r="AI482" s="50">
        <f>IF(S482="FG2",AH482*X482,AH482)</f>
        <v/>
      </c>
    </row>
    <row r="483">
      <c r="A483" s="7" t="inlineStr">
        <is>
          <t>HM00372</t>
        </is>
      </c>
      <c r="B483" s="16" t="inlineStr">
        <is>
          <t>3012345238656</t>
        </is>
      </c>
      <c r="C483" s="7" t="inlineStr">
        <is>
          <t>HM BROCCOLI FLORETS 750G</t>
        </is>
      </c>
      <c r="D483" s="7" t="inlineStr">
        <is>
          <t>Broccoli florets, 750g</t>
        </is>
      </c>
      <c r="E483" s="7" t="inlineStr">
        <is>
          <t>Harbour Market</t>
        </is>
      </c>
      <c r="F483" s="7" t="inlineStr">
        <is>
          <t>Frozen</t>
        </is>
      </c>
      <c r="G483" s="7" t="inlineStr">
        <is>
          <t>Frozen Vegetables</t>
        </is>
      </c>
      <c r="H483" s="7" t="inlineStr">
        <is>
          <t>yes</t>
        </is>
      </c>
      <c r="I483" s="7" t="inlineStr">
        <is>
          <t>Plant-based non-core</t>
        </is>
      </c>
      <c r="J483" s="7" t="inlineStr">
        <is>
          <t>Fruit and vegetables</t>
        </is>
      </c>
      <c r="K483" s="7" t="inlineStr">
        <is>
          <t>A</t>
        </is>
      </c>
      <c r="L483" s="7" t="inlineStr">
        <is>
          <t>All ingredients on one side</t>
        </is>
      </c>
      <c r="M483" s="51" t="n">
        <v>2.7</v>
      </c>
      <c r="N483" s="7" t="inlineStr">
        <is>
          <t>Declared by the retailer</t>
        </is>
      </c>
      <c r="O483" s="54" t="n">
        <v>2.7</v>
      </c>
      <c r="P483" s="54" t="n">
        <v>0</v>
      </c>
      <c r="Q483" s="7" t="inlineStr">
        <is>
          <t>yes</t>
        </is>
      </c>
      <c r="R483" s="7" t="inlineStr">
        <is>
          <t>whole</t>
        </is>
      </c>
      <c r="S483" s="7" t="inlineStr">
        <is>
          <t>FG4</t>
        </is>
      </c>
      <c r="T483" s="7" t="n"/>
      <c r="U483" s="7" t="inlineStr">
        <is>
          <t>plant</t>
        </is>
      </c>
      <c r="V483" s="7" t="n"/>
      <c r="W483" s="7" t="n"/>
      <c r="X483" s="55" t="n">
        <v>1</v>
      </c>
      <c r="Y483" s="50" t="n">
        <v>0.75</v>
      </c>
      <c r="Z483" s="7" t="inlineStr">
        <is>
          <t>label</t>
        </is>
      </c>
      <c r="AA483" s="19">
        <f>IF(ISBLANK(Welcome!D509),"",Welcome!D509)</f>
        <v/>
      </c>
      <c r="AB483" s="29">
        <f>IF(ISBLANK(Welcome!E509),"",Welcome!E509)</f>
        <v/>
      </c>
      <c r="AC483" s="29">
        <f>IF(N(AB483)&gt;0,N(AB483),N(AA483)*Y483)</f>
        <v/>
      </c>
      <c r="AD483" s="29">
        <f>IF(H483="yes",AC483,0)</f>
        <v/>
      </c>
      <c r="AE483" s="29">
        <f>AD483*N(M483)/100</f>
        <v/>
      </c>
      <c r="AF483" s="29">
        <f>AD483*N(O483)/100</f>
        <v/>
      </c>
      <c r="AG483" s="29">
        <f>AD483*N(P483)/100</f>
        <v/>
      </c>
      <c r="AH483" s="50">
        <f>IF(Q483="yes",AD483/1000,0)</f>
        <v/>
      </c>
      <c r="AI483" s="50">
        <f>IF(S483="FG2",AH483*X483,AH483)</f>
        <v/>
      </c>
    </row>
    <row r="484">
      <c r="A484" s="7" t="inlineStr">
        <is>
          <t>HM00104</t>
        </is>
      </c>
      <c r="B484" s="16" t="inlineStr">
        <is>
          <t>5012345255620</t>
        </is>
      </c>
      <c r="C484" s="7" t="inlineStr">
        <is>
          <t>BRAN FLAKES 500G ORVALIS</t>
        </is>
      </c>
      <c r="D484" s="7" t="inlineStr">
        <is>
          <t>Bran flakes, 500g</t>
        </is>
      </c>
      <c r="E484" s="7" t="inlineStr">
        <is>
          <t>Orvalis</t>
        </is>
      </c>
      <c r="F484" s="7" t="inlineStr">
        <is>
          <t>Breakfast &amp; Snacks</t>
        </is>
      </c>
      <c r="G484" s="7" t="inlineStr">
        <is>
          <t>Cereals</t>
        </is>
      </c>
      <c r="H484" s="7" t="inlineStr">
        <is>
          <t>yes</t>
        </is>
      </c>
      <c r="I484" s="7" t="inlineStr">
        <is>
          <t>Plant-based non-core</t>
        </is>
      </c>
      <c r="J484" s="7" t="inlineStr">
        <is>
          <t>Whole grains</t>
        </is>
      </c>
      <c r="K484" s="7" t="inlineStr">
        <is>
          <t>A</t>
        </is>
      </c>
      <c r="L484" s="7" t="inlineStr">
        <is>
          <t>All ingredients on one side</t>
        </is>
      </c>
      <c r="M484" s="51" t="n">
        <v>10.1</v>
      </c>
      <c r="N484" s="7" t="inlineStr">
        <is>
          <t>National food table (CIQUAL in France)</t>
        </is>
      </c>
      <c r="O484" s="54" t="n">
        <v>10.1</v>
      </c>
      <c r="P484" s="54" t="n">
        <v>0</v>
      </c>
      <c r="Q484" s="7" t="inlineStr">
        <is>
          <t>yes</t>
        </is>
      </c>
      <c r="R484" s="7" t="inlineStr">
        <is>
          <t>whole</t>
        </is>
      </c>
      <c r="S484" s="7" t="inlineStr">
        <is>
          <t>FG5</t>
        </is>
      </c>
      <c r="T484" s="7" t="inlineStr">
        <is>
          <t>Whole grain</t>
        </is>
      </c>
      <c r="U484" s="7" t="inlineStr">
        <is>
          <t>plant</t>
        </is>
      </c>
      <c r="V484" s="7" t="n"/>
      <c r="W484" s="7" t="n"/>
      <c r="X484" s="55" t="n">
        <v>1</v>
      </c>
      <c r="Y484" s="50" t="n">
        <v>0.5</v>
      </c>
      <c r="Z484" s="7" t="inlineStr">
        <is>
          <t>declared</t>
        </is>
      </c>
      <c r="AA484" s="19">
        <f>IF(ISBLANK(Welcome!D510),"",Welcome!D510)</f>
        <v/>
      </c>
      <c r="AB484" s="29">
        <f>IF(ISBLANK(Welcome!E510),"",Welcome!E510)</f>
        <v/>
      </c>
      <c r="AC484" s="29">
        <f>IF(N(AB484)&gt;0,N(AB484),N(AA484)*Y484)</f>
        <v/>
      </c>
      <c r="AD484" s="29">
        <f>IF(H484="yes",AC484,0)</f>
        <v/>
      </c>
      <c r="AE484" s="29">
        <f>AD484*N(M484)/100</f>
        <v/>
      </c>
      <c r="AF484" s="29">
        <f>AD484*N(O484)/100</f>
        <v/>
      </c>
      <c r="AG484" s="29">
        <f>AD484*N(P484)/100</f>
        <v/>
      </c>
      <c r="AH484" s="50">
        <f>IF(Q484="yes",AD484/1000,0)</f>
        <v/>
      </c>
      <c r="AI484" s="50">
        <f>IF(S484="FG2",AH484*X484,AH484)</f>
        <v/>
      </c>
    </row>
    <row r="485">
      <c r="A485" s="7" t="inlineStr">
        <is>
          <t>HM00109</t>
        </is>
      </c>
      <c r="B485" s="16" t="inlineStr">
        <is>
          <t>4012345485417</t>
        </is>
      </c>
      <c r="C485" s="7" t="inlineStr">
        <is>
          <t>HOUMOUS RED PEPPER 200G SOLVANE</t>
        </is>
      </c>
      <c r="D485" s="7" t="inlineStr">
        <is>
          <t>Red pepper houmous, 200g</t>
        </is>
      </c>
      <c r="E485" s="7" t="inlineStr">
        <is>
          <t>Solvane</t>
        </is>
      </c>
      <c r="F485" s="7" t="inlineStr">
        <is>
          <t>Deli</t>
        </is>
      </c>
      <c r="G485" s="7" t="inlineStr">
        <is>
          <t>Dips</t>
        </is>
      </c>
      <c r="H485" s="7" t="inlineStr">
        <is>
          <t>yes</t>
        </is>
      </c>
      <c r="I485" s="7" t="inlineStr">
        <is>
          <t>Plant-based core</t>
        </is>
      </c>
      <c r="J485" s="7" t="inlineStr">
        <is>
          <t>Pulses</t>
        </is>
      </c>
      <c r="K485" s="7" t="inlineStr">
        <is>
          <t>B</t>
        </is>
      </c>
      <c r="L485" s="7" t="inlineStr">
        <is>
          <t>Follows the class</t>
        </is>
      </c>
      <c r="M485" s="51" t="n">
        <v>7</v>
      </c>
      <c r="N485" s="7" t="inlineStr">
        <is>
          <t>Declared by the retailer</t>
        </is>
      </c>
      <c r="O485" s="54" t="n">
        <v>7</v>
      </c>
      <c r="P485" s="54" t="n">
        <v>0</v>
      </c>
      <c r="Q485" s="7" t="inlineStr">
        <is>
          <t>yes</t>
        </is>
      </c>
      <c r="R485" s="7" t="inlineStr">
        <is>
          <t>whole</t>
        </is>
      </c>
      <c r="S485" s="7" t="inlineStr">
        <is>
          <t>FG1</t>
        </is>
      </c>
      <c r="T485" s="7" t="inlineStr">
        <is>
          <t>Pulses</t>
        </is>
      </c>
      <c r="U485" s="7" t="inlineStr">
        <is>
          <t>plant</t>
        </is>
      </c>
      <c r="V485" s="7" t="n"/>
      <c r="W485" s="7" t="n"/>
      <c r="X485" s="55" t="n">
        <v>1</v>
      </c>
      <c r="Y485" s="50" t="n">
        <v>0.2</v>
      </c>
      <c r="Z485" s="7" t="inlineStr">
        <is>
          <t>declared</t>
        </is>
      </c>
      <c r="AA485" s="19">
        <f>IF(ISBLANK(Welcome!D511),"",Welcome!D511)</f>
        <v/>
      </c>
      <c r="AB485" s="29">
        <f>IF(ISBLANK(Welcome!E511),"",Welcome!E511)</f>
        <v/>
      </c>
      <c r="AC485" s="29">
        <f>IF(N(AB485)&gt;0,N(AB485),N(AA485)*Y485)</f>
        <v/>
      </c>
      <c r="AD485" s="29">
        <f>IF(H485="yes",AC485,0)</f>
        <v/>
      </c>
      <c r="AE485" s="29">
        <f>AD485*N(M485)/100</f>
        <v/>
      </c>
      <c r="AF485" s="29">
        <f>AD485*N(O485)/100</f>
        <v/>
      </c>
      <c r="AG485" s="29">
        <f>AD485*N(P485)/100</f>
        <v/>
      </c>
      <c r="AH485" s="50">
        <f>IF(Q485="yes",AD485/1000,0)</f>
        <v/>
      </c>
      <c r="AI485" s="50">
        <f>IF(S485="FG2",AH485*X485,AH485)</f>
        <v/>
      </c>
    </row>
    <row r="486">
      <c r="A486" s="7" t="inlineStr">
        <is>
          <t>HM00138</t>
        </is>
      </c>
      <c r="B486" s="16" t="inlineStr">
        <is>
          <t>4012345565492</t>
        </is>
      </c>
      <c r="C486" s="7" t="inlineStr">
        <is>
          <t>HM STRAWB MILKSHAKE 330ML</t>
        </is>
      </c>
      <c r="D486" s="7" t="inlineStr">
        <is>
          <t>Strawberry milkshake, 330ml</t>
        </is>
      </c>
      <c r="E486" s="7" t="inlineStr">
        <is>
          <t>Harbour Market</t>
        </is>
      </c>
      <c r="F486" s="7" t="inlineStr">
        <is>
          <t>Dairy &amp; Eggs</t>
        </is>
      </c>
      <c r="G486" s="7" t="inlineStr">
        <is>
          <t>Milk Drinks</t>
        </is>
      </c>
      <c r="H486" s="7" t="inlineStr">
        <is>
          <t>yes</t>
        </is>
      </c>
      <c r="I486" s="7" t="inlineStr">
        <is>
          <t>Animal core</t>
        </is>
      </c>
      <c r="J486" s="7" t="inlineStr">
        <is>
          <t>Milk, yoghurt and cream</t>
        </is>
      </c>
      <c r="K486" s="7" t="inlineStr">
        <is>
          <t>B</t>
        </is>
      </c>
      <c r="L486" s="7" t="inlineStr">
        <is>
          <t>First ingredient</t>
        </is>
      </c>
      <c r="M486" s="51" t="n">
        <v>3.4</v>
      </c>
      <c r="N486" s="7" t="inlineStr">
        <is>
          <t>Declared by the retailer</t>
        </is>
      </c>
      <c r="O486" s="54" t="n">
        <v>0</v>
      </c>
      <c r="P486" s="54" t="n">
        <v>3.4</v>
      </c>
      <c r="Q486" s="7" t="inlineStr">
        <is>
          <t>yes</t>
        </is>
      </c>
      <c r="R486" s="7" t="inlineStr">
        <is>
          <t>whole</t>
        </is>
      </c>
      <c r="S486" s="7" t="inlineStr">
        <is>
          <t>FG2</t>
        </is>
      </c>
      <c r="T486" s="7" t="inlineStr">
        <is>
          <t>Dairy</t>
        </is>
      </c>
      <c r="U486" s="7" t="inlineStr">
        <is>
          <t>animal</t>
        </is>
      </c>
      <c r="V486" s="7" t="n"/>
      <c r="W486" s="7" t="n"/>
      <c r="X486" s="55" t="n">
        <v>1</v>
      </c>
      <c r="Y486" s="50" t="n">
        <v>0.34</v>
      </c>
      <c r="Z486" s="7" t="inlineStr">
        <is>
          <t>declared</t>
        </is>
      </c>
      <c r="AA486" s="19">
        <f>IF(ISBLANK(Welcome!D512),"",Welcome!D512)</f>
        <v/>
      </c>
      <c r="AB486" s="29">
        <f>IF(ISBLANK(Welcome!E512),"",Welcome!E512)</f>
        <v/>
      </c>
      <c r="AC486" s="29">
        <f>IF(N(AB486)&gt;0,N(AB486),N(AA486)*Y486)</f>
        <v/>
      </c>
      <c r="AD486" s="29">
        <f>IF(H486="yes",AC486,0)</f>
        <v/>
      </c>
      <c r="AE486" s="29">
        <f>AD486*N(M486)/100</f>
        <v/>
      </c>
      <c r="AF486" s="29">
        <f>AD486*N(O486)/100</f>
        <v/>
      </c>
      <c r="AG486" s="29">
        <f>AD486*N(P486)/100</f>
        <v/>
      </c>
      <c r="AH486" s="50">
        <f>IF(Q486="yes",AD486/1000,0)</f>
        <v/>
      </c>
      <c r="AI486" s="50">
        <f>IF(S486="FG2",AH486*X486,AH486)</f>
        <v/>
      </c>
    </row>
    <row r="487">
      <c r="A487" s="7" t="inlineStr">
        <is>
          <t>HM00563</t>
        </is>
      </c>
      <c r="B487" s="16" t="inlineStr">
        <is>
          <t>3012345213028</t>
        </is>
      </c>
      <c r="C487" s="7" t="inlineStr">
        <is>
          <t>HM SARDINES OLV OIL 4X110G</t>
        </is>
      </c>
      <c r="D487" s="7" t="inlineStr">
        <is>
          <t>Sardines in olive oil, 4x110g</t>
        </is>
      </c>
      <c r="E487" s="7" t="inlineStr">
        <is>
          <t>Harbour Market</t>
        </is>
      </c>
      <c r="F487" s="7" t="inlineStr">
        <is>
          <t>Fish &amp; Seafood</t>
        </is>
      </c>
      <c r="G487" s="7" t="inlineStr">
        <is>
          <t>Canned Fish</t>
        </is>
      </c>
      <c r="H487" s="7" t="inlineStr">
        <is>
          <t>yes</t>
        </is>
      </c>
      <c r="I487" s="7" t="inlineStr">
        <is>
          <t>Animal core</t>
        </is>
      </c>
      <c r="J487" s="7" t="inlineStr">
        <is>
          <t>Fish and seafood</t>
        </is>
      </c>
      <c r="K487" s="7" t="inlineStr">
        <is>
          <t>A</t>
        </is>
      </c>
      <c r="L487" s="7" t="inlineStr">
        <is>
          <t>All ingredients on one side</t>
        </is>
      </c>
      <c r="M487" s="51" t="n">
        <v>22.7</v>
      </c>
      <c r="N487" s="7" t="inlineStr">
        <is>
          <t>Declared by the retailer</t>
        </is>
      </c>
      <c r="O487" s="54" t="n">
        <v>0</v>
      </c>
      <c r="P487" s="54" t="n">
        <v>22.7</v>
      </c>
      <c r="Q487" s="7" t="inlineStr">
        <is>
          <t>yes</t>
        </is>
      </c>
      <c r="R487" s="7" t="inlineStr">
        <is>
          <t>whole</t>
        </is>
      </c>
      <c r="S487" s="7" t="inlineStr">
        <is>
          <t>FG1</t>
        </is>
      </c>
      <c r="T487" s="7" t="inlineStr">
        <is>
          <t>Fish &amp; shellfish</t>
        </is>
      </c>
      <c r="U487" s="7" t="inlineStr">
        <is>
          <t>animal</t>
        </is>
      </c>
      <c r="V487" s="7" t="n"/>
      <c r="W487" s="7" t="n"/>
      <c r="X487" s="55" t="n">
        <v>1</v>
      </c>
      <c r="Y487" s="50" t="n">
        <v>0.44</v>
      </c>
      <c r="Z487" s="7" t="inlineStr">
        <is>
          <t>declared</t>
        </is>
      </c>
      <c r="AA487" s="19">
        <f>IF(ISBLANK(Welcome!D513),"",Welcome!D513)</f>
        <v/>
      </c>
      <c r="AB487" s="29">
        <f>IF(ISBLANK(Welcome!E513),"",Welcome!E513)</f>
        <v/>
      </c>
      <c r="AC487" s="29">
        <f>IF(N(AB487)&gt;0,N(AB487),N(AA487)*Y487)</f>
        <v/>
      </c>
      <c r="AD487" s="29">
        <f>IF(H487="yes",AC487,0)</f>
        <v/>
      </c>
      <c r="AE487" s="29">
        <f>AD487*N(M487)/100</f>
        <v/>
      </c>
      <c r="AF487" s="29">
        <f>AD487*N(O487)/100</f>
        <v/>
      </c>
      <c r="AG487" s="29">
        <f>AD487*N(P487)/100</f>
        <v/>
      </c>
      <c r="AH487" s="50">
        <f>IF(Q487="yes",AD487/1000,0)</f>
        <v/>
      </c>
      <c r="AI487" s="50">
        <f>IF(S487="FG2",AH487*X487,AH487)</f>
        <v/>
      </c>
    </row>
    <row r="488">
      <c r="A488" s="7" t="inlineStr">
        <is>
          <t>HM00091</t>
        </is>
      </c>
      <c r="B488" s="16" t="inlineStr">
        <is>
          <t>5012345712765</t>
        </is>
      </c>
      <c r="C488" s="7" t="inlineStr">
        <is>
          <t>RED LEICESTER 800G ALDERWICK</t>
        </is>
      </c>
      <c r="D488" s="7" t="inlineStr">
        <is>
          <t>Red Leicester, 800g</t>
        </is>
      </c>
      <c r="E488" s="7" t="inlineStr">
        <is>
          <t>Alderwick</t>
        </is>
      </c>
      <c r="F488" s="7" t="inlineStr">
        <is>
          <t>Cheese</t>
        </is>
      </c>
      <c r="G488" s="7" t="inlineStr">
        <is>
          <t>Hard Cheese</t>
        </is>
      </c>
      <c r="H488" s="7" t="inlineStr">
        <is>
          <t>yes</t>
        </is>
      </c>
      <c r="I488" s="7" t="inlineStr">
        <is>
          <t>Animal core</t>
        </is>
      </c>
      <c r="J488" s="7" t="inlineStr">
        <is>
          <t>Cheese</t>
        </is>
      </c>
      <c r="K488" s="7" t="inlineStr">
        <is>
          <t>B</t>
        </is>
      </c>
      <c r="L488" s="7" t="inlineStr">
        <is>
          <t>Follows the class</t>
        </is>
      </c>
      <c r="M488" s="51" t="n">
        <v>23.7</v>
      </c>
      <c r="N488" s="7" t="inlineStr">
        <is>
          <t>Declared by the retailer</t>
        </is>
      </c>
      <c r="O488" s="54" t="n">
        <v>0</v>
      </c>
      <c r="P488" s="54" t="n">
        <v>23.7</v>
      </c>
      <c r="Q488" s="7" t="inlineStr">
        <is>
          <t>yes</t>
        </is>
      </c>
      <c r="R488" s="7" t="inlineStr">
        <is>
          <t>whole</t>
        </is>
      </c>
      <c r="S488" s="7" t="inlineStr">
        <is>
          <t>FG2</t>
        </is>
      </c>
      <c r="T488" s="7" t="inlineStr">
        <is>
          <t>Dairy</t>
        </is>
      </c>
      <c r="U488" s="7" t="inlineStr">
        <is>
          <t>animal</t>
        </is>
      </c>
      <c r="V488" s="7" t="n"/>
      <c r="W488" s="7" t="n"/>
      <c r="X488" s="55" t="n">
        <v>10</v>
      </c>
      <c r="Y488" s="50" t="n">
        <v>0.8</v>
      </c>
      <c r="Z488" s="7" t="inlineStr">
        <is>
          <t>declared</t>
        </is>
      </c>
      <c r="AA488" s="19">
        <f>IF(ISBLANK(Welcome!D514),"",Welcome!D514)</f>
        <v/>
      </c>
      <c r="AB488" s="29">
        <f>IF(ISBLANK(Welcome!E514),"",Welcome!E514)</f>
        <v/>
      </c>
      <c r="AC488" s="29">
        <f>IF(N(AB488)&gt;0,N(AB488),N(AA488)*Y488)</f>
        <v/>
      </c>
      <c r="AD488" s="29">
        <f>IF(H488="yes",AC488,0)</f>
        <v/>
      </c>
      <c r="AE488" s="29">
        <f>AD488*N(M488)/100</f>
        <v/>
      </c>
      <c r="AF488" s="29">
        <f>AD488*N(O488)/100</f>
        <v/>
      </c>
      <c r="AG488" s="29">
        <f>AD488*N(P488)/100</f>
        <v/>
      </c>
      <c r="AH488" s="50">
        <f>IF(Q488="yes",AD488/1000,0)</f>
        <v/>
      </c>
      <c r="AI488" s="50">
        <f>IF(S488="FG2",AH488*X488,AH488)</f>
        <v/>
      </c>
    </row>
    <row r="489">
      <c r="A489" s="7" t="inlineStr">
        <is>
          <t>HM00155</t>
        </is>
      </c>
      <c r="B489" s="16" t="inlineStr">
        <is>
          <t>5012345383439</t>
        </is>
      </c>
      <c r="C489" s="7" t="inlineStr">
        <is>
          <t>PENROCK CRINKLE CUT CHIPS 750G</t>
        </is>
      </c>
      <c r="D489" s="7" t="inlineStr">
        <is>
          <t>Crinkle-cut chips, 750g</t>
        </is>
      </c>
      <c r="E489" s="7" t="inlineStr">
        <is>
          <t>Penrock</t>
        </is>
      </c>
      <c r="F489" s="7" t="inlineStr">
        <is>
          <t>Frozen</t>
        </is>
      </c>
      <c r="G489" s="7" t="inlineStr">
        <is>
          <t>Frozen Potatoes</t>
        </is>
      </c>
      <c r="H489" s="7" t="inlineStr">
        <is>
          <t>yes</t>
        </is>
      </c>
      <c r="I489" s="7" t="inlineStr">
        <is>
          <t>Plant-based non-core</t>
        </is>
      </c>
      <c r="J489" s="7" t="inlineStr">
        <is>
          <t>Discretionary products</t>
        </is>
      </c>
      <c r="K489" s="7" t="inlineStr">
        <is>
          <t>A</t>
        </is>
      </c>
      <c r="L489" s="7" t="inlineStr">
        <is>
          <t>All ingredients on one side</t>
        </is>
      </c>
      <c r="M489" s="51" t="n">
        <v>2.5</v>
      </c>
      <c r="N489" s="7" t="inlineStr">
        <is>
          <t>Declared by the retailer</t>
        </is>
      </c>
      <c r="O489" s="54" t="n">
        <v>2.5</v>
      </c>
      <c r="P489" s="54" t="n">
        <v>0</v>
      </c>
      <c r="Q489" s="7" t="inlineStr">
        <is>
          <t>yes</t>
        </is>
      </c>
      <c r="R489" s="7" t="inlineStr">
        <is>
          <t>whole</t>
        </is>
      </c>
      <c r="S489" s="7" t="inlineStr">
        <is>
          <t>FG7</t>
        </is>
      </c>
      <c r="T489" s="7" t="n"/>
      <c r="U489" s="7" t="inlineStr">
        <is>
          <t>plant</t>
        </is>
      </c>
      <c r="V489" s="7" t="n"/>
      <c r="W489" s="7" t="n"/>
      <c r="X489" s="55" t="n">
        <v>1</v>
      </c>
      <c r="Y489" s="50" t="n">
        <v>0.75</v>
      </c>
      <c r="Z489" s="7" t="inlineStr">
        <is>
          <t>declared</t>
        </is>
      </c>
      <c r="AA489" s="19">
        <f>IF(ISBLANK(Welcome!D515),"",Welcome!D515)</f>
        <v/>
      </c>
      <c r="AB489" s="29">
        <f>IF(ISBLANK(Welcome!E515),"",Welcome!E515)</f>
        <v/>
      </c>
      <c r="AC489" s="29">
        <f>IF(N(AB489)&gt;0,N(AB489),N(AA489)*Y489)</f>
        <v/>
      </c>
      <c r="AD489" s="29">
        <f>IF(H489="yes",AC489,0)</f>
        <v/>
      </c>
      <c r="AE489" s="29">
        <f>AD489*N(M489)/100</f>
        <v/>
      </c>
      <c r="AF489" s="29">
        <f>AD489*N(O489)/100</f>
        <v/>
      </c>
      <c r="AG489" s="29">
        <f>AD489*N(P489)/100</f>
        <v/>
      </c>
      <c r="AH489" s="50">
        <f>IF(Q489="yes",AD489/1000,0)</f>
        <v/>
      </c>
      <c r="AI489" s="50">
        <f>IF(S489="FG2",AH489*X489,AH489)</f>
        <v/>
      </c>
    </row>
    <row r="490">
      <c r="A490" s="7" t="inlineStr">
        <is>
          <t>HM00790</t>
        </is>
      </c>
      <c r="B490" s="16" t="inlineStr">
        <is>
          <t>8712345660765</t>
        </is>
      </c>
      <c r="C490" s="7" t="inlineStr">
        <is>
          <t>HM MANGO RIPE EACH</t>
        </is>
      </c>
      <c r="D490" s="7" t="inlineStr">
        <is>
          <t>Ripe mango</t>
        </is>
      </c>
      <c r="E490" s="7" t="inlineStr">
        <is>
          <t>Harbour Market</t>
        </is>
      </c>
      <c r="F490" s="7" t="inlineStr">
        <is>
          <t>Fruit &amp; Vegetables</t>
        </is>
      </c>
      <c r="G490" s="7" t="inlineStr">
        <is>
          <t>Exotic Fruit</t>
        </is>
      </c>
      <c r="H490" s="7" t="inlineStr">
        <is>
          <t>yes</t>
        </is>
      </c>
      <c r="I490" s="7" t="inlineStr">
        <is>
          <t>Plant-based non-core</t>
        </is>
      </c>
      <c r="J490" s="7" t="inlineStr">
        <is>
          <t>Fruit and vegetables</t>
        </is>
      </c>
      <c r="K490" s="7" t="inlineStr">
        <is>
          <t>B</t>
        </is>
      </c>
      <c r="L490" s="7" t="inlineStr">
        <is>
          <t>Follows the class</t>
        </is>
      </c>
      <c r="M490" s="51" t="n">
        <v>0.78</v>
      </c>
      <c r="N490" s="7" t="inlineStr">
        <is>
          <t>Declared by the retailer</t>
        </is>
      </c>
      <c r="O490" s="54" t="n">
        <v>0.78</v>
      </c>
      <c r="P490" s="54" t="n">
        <v>0</v>
      </c>
      <c r="Q490" s="7" t="inlineStr">
        <is>
          <t>yes</t>
        </is>
      </c>
      <c r="R490" s="7" t="inlineStr">
        <is>
          <t>whole</t>
        </is>
      </c>
      <c r="S490" s="7" t="inlineStr">
        <is>
          <t>FG4</t>
        </is>
      </c>
      <c r="T490" s="7" t="n"/>
      <c r="U490" s="7" t="inlineStr">
        <is>
          <t>plant</t>
        </is>
      </c>
      <c r="V490" s="7" t="n"/>
      <c r="W490" s="7" t="n"/>
      <c r="X490" s="55" t="n">
        <v>1</v>
      </c>
      <c r="Y490" s="50" t="n">
        <v>0.35</v>
      </c>
      <c r="Z490" s="7" t="inlineStr">
        <is>
          <t>typical_piece</t>
        </is>
      </c>
      <c r="AA490" s="19">
        <f>IF(ISBLANK(Welcome!D516),"",Welcome!D516)</f>
        <v/>
      </c>
      <c r="AB490" s="29">
        <f>IF(ISBLANK(Welcome!E516),"",Welcome!E516)</f>
        <v/>
      </c>
      <c r="AC490" s="29">
        <f>IF(N(AB490)&gt;0,N(AB490),N(AA490)*Y490)</f>
        <v/>
      </c>
      <c r="AD490" s="29">
        <f>IF(H490="yes",AC490,0)</f>
        <v/>
      </c>
      <c r="AE490" s="29">
        <f>AD490*N(M490)/100</f>
        <v/>
      </c>
      <c r="AF490" s="29">
        <f>AD490*N(O490)/100</f>
        <v/>
      </c>
      <c r="AG490" s="29">
        <f>AD490*N(P490)/100</f>
        <v/>
      </c>
      <c r="AH490" s="50">
        <f>IF(Q490="yes",AD490/1000,0)</f>
        <v/>
      </c>
      <c r="AI490" s="50">
        <f>IF(S490="FG2",AH490*X490,AH490)</f>
        <v/>
      </c>
    </row>
    <row r="491">
      <c r="A491" s="7" t="inlineStr">
        <is>
          <t>HM00593</t>
        </is>
      </c>
      <c r="B491" s="16" t="inlineStr">
        <is>
          <t>5012345938790</t>
        </is>
      </c>
      <c r="C491" s="7" t="inlineStr">
        <is>
          <t>TOMATO KETCHUP 200G CASTELNA</t>
        </is>
      </c>
      <c r="D491" s="7" t="inlineStr">
        <is>
          <t>Tomato ketchup, 200g</t>
        </is>
      </c>
      <c r="E491" s="7" t="inlineStr">
        <is>
          <t>Castelna</t>
        </is>
      </c>
      <c r="F491" s="7" t="inlineStr">
        <is>
          <t>Grocery</t>
        </is>
      </c>
      <c r="G491" s="7" t="inlineStr">
        <is>
          <t>Condiments</t>
        </is>
      </c>
      <c r="H491" s="7" t="inlineStr">
        <is>
          <t>yes</t>
        </is>
      </c>
      <c r="I491" s="7" t="inlineStr">
        <is>
          <t>Plant-based non-core</t>
        </is>
      </c>
      <c r="J491" s="7" t="inlineStr">
        <is>
          <t>Outside the WWF scope</t>
        </is>
      </c>
      <c r="K491" s="7" t="inlineStr">
        <is>
          <t>B</t>
        </is>
      </c>
      <c r="L491" s="7" t="inlineStr">
        <is>
          <t>Follows the class</t>
        </is>
      </c>
      <c r="M491" s="51" t="n">
        <v>1.2</v>
      </c>
      <c r="N491" s="7" t="inlineStr">
        <is>
          <t>Altera reference base</t>
        </is>
      </c>
      <c r="O491" s="54" t="n">
        <v>1.2</v>
      </c>
      <c r="P491" s="54" t="n">
        <v>0</v>
      </c>
      <c r="Q491" s="7" t="inlineStr">
        <is>
          <t>no</t>
        </is>
      </c>
      <c r="R491" s="7" t="n"/>
      <c r="S491" s="7" t="n"/>
      <c r="T491" s="7" t="n"/>
      <c r="U491" s="7" t="n"/>
      <c r="V491" s="7" t="n"/>
      <c r="W491" s="7" t="inlineStr">
        <is>
          <t>condiment</t>
        </is>
      </c>
      <c r="X491" s="55" t="n">
        <v>1</v>
      </c>
      <c r="Y491" s="50" t="n">
        <v>0.2</v>
      </c>
      <c r="Z491" s="7" t="inlineStr">
        <is>
          <t>declared</t>
        </is>
      </c>
      <c r="AA491" s="19">
        <f>IF(ISBLANK(Welcome!D517),"",Welcome!D517)</f>
        <v/>
      </c>
      <c r="AB491" s="29">
        <f>IF(ISBLANK(Welcome!E517),"",Welcome!E517)</f>
        <v/>
      </c>
      <c r="AC491" s="29">
        <f>IF(N(AB491)&gt;0,N(AB491),N(AA491)*Y491)</f>
        <v/>
      </c>
      <c r="AD491" s="29">
        <f>IF(H491="yes",AC491,0)</f>
        <v/>
      </c>
      <c r="AE491" s="29">
        <f>AD491*N(M491)/100</f>
        <v/>
      </c>
      <c r="AF491" s="29">
        <f>AD491*N(O491)/100</f>
        <v/>
      </c>
      <c r="AG491" s="29">
        <f>AD491*N(P491)/100</f>
        <v/>
      </c>
      <c r="AH491" s="50">
        <f>IF(Q491="yes",AD491/1000,0)</f>
        <v/>
      </c>
      <c r="AI491" s="50">
        <f>IF(S491="FG2",AH491*X491,AH491)</f>
        <v/>
      </c>
    </row>
    <row r="492">
      <c r="A492" s="7" t="inlineStr">
        <is>
          <t>HM00311</t>
        </is>
      </c>
      <c r="B492" s="16" t="inlineStr">
        <is>
          <t>3012345738910</t>
        </is>
      </c>
      <c r="C492" s="7" t="inlineStr">
        <is>
          <t>HM STRAWBERRIES 500G</t>
        </is>
      </c>
      <c r="D492" s="7" t="inlineStr">
        <is>
          <t>Strawberries, 500g</t>
        </is>
      </c>
      <c r="E492" s="7" t="inlineStr">
        <is>
          <t>Harbour Market</t>
        </is>
      </c>
      <c r="F492" s="7" t="inlineStr">
        <is>
          <t>Fruit &amp; Vegetables</t>
        </is>
      </c>
      <c r="G492" s="7" t="inlineStr">
        <is>
          <t>Fruit</t>
        </is>
      </c>
      <c r="H492" s="7" t="inlineStr">
        <is>
          <t>yes</t>
        </is>
      </c>
      <c r="I492" s="7" t="inlineStr">
        <is>
          <t>Plant-based non-core</t>
        </is>
      </c>
      <c r="J492" s="7" t="inlineStr">
        <is>
          <t>Fruit and vegetables</t>
        </is>
      </c>
      <c r="K492" s="7" t="inlineStr">
        <is>
          <t>B</t>
        </is>
      </c>
      <c r="L492" s="7" t="inlineStr">
        <is>
          <t>Follows the class</t>
        </is>
      </c>
      <c r="M492" s="51" t="n">
        <v>0.71</v>
      </c>
      <c r="N492" s="7" t="inlineStr">
        <is>
          <t>Declared by the retailer</t>
        </is>
      </c>
      <c r="O492" s="54" t="n">
        <v>0.71</v>
      </c>
      <c r="P492" s="54" t="n">
        <v>0</v>
      </c>
      <c r="Q492" s="7" t="inlineStr">
        <is>
          <t>yes</t>
        </is>
      </c>
      <c r="R492" s="7" t="inlineStr">
        <is>
          <t>whole</t>
        </is>
      </c>
      <c r="S492" s="7" t="inlineStr">
        <is>
          <t>FG4</t>
        </is>
      </c>
      <c r="T492" s="7" t="n"/>
      <c r="U492" s="7" t="inlineStr">
        <is>
          <t>plant</t>
        </is>
      </c>
      <c r="V492" s="7" t="n"/>
      <c r="W492" s="7" t="n"/>
      <c r="X492" s="55" t="n">
        <v>1</v>
      </c>
      <c r="Y492" s="50" t="n">
        <v>0.5</v>
      </c>
      <c r="Z492" s="7" t="inlineStr">
        <is>
          <t>declared</t>
        </is>
      </c>
      <c r="AA492" s="19">
        <f>IF(ISBLANK(Welcome!D518),"",Welcome!D518)</f>
        <v/>
      </c>
      <c r="AB492" s="29">
        <f>IF(ISBLANK(Welcome!E518),"",Welcome!E518)</f>
        <v/>
      </c>
      <c r="AC492" s="29">
        <f>IF(N(AB492)&gt;0,N(AB492),N(AA492)*Y492)</f>
        <v/>
      </c>
      <c r="AD492" s="29">
        <f>IF(H492="yes",AC492,0)</f>
        <v/>
      </c>
      <c r="AE492" s="29">
        <f>AD492*N(M492)/100</f>
        <v/>
      </c>
      <c r="AF492" s="29">
        <f>AD492*N(O492)/100</f>
        <v/>
      </c>
      <c r="AG492" s="29">
        <f>AD492*N(P492)/100</f>
        <v/>
      </c>
      <c r="AH492" s="50">
        <f>IF(Q492="yes",AD492/1000,0)</f>
        <v/>
      </c>
      <c r="AI492" s="50">
        <f>IF(S492="FG2",AH492*X492,AH492)</f>
        <v/>
      </c>
    </row>
    <row r="493">
      <c r="A493" s="7" t="inlineStr">
        <is>
          <t>HM00797</t>
        </is>
      </c>
      <c r="B493" s="16" t="inlineStr">
        <is>
          <t>8712345022143</t>
        </is>
      </c>
      <c r="C493" s="7" t="inlineStr">
        <is>
          <t>ALDERWICK EMMENTAL SLICES 800G</t>
        </is>
      </c>
      <c r="D493" s="7" t="inlineStr">
        <is>
          <t>Emmental slices, 800g</t>
        </is>
      </c>
      <c r="E493" s="7" t="inlineStr">
        <is>
          <t>Alderwick</t>
        </is>
      </c>
      <c r="F493" s="7" t="inlineStr">
        <is>
          <t>Cheese</t>
        </is>
      </c>
      <c r="G493" s="7" t="inlineStr">
        <is>
          <t>Hard Cheese</t>
        </is>
      </c>
      <c r="H493" s="7" t="inlineStr">
        <is>
          <t>yes</t>
        </is>
      </c>
      <c r="I493" s="7" t="inlineStr">
        <is>
          <t>Animal core</t>
        </is>
      </c>
      <c r="J493" s="7" t="inlineStr">
        <is>
          <t>Cheese</t>
        </is>
      </c>
      <c r="K493" s="7" t="inlineStr">
        <is>
          <t>B</t>
        </is>
      </c>
      <c r="L493" s="7" t="inlineStr">
        <is>
          <t>Follows the class</t>
        </is>
      </c>
      <c r="M493" s="51" t="n">
        <v>26.7</v>
      </c>
      <c r="N493" s="7" t="inlineStr">
        <is>
          <t>Altera reference base</t>
        </is>
      </c>
      <c r="O493" s="54" t="n">
        <v>0</v>
      </c>
      <c r="P493" s="54" t="n">
        <v>26.7</v>
      </c>
      <c r="Q493" s="7" t="inlineStr">
        <is>
          <t>yes</t>
        </is>
      </c>
      <c r="R493" s="7" t="inlineStr">
        <is>
          <t>whole</t>
        </is>
      </c>
      <c r="S493" s="7" t="inlineStr">
        <is>
          <t>FG2</t>
        </is>
      </c>
      <c r="T493" s="7" t="inlineStr">
        <is>
          <t>Dairy</t>
        </is>
      </c>
      <c r="U493" s="7" t="inlineStr">
        <is>
          <t>animal</t>
        </is>
      </c>
      <c r="V493" s="7" t="n"/>
      <c r="W493" s="7" t="n"/>
      <c r="X493" s="55" t="n">
        <v>10</v>
      </c>
      <c r="Y493" s="50" t="n">
        <v>0.8</v>
      </c>
      <c r="Z493" s="7" t="inlineStr">
        <is>
          <t>declared</t>
        </is>
      </c>
      <c r="AA493" s="19">
        <f>IF(ISBLANK(Welcome!D519),"",Welcome!D519)</f>
        <v/>
      </c>
      <c r="AB493" s="29">
        <f>IF(ISBLANK(Welcome!E519),"",Welcome!E519)</f>
        <v/>
      </c>
      <c r="AC493" s="29">
        <f>IF(N(AB493)&gt;0,N(AB493),N(AA493)*Y493)</f>
        <v/>
      </c>
      <c r="AD493" s="29">
        <f>IF(H493="yes",AC493,0)</f>
        <v/>
      </c>
      <c r="AE493" s="29">
        <f>AD493*N(M493)/100</f>
        <v/>
      </c>
      <c r="AF493" s="29">
        <f>AD493*N(O493)/100</f>
        <v/>
      </c>
      <c r="AG493" s="29">
        <f>AD493*N(P493)/100</f>
        <v/>
      </c>
      <c r="AH493" s="50">
        <f>IF(Q493="yes",AD493/1000,0)</f>
        <v/>
      </c>
      <c r="AI493" s="50">
        <f>IF(S493="FG2",AH493*X493,AH493)</f>
        <v/>
      </c>
    </row>
    <row r="494">
      <c r="A494" s="7" t="inlineStr">
        <is>
          <t>HM00072</t>
        </is>
      </c>
      <c r="B494" s="16" t="inlineStr">
        <is>
          <t>3012345093644</t>
        </is>
      </c>
      <c r="C494" s="7" t="inlineStr">
        <is>
          <t>HM SWEETCORN COBS 300G</t>
        </is>
      </c>
      <c r="D494" s="7" t="inlineStr">
        <is>
          <t>Sweetcorn cobs, 300g</t>
        </is>
      </c>
      <c r="E494" s="7" t="inlineStr">
        <is>
          <t>Harbour Market</t>
        </is>
      </c>
      <c r="F494" s="7" t="inlineStr">
        <is>
          <t>Fruit &amp; Vegetables</t>
        </is>
      </c>
      <c r="G494" s="7" t="inlineStr">
        <is>
          <t>Vegetables</t>
        </is>
      </c>
      <c r="H494" s="7" t="inlineStr">
        <is>
          <t>yes</t>
        </is>
      </c>
      <c r="I494" s="7" t="inlineStr">
        <is>
          <t>Plant-based non-core</t>
        </is>
      </c>
      <c r="J494" s="7" t="inlineStr">
        <is>
          <t>Fruit and vegetables</t>
        </is>
      </c>
      <c r="K494" s="7" t="inlineStr">
        <is>
          <t>B</t>
        </is>
      </c>
      <c r="L494" s="7" t="inlineStr">
        <is>
          <t>Follows the class</t>
        </is>
      </c>
      <c r="M494" s="51" t="n">
        <v>3.1</v>
      </c>
      <c r="N494" s="7" t="inlineStr">
        <is>
          <t>National food table (CIQUAL in France)</t>
        </is>
      </c>
      <c r="O494" s="54" t="n">
        <v>3.1</v>
      </c>
      <c r="P494" s="54" t="n">
        <v>0</v>
      </c>
      <c r="Q494" s="7" t="inlineStr">
        <is>
          <t>yes</t>
        </is>
      </c>
      <c r="R494" s="7" t="inlineStr">
        <is>
          <t>whole</t>
        </is>
      </c>
      <c r="S494" s="7" t="inlineStr">
        <is>
          <t>FG4</t>
        </is>
      </c>
      <c r="T494" s="7" t="n"/>
      <c r="U494" s="7" t="inlineStr">
        <is>
          <t>plant</t>
        </is>
      </c>
      <c r="V494" s="7" t="n"/>
      <c r="W494" s="7" t="n"/>
      <c r="X494" s="55" t="n">
        <v>1</v>
      </c>
      <c r="Y494" s="50" t="n">
        <v>0.3</v>
      </c>
      <c r="Z494" s="7" t="inlineStr">
        <is>
          <t>declared</t>
        </is>
      </c>
      <c r="AA494" s="19">
        <f>IF(ISBLANK(Welcome!D520),"",Welcome!D520)</f>
        <v/>
      </c>
      <c r="AB494" s="29">
        <f>IF(ISBLANK(Welcome!E520),"",Welcome!E520)</f>
        <v/>
      </c>
      <c r="AC494" s="29">
        <f>IF(N(AB494)&gt;0,N(AB494),N(AA494)*Y494)</f>
        <v/>
      </c>
      <c r="AD494" s="29">
        <f>IF(H494="yes",AC494,0)</f>
        <v/>
      </c>
      <c r="AE494" s="29">
        <f>AD494*N(M494)/100</f>
        <v/>
      </c>
      <c r="AF494" s="29">
        <f>AD494*N(O494)/100</f>
        <v/>
      </c>
      <c r="AG494" s="29">
        <f>AD494*N(P494)/100</f>
        <v/>
      </c>
      <c r="AH494" s="50">
        <f>IF(Q494="yes",AD494/1000,0)</f>
        <v/>
      </c>
      <c r="AI494" s="50">
        <f>IF(S494="FG2",AH494*X494,AH494)</f>
        <v/>
      </c>
    </row>
    <row r="495">
      <c r="A495" s="7" t="inlineStr">
        <is>
          <t>HM00480</t>
        </is>
      </c>
      <c r="B495" s="16" t="inlineStr">
        <is>
          <t>4012345645439</t>
        </is>
      </c>
      <c r="C495" s="7" t="inlineStr">
        <is>
          <t>HM SUNFLOWER SPREAD 500G</t>
        </is>
      </c>
      <c r="D495" s="7" t="inlineStr">
        <is>
          <t>Sunflower spread, 500g</t>
        </is>
      </c>
      <c r="E495" s="7" t="inlineStr">
        <is>
          <t>Harbour Market</t>
        </is>
      </c>
      <c r="F495" s="7" t="inlineStr">
        <is>
          <t>Dairy &amp; Eggs</t>
        </is>
      </c>
      <c r="G495" s="7" t="inlineStr">
        <is>
          <t>Butter &amp; Spreads</t>
        </is>
      </c>
      <c r="H495" s="7" t="inlineStr">
        <is>
          <t>yes</t>
        </is>
      </c>
      <c r="I495" s="7" t="inlineStr">
        <is>
          <t>Plant-based non-core</t>
        </is>
      </c>
      <c r="J495" s="7" t="inlineStr">
        <is>
          <t>Other</t>
        </is>
      </c>
      <c r="K495" s="7" t="inlineStr">
        <is>
          <t>B</t>
        </is>
      </c>
      <c r="L495" s="7" t="inlineStr">
        <is>
          <t>Follows the class</t>
        </is>
      </c>
      <c r="M495" s="51" t="n">
        <v>0.1</v>
      </c>
      <c r="N495" s="7" t="inlineStr">
        <is>
          <t>Median of the family</t>
        </is>
      </c>
      <c r="O495" s="54" t="n">
        <v>0.1</v>
      </c>
      <c r="P495" s="54" t="n">
        <v>0</v>
      </c>
      <c r="Q495" s="7" t="inlineStr">
        <is>
          <t>yes</t>
        </is>
      </c>
      <c r="R495" s="7" t="inlineStr">
        <is>
          <t>whole</t>
        </is>
      </c>
      <c r="S495" s="7" t="inlineStr">
        <is>
          <t>FG3</t>
        </is>
      </c>
      <c r="T495" s="7" t="inlineStr">
        <is>
          <t>Plant-based fat</t>
        </is>
      </c>
      <c r="U495" s="7" t="inlineStr">
        <is>
          <t>plant</t>
        </is>
      </c>
      <c r="V495" s="7" t="n"/>
      <c r="W495" s="7" t="n"/>
      <c r="X495" s="55" t="n">
        <v>1</v>
      </c>
      <c r="Y495" s="50" t="n">
        <v>0.5</v>
      </c>
      <c r="Z495" s="7" t="inlineStr">
        <is>
          <t>declared</t>
        </is>
      </c>
      <c r="AA495" s="19">
        <f>IF(ISBLANK(Welcome!D521),"",Welcome!D521)</f>
        <v/>
      </c>
      <c r="AB495" s="29">
        <f>IF(ISBLANK(Welcome!E521),"",Welcome!E521)</f>
        <v/>
      </c>
      <c r="AC495" s="29">
        <f>IF(N(AB495)&gt;0,N(AB495),N(AA495)*Y495)</f>
        <v/>
      </c>
      <c r="AD495" s="29">
        <f>IF(H495="yes",AC495,0)</f>
        <v/>
      </c>
      <c r="AE495" s="29">
        <f>AD495*N(M495)/100</f>
        <v/>
      </c>
      <c r="AF495" s="29">
        <f>AD495*N(O495)/100</f>
        <v/>
      </c>
      <c r="AG495" s="29">
        <f>AD495*N(P495)/100</f>
        <v/>
      </c>
      <c r="AH495" s="50">
        <f>IF(Q495="yes",AD495/1000,0)</f>
        <v/>
      </c>
      <c r="AI495" s="50">
        <f>IF(S495="FG2",AH495*X495,AH495)</f>
        <v/>
      </c>
    </row>
    <row r="496">
      <c r="A496" s="7" t="inlineStr">
        <is>
          <t>HM00701</t>
        </is>
      </c>
      <c r="B496" s="16" t="inlineStr">
        <is>
          <t>2268106057400</t>
        </is>
      </c>
      <c r="C496" s="7" t="inlineStr">
        <is>
          <t>HM ICEBERG LETTUCE KG</t>
        </is>
      </c>
      <c r="D496" s="7" t="inlineStr">
        <is>
          <t>Iceberg lettuce</t>
        </is>
      </c>
      <c r="E496" s="7" t="inlineStr">
        <is>
          <t>Harbour Market</t>
        </is>
      </c>
      <c r="F496" s="7" t="inlineStr">
        <is>
          <t>Fruit &amp; Vegetables</t>
        </is>
      </c>
      <c r="G496" s="7" t="inlineStr">
        <is>
          <t>Vegetables</t>
        </is>
      </c>
      <c r="H496" s="7" t="inlineStr">
        <is>
          <t>yes</t>
        </is>
      </c>
      <c r="I496" s="7" t="inlineStr">
        <is>
          <t>Plant-based non-core</t>
        </is>
      </c>
      <c r="J496" s="7" t="inlineStr">
        <is>
          <t>Fruit and vegetables</t>
        </is>
      </c>
      <c r="K496" s="7" t="inlineStr">
        <is>
          <t>B</t>
        </is>
      </c>
      <c r="L496" s="7" t="inlineStr">
        <is>
          <t>Follows the class</t>
        </is>
      </c>
      <c r="M496" s="51" t="n">
        <v>1</v>
      </c>
      <c r="N496" s="7" t="inlineStr">
        <is>
          <t>Declared by the retailer</t>
        </is>
      </c>
      <c r="O496" s="54" t="n">
        <v>1</v>
      </c>
      <c r="P496" s="54" t="n">
        <v>0</v>
      </c>
      <c r="Q496" s="7" t="inlineStr">
        <is>
          <t>yes</t>
        </is>
      </c>
      <c r="R496" s="7" t="inlineStr">
        <is>
          <t>whole</t>
        </is>
      </c>
      <c r="S496" s="7" t="inlineStr">
        <is>
          <t>FG4</t>
        </is>
      </c>
      <c r="T496" s="7" t="n"/>
      <c r="U496" s="7" t="inlineStr">
        <is>
          <t>plant</t>
        </is>
      </c>
      <c r="V496" s="7" t="n"/>
      <c r="W496" s="7" t="n"/>
      <c r="X496" s="55" t="n">
        <v>1</v>
      </c>
      <c r="Y496" s="50" t="n">
        <v>1</v>
      </c>
      <c r="Z496" s="7" t="inlineStr">
        <is>
          <t>variable</t>
        </is>
      </c>
      <c r="AA496" s="19">
        <f>IF(ISBLANK(Welcome!D522),"",Welcome!D522)</f>
        <v/>
      </c>
      <c r="AB496" s="29">
        <f>IF(ISBLANK(Welcome!E522),"",Welcome!E522)</f>
        <v/>
      </c>
      <c r="AC496" s="29">
        <f>IF(N(AB496)&gt;0,N(AB496),N(AA496)*Y496)</f>
        <v/>
      </c>
      <c r="AD496" s="29">
        <f>IF(H496="yes",AC496,0)</f>
        <v/>
      </c>
      <c r="AE496" s="29">
        <f>AD496*N(M496)/100</f>
        <v/>
      </c>
      <c r="AF496" s="29">
        <f>AD496*N(O496)/100</f>
        <v/>
      </c>
      <c r="AG496" s="29">
        <f>AD496*N(P496)/100</f>
        <v/>
      </c>
      <c r="AH496" s="50">
        <f>IF(Q496="yes",AD496/1000,0)</f>
        <v/>
      </c>
      <c r="AI496" s="50">
        <f>IF(S496="FG2",AH496*X496,AH496)</f>
        <v/>
      </c>
    </row>
    <row r="497">
      <c r="A497" s="7" t="inlineStr">
        <is>
          <t>HM00526</t>
        </is>
      </c>
      <c r="B497" s="16" t="inlineStr">
        <is>
          <t>5012345434452</t>
        </is>
      </c>
      <c r="C497" s="7" t="inlineStr">
        <is>
          <t>COTTAGE PIE 400G QUILLAN</t>
        </is>
      </c>
      <c r="D497" s="7" t="inlineStr">
        <is>
          <t>Cottage pie, 400g</t>
        </is>
      </c>
      <c r="E497" s="7" t="inlineStr">
        <is>
          <t>Quillan</t>
        </is>
      </c>
      <c r="F497" s="7" t="inlineStr">
        <is>
          <t>Ready Meals</t>
        </is>
      </c>
      <c r="G497" s="7" t="inlineStr">
        <is>
          <t>Ready Meals</t>
        </is>
      </c>
      <c r="H497" s="7" t="inlineStr">
        <is>
          <t>yes</t>
        </is>
      </c>
      <c r="I497" s="7" t="inlineStr">
        <is>
          <t>Animal &amp; plant composite</t>
        </is>
      </c>
      <c r="J497" s="7" t="inlineStr">
        <is>
          <t>Meat-based dishes</t>
        </is>
      </c>
      <c r="K497" s="7" t="inlineStr">
        <is>
          <t>B</t>
        </is>
      </c>
      <c r="L497" s="7" t="inlineStr">
        <is>
          <t>50/50 convention</t>
        </is>
      </c>
      <c r="M497" s="51" t="n">
        <v>7.3</v>
      </c>
      <c r="N497" s="7" t="inlineStr">
        <is>
          <t>Declared by the retailer</t>
        </is>
      </c>
      <c r="O497" s="54" t="n">
        <v>3.65</v>
      </c>
      <c r="P497" s="54" t="n">
        <v>3.65</v>
      </c>
      <c r="Q497" s="7" t="inlineStr">
        <is>
          <t>yes</t>
        </is>
      </c>
      <c r="R497" s="7" t="inlineStr">
        <is>
          <t>composite</t>
        </is>
      </c>
      <c r="S497" s="7" t="n"/>
      <c r="T497" s="7" t="n"/>
      <c r="U497" s="7" t="n"/>
      <c r="V497" s="7" t="inlineStr">
        <is>
          <t>meat-based</t>
        </is>
      </c>
      <c r="W497" s="7" t="n"/>
      <c r="X497" s="55" t="n">
        <v>1</v>
      </c>
      <c r="Y497" s="50" t="n">
        <v>0.4</v>
      </c>
      <c r="Z497" s="7" t="inlineStr">
        <is>
          <t>declared</t>
        </is>
      </c>
      <c r="AA497" s="19">
        <f>IF(ISBLANK(Welcome!D523),"",Welcome!D523)</f>
        <v/>
      </c>
      <c r="AB497" s="29">
        <f>IF(ISBLANK(Welcome!E523),"",Welcome!E523)</f>
        <v/>
      </c>
      <c r="AC497" s="29">
        <f>IF(N(AB497)&gt;0,N(AB497),N(AA497)*Y497)</f>
        <v/>
      </c>
      <c r="AD497" s="29">
        <f>IF(H497="yes",AC497,0)</f>
        <v/>
      </c>
      <c r="AE497" s="29">
        <f>AD497*N(M497)/100</f>
        <v/>
      </c>
      <c r="AF497" s="29">
        <f>AD497*N(O497)/100</f>
        <v/>
      </c>
      <c r="AG497" s="29">
        <f>AD497*N(P497)/100</f>
        <v/>
      </c>
      <c r="AH497" s="50">
        <f>IF(Q497="yes",AD497/1000,0)</f>
        <v/>
      </c>
      <c r="AI497" s="50">
        <f>IF(S497="FG2",AH497*X497,AH497)</f>
        <v/>
      </c>
    </row>
    <row r="498">
      <c r="A498" s="7" t="inlineStr">
        <is>
          <t>HM00153</t>
        </is>
      </c>
      <c r="B498" s="16" t="inlineStr">
        <is>
          <t>5012345432861</t>
        </is>
      </c>
      <c r="C498" s="7" t="inlineStr">
        <is>
          <t>HM MILK CHOC BUTTONS 4X40G</t>
        </is>
      </c>
      <c r="D498" s="7" t="inlineStr">
        <is>
          <t>Milk chocolate buttons, 4x40g</t>
        </is>
      </c>
      <c r="E498" s="7" t="inlineStr">
        <is>
          <t>Harbour Market</t>
        </is>
      </c>
      <c r="F498" s="7" t="inlineStr">
        <is>
          <t>Breakfast &amp; Snacks</t>
        </is>
      </c>
      <c r="G498" s="7" t="inlineStr">
        <is>
          <t>Chocolate</t>
        </is>
      </c>
      <c r="H498" s="7" t="inlineStr">
        <is>
          <t>yes</t>
        </is>
      </c>
      <c r="I498" s="7" t="inlineStr">
        <is>
          <t>Animal &amp; plant composite</t>
        </is>
      </c>
      <c r="J498" s="7" t="inlineStr">
        <is>
          <t>Discretionary products</t>
        </is>
      </c>
      <c r="K498" s="7" t="inlineStr">
        <is>
          <t>A</t>
        </is>
      </c>
      <c r="L498" s="7" t="inlineStr">
        <is>
          <t>Ingredient list</t>
        </is>
      </c>
      <c r="M498" s="51" t="n">
        <v>7.9</v>
      </c>
      <c r="N498" s="7" t="inlineStr">
        <is>
          <t>Declared by the retailer</t>
        </is>
      </c>
      <c r="O498" s="54" t="n">
        <v>3.63</v>
      </c>
      <c r="P498" s="54" t="n">
        <v>4.27</v>
      </c>
      <c r="Q498" s="7" t="inlineStr">
        <is>
          <t>yes</t>
        </is>
      </c>
      <c r="R498" s="7" t="inlineStr">
        <is>
          <t>whole</t>
        </is>
      </c>
      <c r="S498" s="7" t="inlineStr">
        <is>
          <t>FG7</t>
        </is>
      </c>
      <c r="T498" s="7" t="n"/>
      <c r="U498" s="7" t="inlineStr">
        <is>
          <t>plant</t>
        </is>
      </c>
      <c r="V498" s="7" t="n"/>
      <c r="W498" s="7" t="n"/>
      <c r="X498" s="55" t="n">
        <v>1</v>
      </c>
      <c r="Y498" s="50" t="n">
        <v>0.16</v>
      </c>
      <c r="Z498" s="7" t="inlineStr">
        <is>
          <t>declared</t>
        </is>
      </c>
      <c r="AA498" s="19">
        <f>IF(ISBLANK(Welcome!D524),"",Welcome!D524)</f>
        <v/>
      </c>
      <c r="AB498" s="29">
        <f>IF(ISBLANK(Welcome!E524),"",Welcome!E524)</f>
        <v/>
      </c>
      <c r="AC498" s="29">
        <f>IF(N(AB498)&gt;0,N(AB498),N(AA498)*Y498)</f>
        <v/>
      </c>
      <c r="AD498" s="29">
        <f>IF(H498="yes",AC498,0)</f>
        <v/>
      </c>
      <c r="AE498" s="29">
        <f>AD498*N(M498)/100</f>
        <v/>
      </c>
      <c r="AF498" s="29">
        <f>AD498*N(O498)/100</f>
        <v/>
      </c>
      <c r="AG498" s="29">
        <f>AD498*N(P498)/100</f>
        <v/>
      </c>
      <c r="AH498" s="50">
        <f>IF(Q498="yes",AD498/1000,0)</f>
        <v/>
      </c>
      <c r="AI498" s="50">
        <f>IF(S498="FG2",AH498*X498,AH498)</f>
        <v/>
      </c>
    </row>
    <row r="499">
      <c r="A499" s="7" t="inlineStr">
        <is>
          <t>HM00011</t>
        </is>
      </c>
      <c r="B499" s="16" t="inlineStr">
        <is>
          <t>4012345434316</t>
        </is>
      </c>
      <c r="C499" s="7" t="inlineStr">
        <is>
          <t>CHERRY YOG 450G FJELDA</t>
        </is>
      </c>
      <c r="D499" s="7" t="inlineStr">
        <is>
          <t>Cherry yoghurt, 450g</t>
        </is>
      </c>
      <c r="E499" s="7" t="inlineStr">
        <is>
          <t>Fjelda</t>
        </is>
      </c>
      <c r="F499" s="7" t="inlineStr">
        <is>
          <t>Dairy &amp; Eggs</t>
        </is>
      </c>
      <c r="G499" s="7" t="inlineStr">
        <is>
          <t>Yoghurt</t>
        </is>
      </c>
      <c r="H499" s="7" t="inlineStr">
        <is>
          <t>yes</t>
        </is>
      </c>
      <c r="I499" s="7" t="inlineStr">
        <is>
          <t>Animal core</t>
        </is>
      </c>
      <c r="J499" s="7" t="inlineStr">
        <is>
          <t>Milk, yoghurt and cream</t>
        </is>
      </c>
      <c r="K499" s="7" t="inlineStr">
        <is>
          <t>B</t>
        </is>
      </c>
      <c r="L499" s="7" t="inlineStr">
        <is>
          <t>First ingredient</t>
        </is>
      </c>
      <c r="M499" s="51" t="n">
        <v>3.5</v>
      </c>
      <c r="N499" s="7" t="inlineStr">
        <is>
          <t>Altera reference base</t>
        </is>
      </c>
      <c r="O499" s="54" t="n">
        <v>0</v>
      </c>
      <c r="P499" s="54" t="n">
        <v>3.5</v>
      </c>
      <c r="Q499" s="7" t="inlineStr">
        <is>
          <t>yes</t>
        </is>
      </c>
      <c r="R499" s="7" t="inlineStr">
        <is>
          <t>whole</t>
        </is>
      </c>
      <c r="S499" s="7" t="inlineStr">
        <is>
          <t>FG2</t>
        </is>
      </c>
      <c r="T499" s="7" t="inlineStr">
        <is>
          <t>Dairy</t>
        </is>
      </c>
      <c r="U499" s="7" t="inlineStr">
        <is>
          <t>animal</t>
        </is>
      </c>
      <c r="V499" s="7" t="n"/>
      <c r="W499" s="7" t="n"/>
      <c r="X499" s="55" t="n">
        <v>1</v>
      </c>
      <c r="Y499" s="50" t="n">
        <v>0.45</v>
      </c>
      <c r="Z499" s="7" t="inlineStr">
        <is>
          <t>label</t>
        </is>
      </c>
      <c r="AA499" s="19">
        <f>IF(ISBLANK(Welcome!D525),"",Welcome!D525)</f>
        <v/>
      </c>
      <c r="AB499" s="29">
        <f>IF(ISBLANK(Welcome!E525),"",Welcome!E525)</f>
        <v/>
      </c>
      <c r="AC499" s="29">
        <f>IF(N(AB499)&gt;0,N(AB499),N(AA499)*Y499)</f>
        <v/>
      </c>
      <c r="AD499" s="29">
        <f>IF(H499="yes",AC499,0)</f>
        <v/>
      </c>
      <c r="AE499" s="29">
        <f>AD499*N(M499)/100</f>
        <v/>
      </c>
      <c r="AF499" s="29">
        <f>AD499*N(O499)/100</f>
        <v/>
      </c>
      <c r="AG499" s="29">
        <f>AD499*N(P499)/100</f>
        <v/>
      </c>
      <c r="AH499" s="50">
        <f>IF(Q499="yes",AD499/1000,0)</f>
        <v/>
      </c>
      <c r="AI499" s="50">
        <f>IF(S499="FG2",AH499*X499,AH499)</f>
        <v/>
      </c>
    </row>
    <row r="500">
      <c r="A500" s="7" t="inlineStr">
        <is>
          <t>HM00064</t>
        </is>
      </c>
      <c r="B500" s="16" t="inlineStr">
        <is>
          <t>8712345506728</t>
        </is>
      </c>
      <c r="C500" s="7" t="inlineStr">
        <is>
          <t>YELLOW SPLIT PEAS 1KG ORVALIS</t>
        </is>
      </c>
      <c r="D500" s="7" t="inlineStr">
        <is>
          <t>Yellow split peas, 1kg</t>
        </is>
      </c>
      <c r="E500" s="7" t="inlineStr">
        <is>
          <t>Orvalis</t>
        </is>
      </c>
      <c r="F500" s="7" t="inlineStr">
        <is>
          <t>Grocery</t>
        </is>
      </c>
      <c r="G500" s="7" t="inlineStr">
        <is>
          <t>Pulses</t>
        </is>
      </c>
      <c r="H500" s="7" t="inlineStr">
        <is>
          <t>yes</t>
        </is>
      </c>
      <c r="I500" s="7" t="inlineStr">
        <is>
          <t>Plant-based core</t>
        </is>
      </c>
      <c r="J500" s="7" t="inlineStr">
        <is>
          <t>Pulses</t>
        </is>
      </c>
      <c r="K500" s="7" t="inlineStr">
        <is>
          <t>A</t>
        </is>
      </c>
      <c r="L500" s="7" t="inlineStr">
        <is>
          <t>All ingredients on one side</t>
        </is>
      </c>
      <c r="M500" s="51" t="n">
        <v>23</v>
      </c>
      <c r="N500" s="7" t="inlineStr">
        <is>
          <t>Open Food Facts and NEVO, by EAN</t>
        </is>
      </c>
      <c r="O500" s="54" t="n">
        <v>23</v>
      </c>
      <c r="P500" s="54" t="n">
        <v>0</v>
      </c>
      <c r="Q500" s="7" t="inlineStr">
        <is>
          <t>yes</t>
        </is>
      </c>
      <c r="R500" s="7" t="inlineStr">
        <is>
          <t>whole</t>
        </is>
      </c>
      <c r="S500" s="7" t="inlineStr">
        <is>
          <t>FG1</t>
        </is>
      </c>
      <c r="T500" s="7" t="inlineStr">
        <is>
          <t>Pulses</t>
        </is>
      </c>
      <c r="U500" s="7" t="inlineStr">
        <is>
          <t>plant</t>
        </is>
      </c>
      <c r="V500" s="7" t="n"/>
      <c r="W500" s="7" t="n"/>
      <c r="X500" s="55" t="n">
        <v>1</v>
      </c>
      <c r="Y500" s="50" t="n">
        <v>1</v>
      </c>
      <c r="Z500" s="7" t="inlineStr">
        <is>
          <t>declared</t>
        </is>
      </c>
      <c r="AA500" s="19">
        <f>IF(ISBLANK(Welcome!D526),"",Welcome!D526)</f>
        <v/>
      </c>
      <c r="AB500" s="29">
        <f>IF(ISBLANK(Welcome!E526),"",Welcome!E526)</f>
        <v/>
      </c>
      <c r="AC500" s="29">
        <f>IF(N(AB500)&gt;0,N(AB500),N(AA500)*Y500)</f>
        <v/>
      </c>
      <c r="AD500" s="29">
        <f>IF(H500="yes",AC500,0)</f>
        <v/>
      </c>
      <c r="AE500" s="29">
        <f>AD500*N(M500)/100</f>
        <v/>
      </c>
      <c r="AF500" s="29">
        <f>AD500*N(O500)/100</f>
        <v/>
      </c>
      <c r="AG500" s="29">
        <f>AD500*N(P500)/100</f>
        <v/>
      </c>
      <c r="AH500" s="50">
        <f>IF(Q500="yes",AD500/1000,0)</f>
        <v/>
      </c>
      <c r="AI500" s="50">
        <f>IF(S500="FG2",AH500*X500,AH500)</f>
        <v/>
      </c>
    </row>
    <row r="501">
      <c r="A501" s="7" t="inlineStr">
        <is>
          <t>HM00352</t>
        </is>
      </c>
      <c r="B501" s="16" t="inlineStr">
        <is>
          <t>8712345040918</t>
        </is>
      </c>
      <c r="C501" s="7" t="inlineStr">
        <is>
          <t>HM GREEN BEANS EACH</t>
        </is>
      </c>
      <c r="D501" s="7" t="inlineStr">
        <is>
          <t>Fine green beans</t>
        </is>
      </c>
      <c r="E501" s="7" t="inlineStr">
        <is>
          <t>Harbour Market</t>
        </is>
      </c>
      <c r="F501" s="7" t="inlineStr">
        <is>
          <t>Fruit &amp; Vegetables</t>
        </is>
      </c>
      <c r="G501" s="7" t="inlineStr">
        <is>
          <t>Vegetables</t>
        </is>
      </c>
      <c r="H501" s="7" t="inlineStr">
        <is>
          <t>yes</t>
        </is>
      </c>
      <c r="I501" s="7" t="inlineStr">
        <is>
          <t>Plant-based non-core</t>
        </is>
      </c>
      <c r="J501" s="7" t="inlineStr">
        <is>
          <t>Fruit and vegetables</t>
        </is>
      </c>
      <c r="K501" s="7" t="inlineStr">
        <is>
          <t>B</t>
        </is>
      </c>
      <c r="L501" s="7" t="inlineStr">
        <is>
          <t>Follows the class</t>
        </is>
      </c>
      <c r="M501" s="51" t="n">
        <v>1.7</v>
      </c>
      <c r="N501" s="7" t="inlineStr">
        <is>
          <t>Median of the family</t>
        </is>
      </c>
      <c r="O501" s="54" t="n">
        <v>1.7</v>
      </c>
      <c r="P501" s="54" t="n">
        <v>0</v>
      </c>
      <c r="Q501" s="7" t="inlineStr">
        <is>
          <t>yes</t>
        </is>
      </c>
      <c r="R501" s="7" t="inlineStr">
        <is>
          <t>whole</t>
        </is>
      </c>
      <c r="S501" s="7" t="inlineStr">
        <is>
          <t>FG4</t>
        </is>
      </c>
      <c r="T501" s="7" t="n"/>
      <c r="U501" s="7" t="inlineStr">
        <is>
          <t>plant</t>
        </is>
      </c>
      <c r="V501" s="7" t="n"/>
      <c r="W501" s="7" t="n"/>
      <c r="X501" s="55" t="n">
        <v>1</v>
      </c>
      <c r="Y501" s="50" t="n">
        <v>0.3</v>
      </c>
      <c r="Z501" s="7" t="inlineStr">
        <is>
          <t>typical_piece</t>
        </is>
      </c>
      <c r="AA501" s="19">
        <f>IF(ISBLANK(Welcome!D527),"",Welcome!D527)</f>
        <v/>
      </c>
      <c r="AB501" s="29">
        <f>IF(ISBLANK(Welcome!E527),"",Welcome!E527)</f>
        <v/>
      </c>
      <c r="AC501" s="29">
        <f>IF(N(AB501)&gt;0,N(AB501),N(AA501)*Y501)</f>
        <v/>
      </c>
      <c r="AD501" s="29">
        <f>IF(H501="yes",AC501,0)</f>
        <v/>
      </c>
      <c r="AE501" s="29">
        <f>AD501*N(M501)/100</f>
        <v/>
      </c>
      <c r="AF501" s="29">
        <f>AD501*N(O501)/100</f>
        <v/>
      </c>
      <c r="AG501" s="29">
        <f>AD501*N(P501)/100</f>
        <v/>
      </c>
      <c r="AH501" s="50">
        <f>IF(Q501="yes",AD501/1000,0)</f>
        <v/>
      </c>
      <c r="AI501" s="50">
        <f>IF(S501="FG2",AH501*X501,AH501)</f>
        <v/>
      </c>
    </row>
    <row r="502">
      <c r="A502" s="7" t="inlineStr">
        <is>
          <t>HM00516</t>
        </is>
      </c>
      <c r="B502" s="16" t="inlineStr">
        <is>
          <t>3012345172752</t>
        </is>
      </c>
      <c r="C502" s="7" t="inlineStr">
        <is>
          <t>CHOC ICE CREAM 1.8L MARLOWE</t>
        </is>
      </c>
      <c r="D502" s="7" t="inlineStr">
        <is>
          <t>Chocolate ice cream, 1.8l</t>
        </is>
      </c>
      <c r="E502" s="7" t="inlineStr">
        <is>
          <t>Marlowe</t>
        </is>
      </c>
      <c r="F502" s="7" t="inlineStr">
        <is>
          <t>Frozen</t>
        </is>
      </c>
      <c r="G502" s="7" t="inlineStr">
        <is>
          <t>Ice Cream</t>
        </is>
      </c>
      <c r="H502" s="7" t="inlineStr">
        <is>
          <t>yes</t>
        </is>
      </c>
      <c r="I502" s="7" t="inlineStr">
        <is>
          <t>Animal core</t>
        </is>
      </c>
      <c r="J502" s="7" t="inlineStr">
        <is>
          <t>Discretionary products</t>
        </is>
      </c>
      <c r="K502" s="7" t="inlineStr">
        <is>
          <t>B</t>
        </is>
      </c>
      <c r="L502" s="7" t="inlineStr">
        <is>
          <t>First ingredient</t>
        </is>
      </c>
      <c r="M502" s="51" t="n">
        <v>3.6</v>
      </c>
      <c r="N502" s="7" t="inlineStr">
        <is>
          <t>Declared by the retailer</t>
        </is>
      </c>
      <c r="O502" s="54" t="n">
        <v>0</v>
      </c>
      <c r="P502" s="54" t="n">
        <v>3.6</v>
      </c>
      <c r="Q502" s="7" t="inlineStr">
        <is>
          <t>yes</t>
        </is>
      </c>
      <c r="R502" s="7" t="inlineStr">
        <is>
          <t>whole</t>
        </is>
      </c>
      <c r="S502" s="7" t="inlineStr">
        <is>
          <t>FG7</t>
        </is>
      </c>
      <c r="T502" s="7" t="n"/>
      <c r="U502" s="7" t="inlineStr">
        <is>
          <t>animal</t>
        </is>
      </c>
      <c r="V502" s="7" t="n"/>
      <c r="W502" s="7" t="n"/>
      <c r="X502" s="55" t="n">
        <v>1</v>
      </c>
      <c r="Y502" s="50" t="n">
        <v>1</v>
      </c>
      <c r="Z502" s="7" t="inlineStr">
        <is>
          <t>declared</t>
        </is>
      </c>
      <c r="AA502" s="19">
        <f>IF(ISBLANK(Welcome!D528),"",Welcome!D528)</f>
        <v/>
      </c>
      <c r="AB502" s="29">
        <f>IF(ISBLANK(Welcome!E528),"",Welcome!E528)</f>
        <v/>
      </c>
      <c r="AC502" s="29">
        <f>IF(N(AB502)&gt;0,N(AB502),N(AA502)*Y502)</f>
        <v/>
      </c>
      <c r="AD502" s="29">
        <f>IF(H502="yes",AC502,0)</f>
        <v/>
      </c>
      <c r="AE502" s="29">
        <f>AD502*N(M502)/100</f>
        <v/>
      </c>
      <c r="AF502" s="29">
        <f>AD502*N(O502)/100</f>
        <v/>
      </c>
      <c r="AG502" s="29">
        <f>AD502*N(P502)/100</f>
        <v/>
      </c>
      <c r="AH502" s="50">
        <f>IF(Q502="yes",AD502/1000,0)</f>
        <v/>
      </c>
      <c r="AI502" s="50">
        <f>IF(S502="FG2",AH502*X502,AH502)</f>
        <v/>
      </c>
    </row>
    <row r="503">
      <c r="A503" s="7" t="inlineStr">
        <is>
          <t>HM00504</t>
        </is>
      </c>
      <c r="B503" s="16" t="inlineStr">
        <is>
          <t>5012345982908</t>
        </is>
      </c>
      <c r="C503" s="7" t="inlineStr">
        <is>
          <t>FJELDA NAT YOG 1KG</t>
        </is>
      </c>
      <c r="D503" s="7" t="inlineStr">
        <is>
          <t>Natural yoghurt, 1kg</t>
        </is>
      </c>
      <c r="E503" s="7" t="inlineStr">
        <is>
          <t>Fjelda</t>
        </is>
      </c>
      <c r="F503" s="7" t="inlineStr">
        <is>
          <t>Dairy &amp; Eggs</t>
        </is>
      </c>
      <c r="G503" s="7" t="inlineStr">
        <is>
          <t>Yoghurt</t>
        </is>
      </c>
      <c r="H503" s="7" t="inlineStr">
        <is>
          <t>yes</t>
        </is>
      </c>
      <c r="I503" s="7" t="inlineStr">
        <is>
          <t>Animal core</t>
        </is>
      </c>
      <c r="J503" s="7" t="inlineStr">
        <is>
          <t>Milk, yoghurt and cream</t>
        </is>
      </c>
      <c r="K503" s="7" t="inlineStr">
        <is>
          <t>A</t>
        </is>
      </c>
      <c r="L503" s="7" t="inlineStr">
        <is>
          <t>All ingredients on one side</t>
        </is>
      </c>
      <c r="M503" s="51" t="n">
        <v>4.4</v>
      </c>
      <c r="N503" s="7" t="inlineStr">
        <is>
          <t>Altera reference base</t>
        </is>
      </c>
      <c r="O503" s="54" t="n">
        <v>0</v>
      </c>
      <c r="P503" s="54" t="n">
        <v>4.4</v>
      </c>
      <c r="Q503" s="7" t="inlineStr">
        <is>
          <t>yes</t>
        </is>
      </c>
      <c r="R503" s="7" t="inlineStr">
        <is>
          <t>whole</t>
        </is>
      </c>
      <c r="S503" s="7" t="inlineStr">
        <is>
          <t>FG2</t>
        </is>
      </c>
      <c r="T503" s="7" t="inlineStr">
        <is>
          <t>Dairy</t>
        </is>
      </c>
      <c r="U503" s="7" t="inlineStr">
        <is>
          <t>animal</t>
        </is>
      </c>
      <c r="V503" s="7" t="n"/>
      <c r="W503" s="7" t="n"/>
      <c r="X503" s="55" t="n">
        <v>1</v>
      </c>
      <c r="Y503" s="50" t="n">
        <v>1</v>
      </c>
      <c r="Z503" s="7" t="inlineStr">
        <is>
          <t>declared</t>
        </is>
      </c>
      <c r="AA503" s="19">
        <f>IF(ISBLANK(Welcome!D529),"",Welcome!D529)</f>
        <v/>
      </c>
      <c r="AB503" s="29">
        <f>IF(ISBLANK(Welcome!E529),"",Welcome!E529)</f>
        <v/>
      </c>
      <c r="AC503" s="29">
        <f>IF(N(AB503)&gt;0,N(AB503),N(AA503)*Y503)</f>
        <v/>
      </c>
      <c r="AD503" s="29">
        <f>IF(H503="yes",AC503,0)</f>
        <v/>
      </c>
      <c r="AE503" s="29">
        <f>AD503*N(M503)/100</f>
        <v/>
      </c>
      <c r="AF503" s="29">
        <f>AD503*N(O503)/100</f>
        <v/>
      </c>
      <c r="AG503" s="29">
        <f>AD503*N(P503)/100</f>
        <v/>
      </c>
      <c r="AH503" s="50">
        <f>IF(Q503="yes",AD503/1000,0)</f>
        <v/>
      </c>
      <c r="AI503" s="50">
        <f>IF(S503="FG2",AH503*X503,AH503)</f>
        <v/>
      </c>
    </row>
    <row r="504">
      <c r="A504" s="7" t="inlineStr">
        <is>
          <t>HM00139</t>
        </is>
      </c>
      <c r="B504" s="16" t="inlineStr">
        <is>
          <t>0012345599200</t>
        </is>
      </c>
      <c r="C504" s="7" t="inlineStr">
        <is>
          <t>TARROW PORK MINCE 4PK 600G</t>
        </is>
      </c>
      <c r="D504" s="7" t="inlineStr">
        <is>
          <t>Pork mince, 4pk 600g</t>
        </is>
      </c>
      <c r="E504" s="7" t="inlineStr">
        <is>
          <t>Tarrow Farm</t>
        </is>
      </c>
      <c r="F504" s="7" t="inlineStr">
        <is>
          <t>Fresh Meat &amp; Poultry</t>
        </is>
      </c>
      <c r="G504" s="7" t="inlineStr">
        <is>
          <t>Pork</t>
        </is>
      </c>
      <c r="H504" s="7" t="inlineStr">
        <is>
          <t>yes</t>
        </is>
      </c>
      <c r="I504" s="7" t="inlineStr">
        <is>
          <t>Animal core</t>
        </is>
      </c>
      <c r="J504" s="7" t="inlineStr">
        <is>
          <t>Red meat</t>
        </is>
      </c>
      <c r="K504" s="7" t="inlineStr">
        <is>
          <t>B</t>
        </is>
      </c>
      <c r="L504" s="7" t="inlineStr">
        <is>
          <t>Follows the class</t>
        </is>
      </c>
      <c r="M504" s="51" t="n">
        <v>20.3</v>
      </c>
      <c r="N504" s="7" t="inlineStr">
        <is>
          <t>Declared by the retailer</t>
        </is>
      </c>
      <c r="O504" s="54" t="n">
        <v>0</v>
      </c>
      <c r="P504" s="54" t="n">
        <v>20.3</v>
      </c>
      <c r="Q504" s="7" t="inlineStr">
        <is>
          <t>yes</t>
        </is>
      </c>
      <c r="R504" s="7" t="inlineStr">
        <is>
          <t>whole</t>
        </is>
      </c>
      <c r="S504" s="7" t="inlineStr">
        <is>
          <t>FG1</t>
        </is>
      </c>
      <c r="T504" s="7" t="inlineStr">
        <is>
          <t>Red meat</t>
        </is>
      </c>
      <c r="U504" s="7" t="inlineStr">
        <is>
          <t>animal</t>
        </is>
      </c>
      <c r="V504" s="7" t="n"/>
      <c r="W504" s="7" t="n"/>
      <c r="X504" s="55" t="n">
        <v>1</v>
      </c>
      <c r="Y504" s="50" t="n">
        <v>0.6</v>
      </c>
      <c r="Z504" s="7" t="inlineStr">
        <is>
          <t>declared</t>
        </is>
      </c>
      <c r="AA504" s="19">
        <f>IF(ISBLANK(Welcome!D530),"",Welcome!D530)</f>
        <v/>
      </c>
      <c r="AB504" s="29">
        <f>IF(ISBLANK(Welcome!E530),"",Welcome!E530)</f>
        <v/>
      </c>
      <c r="AC504" s="29">
        <f>IF(N(AB504)&gt;0,N(AB504),N(AA504)*Y504)</f>
        <v/>
      </c>
      <c r="AD504" s="29">
        <f>IF(H504="yes",AC504,0)</f>
        <v/>
      </c>
      <c r="AE504" s="29">
        <f>AD504*N(M504)/100</f>
        <v/>
      </c>
      <c r="AF504" s="29">
        <f>AD504*N(O504)/100</f>
        <v/>
      </c>
      <c r="AG504" s="29">
        <f>AD504*N(P504)/100</f>
        <v/>
      </c>
      <c r="AH504" s="50">
        <f>IF(Q504="yes",AD504/1000,0)</f>
        <v/>
      </c>
      <c r="AI504" s="50">
        <f>IF(S504="FG2",AH504*X504,AH504)</f>
        <v/>
      </c>
    </row>
    <row r="505">
      <c r="A505" s="7" t="inlineStr">
        <is>
          <t>HM00761</t>
        </is>
      </c>
      <c r="B505" s="16" t="inlineStr">
        <is>
          <t>5012345732534</t>
        </is>
      </c>
      <c r="C505" s="7" t="inlineStr">
        <is>
          <t>CASHEW NUTS 500G PENROCK</t>
        </is>
      </c>
      <c r="D505" s="7" t="inlineStr">
        <is>
          <t>Cashew nuts, 500g</t>
        </is>
      </c>
      <c r="E505" s="7" t="inlineStr">
        <is>
          <t>Penrock</t>
        </is>
      </c>
      <c r="F505" s="7" t="inlineStr">
        <is>
          <t>Grocery</t>
        </is>
      </c>
      <c r="G505" s="7" t="inlineStr">
        <is>
          <t>Nuts &amp; Seeds</t>
        </is>
      </c>
      <c r="H505" s="7" t="inlineStr">
        <is>
          <t>yes</t>
        </is>
      </c>
      <c r="I505" s="7" t="inlineStr">
        <is>
          <t>Plant-based core</t>
        </is>
      </c>
      <c r="J505" s="7" t="inlineStr">
        <is>
          <t>Nuts</t>
        </is>
      </c>
      <c r="K505" s="7" t="inlineStr">
        <is>
          <t>A</t>
        </is>
      </c>
      <c r="L505" s="7" t="inlineStr">
        <is>
          <t>All ingredients on one side</t>
        </is>
      </c>
      <c r="M505" s="51" t="n">
        <v>17.8</v>
      </c>
      <c r="N505" s="7" t="inlineStr">
        <is>
          <t>Median of the family</t>
        </is>
      </c>
      <c r="O505" s="54" t="n">
        <v>17.8</v>
      </c>
      <c r="P505" s="54" t="n">
        <v>0</v>
      </c>
      <c r="Q505" s="7" t="inlineStr">
        <is>
          <t>yes</t>
        </is>
      </c>
      <c r="R505" s="7" t="inlineStr">
        <is>
          <t>whole</t>
        </is>
      </c>
      <c r="S505" s="7" t="inlineStr">
        <is>
          <t>FG1</t>
        </is>
      </c>
      <c r="T505" s="7" t="inlineStr">
        <is>
          <t>Nuts</t>
        </is>
      </c>
      <c r="U505" s="7" t="inlineStr">
        <is>
          <t>plant</t>
        </is>
      </c>
      <c r="V505" s="7" t="n"/>
      <c r="W505" s="7" t="n"/>
      <c r="X505" s="55" t="n">
        <v>1</v>
      </c>
      <c r="Y505" s="50" t="n">
        <v>0.5</v>
      </c>
      <c r="Z505" s="7" t="inlineStr">
        <is>
          <t>declared</t>
        </is>
      </c>
      <c r="AA505" s="19">
        <f>IF(ISBLANK(Welcome!D531),"",Welcome!D531)</f>
        <v/>
      </c>
      <c r="AB505" s="29">
        <f>IF(ISBLANK(Welcome!E531),"",Welcome!E531)</f>
        <v/>
      </c>
      <c r="AC505" s="29">
        <f>IF(N(AB505)&gt;0,N(AB505),N(AA505)*Y505)</f>
        <v/>
      </c>
      <c r="AD505" s="29">
        <f>IF(H505="yes",AC505,0)</f>
        <v/>
      </c>
      <c r="AE505" s="29">
        <f>AD505*N(M505)/100</f>
        <v/>
      </c>
      <c r="AF505" s="29">
        <f>AD505*N(O505)/100</f>
        <v/>
      </c>
      <c r="AG505" s="29">
        <f>AD505*N(P505)/100</f>
        <v/>
      </c>
      <c r="AH505" s="50">
        <f>IF(Q505="yes",AD505/1000,0)</f>
        <v/>
      </c>
      <c r="AI505" s="50">
        <f>IF(S505="FG2",AH505*X505,AH505)</f>
        <v/>
      </c>
    </row>
    <row r="506">
      <c r="A506" s="7" t="inlineStr">
        <is>
          <t>HM00576</t>
        </is>
      </c>
      <c r="B506" s="16" t="inlineStr">
        <is>
          <t>3012345560900</t>
        </is>
      </c>
      <c r="C506" s="7" t="inlineStr">
        <is>
          <t>QUILLAN CHEESE ONION QUICHE 2X400G</t>
        </is>
      </c>
      <c r="D506" s="7" t="inlineStr">
        <is>
          <t>Cheese &amp; onion quiche, 2x400g</t>
        </is>
      </c>
      <c r="E506" s="7" t="inlineStr">
        <is>
          <t>Quillan</t>
        </is>
      </c>
      <c r="F506" s="7" t="inlineStr">
        <is>
          <t>Ready Meals</t>
        </is>
      </c>
      <c r="G506" s="7" t="inlineStr">
        <is>
          <t>Ready Meals</t>
        </is>
      </c>
      <c r="H506" s="7" t="inlineStr">
        <is>
          <t>yes</t>
        </is>
      </c>
      <c r="I506" s="7" t="inlineStr">
        <is>
          <t>Animal &amp; plant composite</t>
        </is>
      </c>
      <c r="J506" s="7" t="inlineStr">
        <is>
          <t>Vegetarian dishes</t>
        </is>
      </c>
      <c r="K506" s="7" t="inlineStr">
        <is>
          <t>B</t>
        </is>
      </c>
      <c r="L506" s="7" t="inlineStr">
        <is>
          <t>50/50 convention</t>
        </is>
      </c>
      <c r="M506" s="51" t="n">
        <v>8</v>
      </c>
      <c r="N506" s="7" t="inlineStr">
        <is>
          <t>Declared by the retailer</t>
        </is>
      </c>
      <c r="O506" s="54" t="n">
        <v>4</v>
      </c>
      <c r="P506" s="54" t="n">
        <v>4</v>
      </c>
      <c r="Q506" s="7" t="inlineStr">
        <is>
          <t>yes</t>
        </is>
      </c>
      <c r="R506" s="7" t="inlineStr">
        <is>
          <t>composite</t>
        </is>
      </c>
      <c r="S506" s="7" t="n"/>
      <c r="T506" s="7" t="n"/>
      <c r="U506" s="7" t="n"/>
      <c r="V506" s="7" t="inlineStr">
        <is>
          <t>vegetarian</t>
        </is>
      </c>
      <c r="W506" s="7" t="n"/>
      <c r="X506" s="55" t="n">
        <v>1</v>
      </c>
      <c r="Y506" s="50" t="n">
        <v>0.8</v>
      </c>
      <c r="Z506" s="7" t="inlineStr">
        <is>
          <t>declared</t>
        </is>
      </c>
      <c r="AA506" s="19">
        <f>IF(ISBLANK(Welcome!D532),"",Welcome!D532)</f>
        <v/>
      </c>
      <c r="AB506" s="29">
        <f>IF(ISBLANK(Welcome!E532),"",Welcome!E532)</f>
        <v/>
      </c>
      <c r="AC506" s="29">
        <f>IF(N(AB506)&gt;0,N(AB506),N(AA506)*Y506)</f>
        <v/>
      </c>
      <c r="AD506" s="29">
        <f>IF(H506="yes",AC506,0)</f>
        <v/>
      </c>
      <c r="AE506" s="29">
        <f>AD506*N(M506)/100</f>
        <v/>
      </c>
      <c r="AF506" s="29">
        <f>AD506*N(O506)/100</f>
        <v/>
      </c>
      <c r="AG506" s="29">
        <f>AD506*N(P506)/100</f>
        <v/>
      </c>
      <c r="AH506" s="50">
        <f>IF(Q506="yes",AD506/1000,0)</f>
        <v/>
      </c>
      <c r="AI506" s="50">
        <f>IF(S506="FG2",AH506*X506,AH506)</f>
        <v/>
      </c>
    </row>
    <row r="507">
      <c r="A507" s="7" t="inlineStr">
        <is>
          <t>HM00253</t>
        </is>
      </c>
      <c r="B507" s="16" t="inlineStr">
        <is>
          <t>3012345656528</t>
        </is>
      </c>
      <c r="C507" s="7" t="inlineStr">
        <is>
          <t>HM BLUEBERRIES 500G</t>
        </is>
      </c>
      <c r="D507" s="7" t="inlineStr">
        <is>
          <t>Blueberries, 500g</t>
        </is>
      </c>
      <c r="E507" s="7" t="inlineStr">
        <is>
          <t>Harbour Market</t>
        </is>
      </c>
      <c r="F507" s="7" t="inlineStr">
        <is>
          <t>Fruit &amp; Vegetables</t>
        </is>
      </c>
      <c r="G507" s="7" t="inlineStr">
        <is>
          <t>Fruit</t>
        </is>
      </c>
      <c r="H507" s="7" t="inlineStr">
        <is>
          <t>yes</t>
        </is>
      </c>
      <c r="I507" s="7" t="inlineStr">
        <is>
          <t>Plant-based non-core</t>
        </is>
      </c>
      <c r="J507" s="7" t="inlineStr">
        <is>
          <t>Fruit and vegetables</t>
        </is>
      </c>
      <c r="K507" s="7" t="inlineStr">
        <is>
          <t>B</t>
        </is>
      </c>
      <c r="L507" s="7" t="inlineStr">
        <is>
          <t>Follows the class</t>
        </is>
      </c>
      <c r="M507" s="51" t="n">
        <v>0.68</v>
      </c>
      <c r="N507" s="7" t="inlineStr">
        <is>
          <t>National food table (CIQUAL in France)</t>
        </is>
      </c>
      <c r="O507" s="54" t="n">
        <v>0.68</v>
      </c>
      <c r="P507" s="54" t="n">
        <v>0</v>
      </c>
      <c r="Q507" s="7" t="inlineStr">
        <is>
          <t>yes</t>
        </is>
      </c>
      <c r="R507" s="7" t="inlineStr">
        <is>
          <t>whole</t>
        </is>
      </c>
      <c r="S507" s="7" t="inlineStr">
        <is>
          <t>FG4</t>
        </is>
      </c>
      <c r="T507" s="7" t="n"/>
      <c r="U507" s="7" t="inlineStr">
        <is>
          <t>plant</t>
        </is>
      </c>
      <c r="V507" s="7" t="n"/>
      <c r="W507" s="7" t="n"/>
      <c r="X507" s="55" t="n">
        <v>1</v>
      </c>
      <c r="Y507" s="50" t="n">
        <v>0.5</v>
      </c>
      <c r="Z507" s="7" t="inlineStr">
        <is>
          <t>declared</t>
        </is>
      </c>
      <c r="AA507" s="19">
        <f>IF(ISBLANK(Welcome!D533),"",Welcome!D533)</f>
        <v/>
      </c>
      <c r="AB507" s="29">
        <f>IF(ISBLANK(Welcome!E533),"",Welcome!E533)</f>
        <v/>
      </c>
      <c r="AC507" s="29">
        <f>IF(N(AB507)&gt;0,N(AB507),N(AA507)*Y507)</f>
        <v/>
      </c>
      <c r="AD507" s="29">
        <f>IF(H507="yes",AC507,0)</f>
        <v/>
      </c>
      <c r="AE507" s="29">
        <f>AD507*N(M507)/100</f>
        <v/>
      </c>
      <c r="AF507" s="29">
        <f>AD507*N(O507)/100</f>
        <v/>
      </c>
      <c r="AG507" s="29">
        <f>AD507*N(P507)/100</f>
        <v/>
      </c>
      <c r="AH507" s="50">
        <f>IF(Q507="yes",AD507/1000,0)</f>
        <v/>
      </c>
      <c r="AI507" s="50">
        <f>IF(S507="FG2",AH507*X507,AH507)</f>
        <v/>
      </c>
    </row>
    <row r="508">
      <c r="A508" s="7" t="inlineStr">
        <is>
          <t>HM00258</t>
        </is>
      </c>
      <c r="B508" s="16" t="inlineStr">
        <is>
          <t>3012345111928</t>
        </is>
      </c>
      <c r="C508" s="7" t="inlineStr">
        <is>
          <t>HM HOUMOUS CARAMEL ONION 300G</t>
        </is>
      </c>
      <c r="D508" s="7" t="inlineStr">
        <is>
          <t>Caramelised onion houmous, 300g</t>
        </is>
      </c>
      <c r="E508" s="7" t="inlineStr">
        <is>
          <t>Harbour Market</t>
        </is>
      </c>
      <c r="F508" s="7" t="inlineStr">
        <is>
          <t>Deli</t>
        </is>
      </c>
      <c r="G508" s="7" t="inlineStr">
        <is>
          <t>Dips</t>
        </is>
      </c>
      <c r="H508" s="7" t="inlineStr">
        <is>
          <t>yes</t>
        </is>
      </c>
      <c r="I508" s="7" t="inlineStr">
        <is>
          <t>Plant-based core</t>
        </is>
      </c>
      <c r="J508" s="7" t="inlineStr">
        <is>
          <t>Pulses</t>
        </is>
      </c>
      <c r="K508" s="7" t="inlineStr">
        <is>
          <t>A</t>
        </is>
      </c>
      <c r="L508" s="7" t="inlineStr">
        <is>
          <t>All ingredients on one side</t>
        </is>
      </c>
      <c r="M508" s="51" t="n">
        <v>6.8</v>
      </c>
      <c r="N508" s="7" t="inlineStr">
        <is>
          <t>National food table (CIQUAL in France)</t>
        </is>
      </c>
      <c r="O508" s="54" t="n">
        <v>6.8</v>
      </c>
      <c r="P508" s="54" t="n">
        <v>0</v>
      </c>
      <c r="Q508" s="7" t="inlineStr">
        <is>
          <t>yes</t>
        </is>
      </c>
      <c r="R508" s="7" t="inlineStr">
        <is>
          <t>whole</t>
        </is>
      </c>
      <c r="S508" s="7" t="inlineStr">
        <is>
          <t>FG1</t>
        </is>
      </c>
      <c r="T508" s="7" t="inlineStr">
        <is>
          <t>Pulses</t>
        </is>
      </c>
      <c r="U508" s="7" t="inlineStr">
        <is>
          <t>plant</t>
        </is>
      </c>
      <c r="V508" s="7" t="n"/>
      <c r="W508" s="7" t="n"/>
      <c r="X508" s="55" t="n">
        <v>1</v>
      </c>
      <c r="Y508" s="50" t="n">
        <v>0.3</v>
      </c>
      <c r="Z508" s="7" t="inlineStr">
        <is>
          <t>declared</t>
        </is>
      </c>
      <c r="AA508" s="19">
        <f>IF(ISBLANK(Welcome!D534),"",Welcome!D534)</f>
        <v/>
      </c>
      <c r="AB508" s="29">
        <f>IF(ISBLANK(Welcome!E534),"",Welcome!E534)</f>
        <v/>
      </c>
      <c r="AC508" s="29">
        <f>IF(N(AB508)&gt;0,N(AB508),N(AA508)*Y508)</f>
        <v/>
      </c>
      <c r="AD508" s="29">
        <f>IF(H508="yes",AC508,0)</f>
        <v/>
      </c>
      <c r="AE508" s="29">
        <f>AD508*N(M508)/100</f>
        <v/>
      </c>
      <c r="AF508" s="29">
        <f>AD508*N(O508)/100</f>
        <v/>
      </c>
      <c r="AG508" s="29">
        <f>AD508*N(P508)/100</f>
        <v/>
      </c>
      <c r="AH508" s="50">
        <f>IF(Q508="yes",AD508/1000,0)</f>
        <v/>
      </c>
      <c r="AI508" s="50">
        <f>IF(S508="FG2",AH508*X508,AH508)</f>
        <v/>
      </c>
    </row>
    <row r="509">
      <c r="A509" s="7" t="inlineStr">
        <is>
          <t>HM00510</t>
        </is>
      </c>
      <c r="B509" s="16" t="inlineStr">
        <is>
          <t>3012345395229</t>
        </is>
      </c>
      <c r="C509" s="7" t="inlineStr">
        <is>
          <t>KESTREL TUNA CHUNKS BRINE 3X145G</t>
        </is>
      </c>
      <c r="D509" s="7" t="inlineStr">
        <is>
          <t>Tuna chunks in brine, 3x145g</t>
        </is>
      </c>
      <c r="E509" s="7" t="inlineStr">
        <is>
          <t>Kestrel Bay</t>
        </is>
      </c>
      <c r="F509" s="7" t="inlineStr">
        <is>
          <t>Fish &amp; Seafood</t>
        </is>
      </c>
      <c r="G509" s="7" t="inlineStr">
        <is>
          <t>Canned Fish</t>
        </is>
      </c>
      <c r="H509" s="7" t="inlineStr">
        <is>
          <t>yes</t>
        </is>
      </c>
      <c r="I509" s="7" t="inlineStr">
        <is>
          <t>Animal core</t>
        </is>
      </c>
      <c r="J509" s="7" t="inlineStr">
        <is>
          <t>Fish and seafood</t>
        </is>
      </c>
      <c r="K509" s="7" t="inlineStr">
        <is>
          <t>A</t>
        </is>
      </c>
      <c r="L509" s="7" t="inlineStr">
        <is>
          <t>All ingredients on one side</t>
        </is>
      </c>
      <c r="M509" s="51" t="n">
        <v>24.5</v>
      </c>
      <c r="N509" s="7" t="inlineStr">
        <is>
          <t>Open Food Facts and NEVO, by EAN</t>
        </is>
      </c>
      <c r="O509" s="54" t="n">
        <v>0</v>
      </c>
      <c r="P509" s="54" t="n">
        <v>24.5</v>
      </c>
      <c r="Q509" s="7" t="inlineStr">
        <is>
          <t>yes</t>
        </is>
      </c>
      <c r="R509" s="7" t="inlineStr">
        <is>
          <t>whole</t>
        </is>
      </c>
      <c r="S509" s="7" t="inlineStr">
        <is>
          <t>FG1</t>
        </is>
      </c>
      <c r="T509" s="7" t="inlineStr">
        <is>
          <t>Fish &amp; shellfish</t>
        </is>
      </c>
      <c r="U509" s="7" t="inlineStr">
        <is>
          <t>animal</t>
        </is>
      </c>
      <c r="V509" s="7" t="n"/>
      <c r="W509" s="7" t="n"/>
      <c r="X509" s="55" t="n">
        <v>1</v>
      </c>
      <c r="Y509" s="50" t="n">
        <v>0.435</v>
      </c>
      <c r="Z509" s="7" t="inlineStr">
        <is>
          <t>declared</t>
        </is>
      </c>
      <c r="AA509" s="19">
        <f>IF(ISBLANK(Welcome!D535),"",Welcome!D535)</f>
        <v/>
      </c>
      <c r="AB509" s="29">
        <f>IF(ISBLANK(Welcome!E535),"",Welcome!E535)</f>
        <v/>
      </c>
      <c r="AC509" s="29">
        <f>IF(N(AB509)&gt;0,N(AB509),N(AA509)*Y509)</f>
        <v/>
      </c>
      <c r="AD509" s="29">
        <f>IF(H509="yes",AC509,0)</f>
        <v/>
      </c>
      <c r="AE509" s="29">
        <f>AD509*N(M509)/100</f>
        <v/>
      </c>
      <c r="AF509" s="29">
        <f>AD509*N(O509)/100</f>
        <v/>
      </c>
      <c r="AG509" s="29">
        <f>AD509*N(P509)/100</f>
        <v/>
      </c>
      <c r="AH509" s="50">
        <f>IF(Q509="yes",AD509/1000,0)</f>
        <v/>
      </c>
      <c r="AI509" s="50">
        <f>IF(S509="FG2",AH509*X509,AH509)</f>
        <v/>
      </c>
    </row>
    <row r="510">
      <c r="A510" s="7" t="inlineStr">
        <is>
          <t>HM00297</t>
        </is>
      </c>
      <c r="B510" s="16" t="inlineStr">
        <is>
          <t>8712345210267</t>
        </is>
      </c>
      <c r="C510" s="7" t="inlineStr">
        <is>
          <t>CASTELNA PEPPERONI SLICES 200G</t>
        </is>
      </c>
      <c r="D510" s="7" t="inlineStr">
        <is>
          <t>Pepperoni slices, 200g</t>
        </is>
      </c>
      <c r="E510" s="7" t="inlineStr">
        <is>
          <t>Castelna</t>
        </is>
      </c>
      <c r="F510" s="7" t="inlineStr">
        <is>
          <t>Deli</t>
        </is>
      </c>
      <c r="G510" s="7" t="inlineStr">
        <is>
          <t>Cured Meats</t>
        </is>
      </c>
      <c r="H510" s="7" t="inlineStr">
        <is>
          <t>yes</t>
        </is>
      </c>
      <c r="I510" s="7" t="inlineStr">
        <is>
          <t>Animal core</t>
        </is>
      </c>
      <c r="J510" s="7" t="inlineStr">
        <is>
          <t>Dishes and processed products</t>
        </is>
      </c>
      <c r="K510" s="7" t="inlineStr">
        <is>
          <t>A</t>
        </is>
      </c>
      <c r="L510" s="7" t="inlineStr">
        <is>
          <t>All ingredients on one side</t>
        </is>
      </c>
      <c r="M510" s="51" t="n">
        <v>23.5</v>
      </c>
      <c r="N510" s="7" t="inlineStr">
        <is>
          <t>Declared by the retailer</t>
        </is>
      </c>
      <c r="O510" s="54" t="n">
        <v>0</v>
      </c>
      <c r="P510" s="54" t="n">
        <v>23.5</v>
      </c>
      <c r="Q510" s="7" t="inlineStr">
        <is>
          <t>yes</t>
        </is>
      </c>
      <c r="R510" s="7" t="inlineStr">
        <is>
          <t>whole</t>
        </is>
      </c>
      <c r="S510" s="7" t="inlineStr">
        <is>
          <t>FG1</t>
        </is>
      </c>
      <c r="T510" s="7" t="inlineStr">
        <is>
          <t>Red meat</t>
        </is>
      </c>
      <c r="U510" s="7" t="inlineStr">
        <is>
          <t>animal</t>
        </is>
      </c>
      <c r="V510" s="7" t="n"/>
      <c r="W510" s="7" t="n"/>
      <c r="X510" s="55" t="n">
        <v>1</v>
      </c>
      <c r="Y510" s="50" t="n">
        <v>0.2</v>
      </c>
      <c r="Z510" s="7" t="inlineStr">
        <is>
          <t>declared</t>
        </is>
      </c>
      <c r="AA510" s="19">
        <f>IF(ISBLANK(Welcome!D536),"",Welcome!D536)</f>
        <v/>
      </c>
      <c r="AB510" s="29">
        <f>IF(ISBLANK(Welcome!E536),"",Welcome!E536)</f>
        <v/>
      </c>
      <c r="AC510" s="29">
        <f>IF(N(AB510)&gt;0,N(AB510),N(AA510)*Y510)</f>
        <v/>
      </c>
      <c r="AD510" s="29">
        <f>IF(H510="yes",AC510,0)</f>
        <v/>
      </c>
      <c r="AE510" s="29">
        <f>AD510*N(M510)/100</f>
        <v/>
      </c>
      <c r="AF510" s="29">
        <f>AD510*N(O510)/100</f>
        <v/>
      </c>
      <c r="AG510" s="29">
        <f>AD510*N(P510)/100</f>
        <v/>
      </c>
      <c r="AH510" s="50">
        <f>IF(Q510="yes",AD510/1000,0)</f>
        <v/>
      </c>
      <c r="AI510" s="50">
        <f>IF(S510="FG2",AH510*X510,AH510)</f>
        <v/>
      </c>
    </row>
    <row r="511">
      <c r="A511" s="7" t="inlineStr">
        <is>
          <t>HM00132</t>
        </is>
      </c>
      <c r="B511" s="16" t="inlineStr">
        <is>
          <t>5012345838465</t>
        </is>
      </c>
      <c r="C511" s="7" t="inlineStr">
        <is>
          <t>HM COLA 1.5L</t>
        </is>
      </c>
      <c r="D511" s="7" t="inlineStr">
        <is>
          <t>Cola, 1.5l</t>
        </is>
      </c>
      <c r="E511" s="7" t="inlineStr">
        <is>
          <t>Harbour Market</t>
        </is>
      </c>
      <c r="F511" s="7" t="inlineStr">
        <is>
          <t>Soft Drinks &amp; Water</t>
        </is>
      </c>
      <c r="G511" s="7" t="inlineStr">
        <is>
          <t>Soft Drinks</t>
        </is>
      </c>
      <c r="H511" s="7" t="inlineStr">
        <is>
          <t>yes</t>
        </is>
      </c>
      <c r="I511" s="7" t="inlineStr">
        <is>
          <t>Plant-based non-core</t>
        </is>
      </c>
      <c r="J511" s="7" t="inlineStr">
        <is>
          <t>Outside the WWF scope</t>
        </is>
      </c>
      <c r="K511" s="7" t="inlineStr">
        <is>
          <t>A</t>
        </is>
      </c>
      <c r="L511" s="7" t="inlineStr">
        <is>
          <t>All ingredients on one side</t>
        </is>
      </c>
      <c r="M511" s="51" t="n">
        <v>0</v>
      </c>
      <c r="N511" s="7" t="inlineStr">
        <is>
          <t>Median of the family</t>
        </is>
      </c>
      <c r="O511" s="54" t="n">
        <v>0</v>
      </c>
      <c r="P511" s="54" t="n">
        <v>0</v>
      </c>
      <c r="Q511" s="7" t="inlineStr">
        <is>
          <t>no</t>
        </is>
      </c>
      <c r="R511" s="7" t="n"/>
      <c r="S511" s="7" t="n"/>
      <c r="T511" s="7" t="n"/>
      <c r="U511" s="7" t="n"/>
      <c r="V511" s="7" t="n"/>
      <c r="W511" s="7" t="inlineStr">
        <is>
          <t>beverage</t>
        </is>
      </c>
      <c r="X511" s="55" t="n">
        <v>1</v>
      </c>
      <c r="Y511" s="50" t="n">
        <v>1.5</v>
      </c>
      <c r="Z511" s="7" t="inlineStr">
        <is>
          <t>declared</t>
        </is>
      </c>
      <c r="AA511" s="19">
        <f>IF(ISBLANK(Welcome!D537),"",Welcome!D537)</f>
        <v/>
      </c>
      <c r="AB511" s="29">
        <f>IF(ISBLANK(Welcome!E537),"",Welcome!E537)</f>
        <v/>
      </c>
      <c r="AC511" s="29">
        <f>IF(N(AB511)&gt;0,N(AB511),N(AA511)*Y511)</f>
        <v/>
      </c>
      <c r="AD511" s="29">
        <f>IF(H511="yes",AC511,0)</f>
        <v/>
      </c>
      <c r="AE511" s="29">
        <f>AD511*N(M511)/100</f>
        <v/>
      </c>
      <c r="AF511" s="29">
        <f>AD511*N(O511)/100</f>
        <v/>
      </c>
      <c r="AG511" s="29">
        <f>AD511*N(P511)/100</f>
        <v/>
      </c>
      <c r="AH511" s="50">
        <f>IF(Q511="yes",AD511/1000,0)</f>
        <v/>
      </c>
      <c r="AI511" s="50">
        <f>IF(S511="FG2",AH511*X511,AH511)</f>
        <v/>
      </c>
    </row>
    <row r="512">
      <c r="A512" s="7" t="inlineStr">
        <is>
          <t>HM00285</t>
        </is>
      </c>
      <c r="B512" s="16" t="inlineStr">
        <is>
          <t>3012345363167</t>
        </is>
      </c>
      <c r="C512" s="7" t="inlineStr">
        <is>
          <t>HM PORRIDGE OATS 500G</t>
        </is>
      </c>
      <c r="D512" s="7" t="inlineStr">
        <is>
          <t>Porridge oats, 500g</t>
        </is>
      </c>
      <c r="E512" s="7" t="inlineStr">
        <is>
          <t>Harbour Market</t>
        </is>
      </c>
      <c r="F512" s="7" t="inlineStr">
        <is>
          <t>Grocery</t>
        </is>
      </c>
      <c r="G512" s="7" t="inlineStr">
        <is>
          <t>Rice &amp; Grains</t>
        </is>
      </c>
      <c r="H512" s="7" t="inlineStr">
        <is>
          <t>yes</t>
        </is>
      </c>
      <c r="I512" s="7" t="inlineStr">
        <is>
          <t>Plant-based non-core</t>
        </is>
      </c>
      <c r="J512" s="7" t="inlineStr">
        <is>
          <t>Whole grains</t>
        </is>
      </c>
      <c r="K512" s="7" t="inlineStr">
        <is>
          <t>B</t>
        </is>
      </c>
      <c r="L512" s="7" t="inlineStr">
        <is>
          <t>Follows the class</t>
        </is>
      </c>
      <c r="M512" s="51" t="n">
        <v>11.5</v>
      </c>
      <c r="N512" s="7" t="inlineStr">
        <is>
          <t>Declared by the retailer</t>
        </is>
      </c>
      <c r="O512" s="54" t="n">
        <v>11.5</v>
      </c>
      <c r="P512" s="54" t="n">
        <v>0</v>
      </c>
      <c r="Q512" s="7" t="inlineStr">
        <is>
          <t>yes</t>
        </is>
      </c>
      <c r="R512" s="7" t="inlineStr">
        <is>
          <t>whole</t>
        </is>
      </c>
      <c r="S512" s="7" t="inlineStr">
        <is>
          <t>FG5</t>
        </is>
      </c>
      <c r="T512" s="7" t="inlineStr">
        <is>
          <t>Whole grain</t>
        </is>
      </c>
      <c r="U512" s="7" t="inlineStr">
        <is>
          <t>plant</t>
        </is>
      </c>
      <c r="V512" s="7" t="n"/>
      <c r="W512" s="7" t="n"/>
      <c r="X512" s="55" t="n">
        <v>1</v>
      </c>
      <c r="Y512" s="50" t="n">
        <v>0.5</v>
      </c>
      <c r="Z512" s="7" t="inlineStr">
        <is>
          <t>label</t>
        </is>
      </c>
      <c r="AA512" s="19">
        <f>IF(ISBLANK(Welcome!D538),"",Welcome!D538)</f>
        <v/>
      </c>
      <c r="AB512" s="29">
        <f>IF(ISBLANK(Welcome!E538),"",Welcome!E538)</f>
        <v/>
      </c>
      <c r="AC512" s="29">
        <f>IF(N(AB512)&gt;0,N(AB512),N(AA512)*Y512)</f>
        <v/>
      </c>
      <c r="AD512" s="29">
        <f>IF(H512="yes",AC512,0)</f>
        <v/>
      </c>
      <c r="AE512" s="29">
        <f>AD512*N(M512)/100</f>
        <v/>
      </c>
      <c r="AF512" s="29">
        <f>AD512*N(O512)/100</f>
        <v/>
      </c>
      <c r="AG512" s="29">
        <f>AD512*N(P512)/100</f>
        <v/>
      </c>
      <c r="AH512" s="50">
        <f>IF(Q512="yes",AD512/1000,0)</f>
        <v/>
      </c>
      <c r="AI512" s="50">
        <f>IF(S512="FG2",AH512*X512,AH512)</f>
        <v/>
      </c>
    </row>
    <row r="513">
      <c r="A513" s="7" t="inlineStr">
        <is>
          <t>HM00266</t>
        </is>
      </c>
      <c r="B513" s="16" t="inlineStr">
        <is>
          <t>3012345918664</t>
        </is>
      </c>
      <c r="C513" s="7" t="inlineStr">
        <is>
          <t>CHOC CHIP COOKIES 400G MARLOWE</t>
        </is>
      </c>
      <c r="D513" s="7" t="inlineStr">
        <is>
          <t>Chocolate chip cookies, 400g</t>
        </is>
      </c>
      <c r="E513" s="7" t="inlineStr">
        <is>
          <t>Marlowe</t>
        </is>
      </c>
      <c r="F513" s="7" t="inlineStr">
        <is>
          <t>Breakfast &amp; Snacks</t>
        </is>
      </c>
      <c r="G513" s="7" t="inlineStr">
        <is>
          <t>Biscuits</t>
        </is>
      </c>
      <c r="H513" s="7" t="inlineStr">
        <is>
          <t>yes</t>
        </is>
      </c>
      <c r="I513" s="7" t="inlineStr">
        <is>
          <t>Animal &amp; plant composite</t>
        </is>
      </c>
      <c r="J513" s="7" t="inlineStr">
        <is>
          <t>Discretionary products</t>
        </is>
      </c>
      <c r="K513" s="7" t="inlineStr">
        <is>
          <t>B</t>
        </is>
      </c>
      <c r="L513" s="7" t="inlineStr">
        <is>
          <t>50/50 convention</t>
        </is>
      </c>
      <c r="M513" s="51" t="n">
        <v>6.1</v>
      </c>
      <c r="N513" s="7" t="inlineStr">
        <is>
          <t>National food table (CIQUAL in France)</t>
        </is>
      </c>
      <c r="O513" s="54" t="n">
        <v>3.05</v>
      </c>
      <c r="P513" s="54" t="n">
        <v>3.05</v>
      </c>
      <c r="Q513" s="7" t="inlineStr">
        <is>
          <t>yes</t>
        </is>
      </c>
      <c r="R513" s="7" t="inlineStr">
        <is>
          <t>whole</t>
        </is>
      </c>
      <c r="S513" s="7" t="inlineStr">
        <is>
          <t>FG7</t>
        </is>
      </c>
      <c r="T513" s="7" t="n"/>
      <c r="U513" s="7" t="inlineStr">
        <is>
          <t>plant</t>
        </is>
      </c>
      <c r="V513" s="7" t="n"/>
      <c r="W513" s="7" t="n"/>
      <c r="X513" s="55" t="n">
        <v>1</v>
      </c>
      <c r="Y513" s="50" t="n">
        <v>0.4</v>
      </c>
      <c r="Z513" s="7" t="inlineStr">
        <is>
          <t>declared</t>
        </is>
      </c>
      <c r="AA513" s="19">
        <f>IF(ISBLANK(Welcome!D539),"",Welcome!D539)</f>
        <v/>
      </c>
      <c r="AB513" s="29">
        <f>IF(ISBLANK(Welcome!E539),"",Welcome!E539)</f>
        <v/>
      </c>
      <c r="AC513" s="29">
        <f>IF(N(AB513)&gt;0,N(AB513),N(AA513)*Y513)</f>
        <v/>
      </c>
      <c r="AD513" s="29">
        <f>IF(H513="yes",AC513,0)</f>
        <v/>
      </c>
      <c r="AE513" s="29">
        <f>AD513*N(M513)/100</f>
        <v/>
      </c>
      <c r="AF513" s="29">
        <f>AD513*N(O513)/100</f>
        <v/>
      </c>
      <c r="AG513" s="29">
        <f>AD513*N(P513)/100</f>
        <v/>
      </c>
      <c r="AH513" s="50">
        <f>IF(Q513="yes",AD513/1000,0)</f>
        <v/>
      </c>
      <c r="AI513" s="50">
        <f>IF(S513="FG2",AH513*X513,AH513)</f>
        <v/>
      </c>
    </row>
    <row r="514">
      <c r="A514" s="7" t="inlineStr">
        <is>
          <t>HM00022</t>
        </is>
      </c>
      <c r="B514" s="16" t="inlineStr">
        <is>
          <t>5012345520179</t>
        </is>
      </c>
      <c r="C514" s="7" t="inlineStr">
        <is>
          <t>HM RAPESEED OIL 1L</t>
        </is>
      </c>
      <c r="D514" s="7" t="inlineStr">
        <is>
          <t>Rapeseed oil, 1l</t>
        </is>
      </c>
      <c r="E514" s="7" t="inlineStr">
        <is>
          <t>Harbour Market</t>
        </is>
      </c>
      <c r="F514" s="7" t="inlineStr">
        <is>
          <t>Grocery</t>
        </is>
      </c>
      <c r="G514" s="7" t="inlineStr">
        <is>
          <t>Oils</t>
        </is>
      </c>
      <c r="H514" s="7" t="inlineStr">
        <is>
          <t>yes</t>
        </is>
      </c>
      <c r="I514" s="7" t="inlineStr">
        <is>
          <t>Plant-based non-core</t>
        </is>
      </c>
      <c r="J514" s="7" t="inlineStr">
        <is>
          <t>Other</t>
        </is>
      </c>
      <c r="K514" s="7" t="inlineStr">
        <is>
          <t>B</t>
        </is>
      </c>
      <c r="L514" s="7" t="inlineStr">
        <is>
          <t>Follows the class</t>
        </is>
      </c>
      <c r="M514" s="51" t="n">
        <v>0</v>
      </c>
      <c r="N514" s="7" t="inlineStr">
        <is>
          <t>Median of the family</t>
        </is>
      </c>
      <c r="O514" s="54" t="n">
        <v>0</v>
      </c>
      <c r="P514" s="54" t="n">
        <v>0</v>
      </c>
      <c r="Q514" s="7" t="inlineStr">
        <is>
          <t>yes</t>
        </is>
      </c>
      <c r="R514" s="7" t="inlineStr">
        <is>
          <t>whole</t>
        </is>
      </c>
      <c r="S514" s="7" t="inlineStr">
        <is>
          <t>FG3</t>
        </is>
      </c>
      <c r="T514" s="7" t="inlineStr">
        <is>
          <t>Plant-based fat</t>
        </is>
      </c>
      <c r="U514" s="7" t="inlineStr">
        <is>
          <t>plant</t>
        </is>
      </c>
      <c r="V514" s="7" t="n"/>
      <c r="W514" s="7" t="n"/>
      <c r="X514" s="55" t="n">
        <v>1</v>
      </c>
      <c r="Y514" s="50" t="n">
        <v>0.92</v>
      </c>
      <c r="Z514" s="7" t="inlineStr">
        <is>
          <t>label</t>
        </is>
      </c>
      <c r="AA514" s="19">
        <f>IF(ISBLANK(Welcome!D540),"",Welcome!D540)</f>
        <v/>
      </c>
      <c r="AB514" s="29">
        <f>IF(ISBLANK(Welcome!E540),"",Welcome!E540)</f>
        <v/>
      </c>
      <c r="AC514" s="29">
        <f>IF(N(AB514)&gt;0,N(AB514),N(AA514)*Y514)</f>
        <v/>
      </c>
      <c r="AD514" s="29">
        <f>IF(H514="yes",AC514,0)</f>
        <v/>
      </c>
      <c r="AE514" s="29">
        <f>AD514*N(M514)/100</f>
        <v/>
      </c>
      <c r="AF514" s="29">
        <f>AD514*N(O514)/100</f>
        <v/>
      </c>
      <c r="AG514" s="29">
        <f>AD514*N(P514)/100</f>
        <v/>
      </c>
      <c r="AH514" s="50">
        <f>IF(Q514="yes",AD514/1000,0)</f>
        <v/>
      </c>
      <c r="AI514" s="50">
        <f>IF(S514="FG2",AH514*X514,AH514)</f>
        <v/>
      </c>
    </row>
    <row r="515">
      <c r="A515" s="7" t="inlineStr">
        <is>
          <t>HM00408</t>
        </is>
      </c>
      <c r="B515" s="16" t="inlineStr">
        <is>
          <t>4012345236798</t>
        </is>
      </c>
      <c r="C515" s="7" t="inlineStr">
        <is>
          <t>HM EGG CRESS SANDWICH EACH</t>
        </is>
      </c>
      <c r="D515" s="7" t="inlineStr">
        <is>
          <t>Egg &amp; cress sandwich</t>
        </is>
      </c>
      <c r="E515" s="7" t="inlineStr">
        <is>
          <t>Harbour Market</t>
        </is>
      </c>
      <c r="F515" s="7" t="inlineStr">
        <is>
          <t>Ready Meals</t>
        </is>
      </c>
      <c r="G515" s="7" t="inlineStr">
        <is>
          <t>Sandwiches</t>
        </is>
      </c>
      <c r="H515" s="7" t="inlineStr">
        <is>
          <t>yes</t>
        </is>
      </c>
      <c r="I515" s="7" t="inlineStr">
        <is>
          <t>Animal &amp; plant composite</t>
        </is>
      </c>
      <c r="J515" s="7" t="inlineStr">
        <is>
          <t>Vegetarian dishes</t>
        </is>
      </c>
      <c r="K515" s="7" t="inlineStr">
        <is>
          <t>B</t>
        </is>
      </c>
      <c r="L515" s="7" t="inlineStr">
        <is>
          <t>50/50 convention</t>
        </is>
      </c>
      <c r="M515" s="51" t="n">
        <v>11</v>
      </c>
      <c r="N515" s="7" t="inlineStr">
        <is>
          <t>Declared by the retailer</t>
        </is>
      </c>
      <c r="O515" s="54" t="n">
        <v>5.5</v>
      </c>
      <c r="P515" s="54" t="n">
        <v>5.5</v>
      </c>
      <c r="Q515" s="7" t="inlineStr">
        <is>
          <t>yes</t>
        </is>
      </c>
      <c r="R515" s="7" t="inlineStr">
        <is>
          <t>composite</t>
        </is>
      </c>
      <c r="S515" s="7" t="n"/>
      <c r="T515" s="7" t="n"/>
      <c r="U515" s="7" t="n"/>
      <c r="V515" s="7" t="inlineStr">
        <is>
          <t>vegetarian</t>
        </is>
      </c>
      <c r="W515" s="7" t="n"/>
      <c r="X515" s="55" t="n">
        <v>1</v>
      </c>
      <c r="Y515" s="50" t="n">
        <v>0.18</v>
      </c>
      <c r="Z515" s="7" t="inlineStr">
        <is>
          <t>declared</t>
        </is>
      </c>
      <c r="AA515" s="19">
        <f>IF(ISBLANK(Welcome!D541),"",Welcome!D541)</f>
        <v/>
      </c>
      <c r="AB515" s="29">
        <f>IF(ISBLANK(Welcome!E541),"",Welcome!E541)</f>
        <v/>
      </c>
      <c r="AC515" s="29">
        <f>IF(N(AB515)&gt;0,N(AB515),N(AA515)*Y515)</f>
        <v/>
      </c>
      <c r="AD515" s="29">
        <f>IF(H515="yes",AC515,0)</f>
        <v/>
      </c>
      <c r="AE515" s="29">
        <f>AD515*N(M515)/100</f>
        <v/>
      </c>
      <c r="AF515" s="29">
        <f>AD515*N(O515)/100</f>
        <v/>
      </c>
      <c r="AG515" s="29">
        <f>AD515*N(P515)/100</f>
        <v/>
      </c>
      <c r="AH515" s="50">
        <f>IF(Q515="yes",AD515/1000,0)</f>
        <v/>
      </c>
      <c r="AI515" s="50">
        <f>IF(S515="FG2",AH515*X515,AH515)</f>
        <v/>
      </c>
    </row>
    <row r="516">
      <c r="A516" s="7" t="inlineStr">
        <is>
          <t>HM00386</t>
        </is>
      </c>
      <c r="B516" s="16" t="inlineStr">
        <is>
          <t>3012345982832</t>
        </is>
      </c>
      <c r="C516" s="7" t="inlineStr">
        <is>
          <t>MARLOWE STRAWB ICE CREAM 900ML</t>
        </is>
      </c>
      <c r="D516" s="7" t="inlineStr">
        <is>
          <t>Strawberry ice cream, 900ml</t>
        </is>
      </c>
      <c r="E516" s="7" t="inlineStr">
        <is>
          <t>Marlowe</t>
        </is>
      </c>
      <c r="F516" s="7" t="inlineStr">
        <is>
          <t>Frozen</t>
        </is>
      </c>
      <c r="G516" s="7" t="inlineStr">
        <is>
          <t>Ice Cream</t>
        </is>
      </c>
      <c r="H516" s="7" t="inlineStr">
        <is>
          <t>yes</t>
        </is>
      </c>
      <c r="I516" s="7" t="inlineStr">
        <is>
          <t>Animal core</t>
        </is>
      </c>
      <c r="J516" s="7" t="inlineStr">
        <is>
          <t>Discretionary products</t>
        </is>
      </c>
      <c r="K516" s="7" t="inlineStr">
        <is>
          <t>B</t>
        </is>
      </c>
      <c r="L516" s="7" t="inlineStr">
        <is>
          <t>First ingredient</t>
        </is>
      </c>
      <c r="M516" s="51" t="n">
        <v>3.3</v>
      </c>
      <c r="N516" s="7" t="inlineStr">
        <is>
          <t>Open Food Facts and NEVO, by EAN</t>
        </is>
      </c>
      <c r="O516" s="54" t="n">
        <v>0</v>
      </c>
      <c r="P516" s="54" t="n">
        <v>3.3</v>
      </c>
      <c r="Q516" s="7" t="inlineStr">
        <is>
          <t>yes</t>
        </is>
      </c>
      <c r="R516" s="7" t="inlineStr">
        <is>
          <t>whole</t>
        </is>
      </c>
      <c r="S516" s="7" t="inlineStr">
        <is>
          <t>FG7</t>
        </is>
      </c>
      <c r="T516" s="7" t="n"/>
      <c r="U516" s="7" t="inlineStr">
        <is>
          <t>animal</t>
        </is>
      </c>
      <c r="V516" s="7" t="n"/>
      <c r="W516" s="7" t="n"/>
      <c r="X516" s="55" t="n">
        <v>1</v>
      </c>
      <c r="Y516" s="50" t="n">
        <v>0.5</v>
      </c>
      <c r="Z516" s="7" t="inlineStr">
        <is>
          <t>declared</t>
        </is>
      </c>
      <c r="AA516" s="19">
        <f>IF(ISBLANK(Welcome!D542),"",Welcome!D542)</f>
        <v/>
      </c>
      <c r="AB516" s="29">
        <f>IF(ISBLANK(Welcome!E542),"",Welcome!E542)</f>
        <v/>
      </c>
      <c r="AC516" s="29">
        <f>IF(N(AB516)&gt;0,N(AB516),N(AA516)*Y516)</f>
        <v/>
      </c>
      <c r="AD516" s="29">
        <f>IF(H516="yes",AC516,0)</f>
        <v/>
      </c>
      <c r="AE516" s="29">
        <f>AD516*N(M516)/100</f>
        <v/>
      </c>
      <c r="AF516" s="29">
        <f>AD516*N(O516)/100</f>
        <v/>
      </c>
      <c r="AG516" s="29">
        <f>AD516*N(P516)/100</f>
        <v/>
      </c>
      <c r="AH516" s="50">
        <f>IF(Q516="yes",AD516/1000,0)</f>
        <v/>
      </c>
      <c r="AI516" s="50">
        <f>IF(S516="FG2",AH516*X516,AH516)</f>
        <v/>
      </c>
    </row>
    <row r="517">
      <c r="A517" s="7" t="inlineStr">
        <is>
          <t>HM00025</t>
        </is>
      </c>
      <c r="B517" s="16" t="inlineStr">
        <is>
          <t>3012345827010</t>
        </is>
      </c>
      <c r="C517" s="7" t="inlineStr">
        <is>
          <t>HM EXTRA VIRGIN OLIVE OIL 500ML</t>
        </is>
      </c>
      <c r="D517" s="7" t="inlineStr">
        <is>
          <t>Extra virgin olive oil, 500ml</t>
        </is>
      </c>
      <c r="E517" s="7" t="inlineStr">
        <is>
          <t>Harbour Market</t>
        </is>
      </c>
      <c r="F517" s="7" t="inlineStr">
        <is>
          <t>Grocery</t>
        </is>
      </c>
      <c r="G517" s="7" t="inlineStr">
        <is>
          <t>Oils</t>
        </is>
      </c>
      <c r="H517" s="7" t="inlineStr">
        <is>
          <t>yes</t>
        </is>
      </c>
      <c r="I517" s="7" t="inlineStr">
        <is>
          <t>Plant-based non-core</t>
        </is>
      </c>
      <c r="J517" s="7" t="inlineStr">
        <is>
          <t>Other</t>
        </is>
      </c>
      <c r="K517" s="7" t="inlineStr">
        <is>
          <t>B</t>
        </is>
      </c>
      <c r="L517" s="7" t="inlineStr">
        <is>
          <t>Follows the class</t>
        </is>
      </c>
      <c r="M517" s="51" t="n">
        <v>0</v>
      </c>
      <c r="N517" s="7" t="inlineStr">
        <is>
          <t>Altera reference base</t>
        </is>
      </c>
      <c r="O517" s="54" t="n">
        <v>0</v>
      </c>
      <c r="P517" s="54" t="n">
        <v>0</v>
      </c>
      <c r="Q517" s="7" t="inlineStr">
        <is>
          <t>yes</t>
        </is>
      </c>
      <c r="R517" s="7" t="inlineStr">
        <is>
          <t>whole</t>
        </is>
      </c>
      <c r="S517" s="7" t="inlineStr">
        <is>
          <t>FG3</t>
        </is>
      </c>
      <c r="T517" s="7" t="inlineStr">
        <is>
          <t>Plant-based fat</t>
        </is>
      </c>
      <c r="U517" s="7" t="inlineStr">
        <is>
          <t>plant</t>
        </is>
      </c>
      <c r="V517" s="7" t="n"/>
      <c r="W517" s="7" t="n"/>
      <c r="X517" s="55" t="n">
        <v>1</v>
      </c>
      <c r="Y517" s="50" t="n">
        <v>0.46</v>
      </c>
      <c r="Z517" s="7" t="inlineStr">
        <is>
          <t>declared</t>
        </is>
      </c>
      <c r="AA517" s="19">
        <f>IF(ISBLANK(Welcome!D543),"",Welcome!D543)</f>
        <v/>
      </c>
      <c r="AB517" s="29">
        <f>IF(ISBLANK(Welcome!E543),"",Welcome!E543)</f>
        <v/>
      </c>
      <c r="AC517" s="29">
        <f>IF(N(AB517)&gt;0,N(AB517),N(AA517)*Y517)</f>
        <v/>
      </c>
      <c r="AD517" s="29">
        <f>IF(H517="yes",AC517,0)</f>
        <v/>
      </c>
      <c r="AE517" s="29">
        <f>AD517*N(M517)/100</f>
        <v/>
      </c>
      <c r="AF517" s="29">
        <f>AD517*N(O517)/100</f>
        <v/>
      </c>
      <c r="AG517" s="29">
        <f>AD517*N(P517)/100</f>
        <v/>
      </c>
      <c r="AH517" s="50">
        <f>IF(Q517="yes",AD517/1000,0)</f>
        <v/>
      </c>
      <c r="AI517" s="50">
        <f>IF(S517="FG2",AH517*X517,AH517)</f>
        <v/>
      </c>
    </row>
    <row r="518">
      <c r="A518" s="7" t="inlineStr">
        <is>
          <t>HM00157</t>
        </is>
      </c>
      <c r="B518" s="16" t="inlineStr">
        <is>
          <t>5012345839301</t>
        </is>
      </c>
      <c r="C518" s="7" t="inlineStr">
        <is>
          <t>HM COOKED HAM 8SL 200G</t>
        </is>
      </c>
      <c r="D518" s="7" t="inlineStr">
        <is>
          <t>Cooked ham, 8sl 200g</t>
        </is>
      </c>
      <c r="E518" s="7" t="inlineStr">
        <is>
          <t>Harbour Market</t>
        </is>
      </c>
      <c r="F518" s="7" t="inlineStr">
        <is>
          <t>Deli</t>
        </is>
      </c>
      <c r="G518" s="7" t="inlineStr">
        <is>
          <t>Cooked Meats</t>
        </is>
      </c>
      <c r="H518" s="7" t="inlineStr">
        <is>
          <t>yes</t>
        </is>
      </c>
      <c r="I518" s="7" t="inlineStr">
        <is>
          <t>Animal core</t>
        </is>
      </c>
      <c r="J518" s="7" t="inlineStr">
        <is>
          <t>Dishes and processed products</t>
        </is>
      </c>
      <c r="K518" s="7" t="inlineStr">
        <is>
          <t>A</t>
        </is>
      </c>
      <c r="L518" s="7" t="inlineStr">
        <is>
          <t>All ingredients on one side</t>
        </is>
      </c>
      <c r="M518" s="51" t="n">
        <v>17.4</v>
      </c>
      <c r="N518" s="7" t="inlineStr">
        <is>
          <t>Declared by the retailer</t>
        </is>
      </c>
      <c r="O518" s="54" t="n">
        <v>0</v>
      </c>
      <c r="P518" s="54" t="n">
        <v>17.4</v>
      </c>
      <c r="Q518" s="7" t="inlineStr">
        <is>
          <t>yes</t>
        </is>
      </c>
      <c r="R518" s="7" t="inlineStr">
        <is>
          <t>whole</t>
        </is>
      </c>
      <c r="S518" s="7" t="inlineStr">
        <is>
          <t>FG1</t>
        </is>
      </c>
      <c r="T518" s="7" t="inlineStr">
        <is>
          <t>Red meat</t>
        </is>
      </c>
      <c r="U518" s="7" t="inlineStr">
        <is>
          <t>animal</t>
        </is>
      </c>
      <c r="V518" s="7" t="n"/>
      <c r="W518" s="7" t="n"/>
      <c r="X518" s="55" t="n">
        <v>1</v>
      </c>
      <c r="Y518" s="50" t="n">
        <v>0.2</v>
      </c>
      <c r="Z518" s="7" t="inlineStr">
        <is>
          <t>declared</t>
        </is>
      </c>
      <c r="AA518" s="19">
        <f>IF(ISBLANK(Welcome!D544),"",Welcome!D544)</f>
        <v/>
      </c>
      <c r="AB518" s="29">
        <f>IF(ISBLANK(Welcome!E544),"",Welcome!E544)</f>
        <v/>
      </c>
      <c r="AC518" s="29">
        <f>IF(N(AB518)&gt;0,N(AB518),N(AA518)*Y518)</f>
        <v/>
      </c>
      <c r="AD518" s="29">
        <f>IF(H518="yes",AC518,0)</f>
        <v/>
      </c>
      <c r="AE518" s="29">
        <f>AD518*N(M518)/100</f>
        <v/>
      </c>
      <c r="AF518" s="29">
        <f>AD518*N(O518)/100</f>
        <v/>
      </c>
      <c r="AG518" s="29">
        <f>AD518*N(P518)/100</f>
        <v/>
      </c>
      <c r="AH518" s="50">
        <f>IF(Q518="yes",AD518/1000,0)</f>
        <v/>
      </c>
      <c r="AI518" s="50">
        <f>IF(S518="FG2",AH518*X518,AH518)</f>
        <v/>
      </c>
    </row>
    <row r="519">
      <c r="A519" s="7" t="inlineStr">
        <is>
          <t>HM00377</t>
        </is>
      </c>
      <c r="B519" s="16" t="inlineStr">
        <is>
          <t>8712345446161</t>
        </is>
      </c>
      <c r="C519" s="7" t="inlineStr">
        <is>
          <t>BLACK BEANS 400G ORVALIS</t>
        </is>
      </c>
      <c r="D519" s="7" t="inlineStr">
        <is>
          <t>Black beans in water, 400g</t>
        </is>
      </c>
      <c r="E519" s="7" t="inlineStr">
        <is>
          <t>Orvalis</t>
        </is>
      </c>
      <c r="F519" s="7" t="inlineStr">
        <is>
          <t>Grocery</t>
        </is>
      </c>
      <c r="G519" s="7" t="inlineStr">
        <is>
          <t>Pulses</t>
        </is>
      </c>
      <c r="H519" s="7" t="inlineStr">
        <is>
          <t>yes</t>
        </is>
      </c>
      <c r="I519" s="7" t="inlineStr">
        <is>
          <t>Plant-based core</t>
        </is>
      </c>
      <c r="J519" s="7" t="inlineStr">
        <is>
          <t>Pulses</t>
        </is>
      </c>
      <c r="K519" s="7" t="inlineStr">
        <is>
          <t>A</t>
        </is>
      </c>
      <c r="L519" s="7" t="inlineStr">
        <is>
          <t>All ingredients on one side</t>
        </is>
      </c>
      <c r="M519" s="51" t="n">
        <v>7.3</v>
      </c>
      <c r="N519" s="7" t="inlineStr">
        <is>
          <t>Open Food Facts and NEVO, by EAN</t>
        </is>
      </c>
      <c r="O519" s="54" t="n">
        <v>7.3</v>
      </c>
      <c r="P519" s="54" t="n">
        <v>0</v>
      </c>
      <c r="Q519" s="7" t="inlineStr">
        <is>
          <t>yes</t>
        </is>
      </c>
      <c r="R519" s="7" t="inlineStr">
        <is>
          <t>whole</t>
        </is>
      </c>
      <c r="S519" s="7" t="inlineStr">
        <is>
          <t>FG1</t>
        </is>
      </c>
      <c r="T519" s="7" t="inlineStr">
        <is>
          <t>Pulses</t>
        </is>
      </c>
      <c r="U519" s="7" t="inlineStr">
        <is>
          <t>plant</t>
        </is>
      </c>
      <c r="V519" s="7" t="n"/>
      <c r="W519" s="7" t="n"/>
      <c r="X519" s="55" t="n">
        <v>1</v>
      </c>
      <c r="Y519" s="50" t="n">
        <v>0.4</v>
      </c>
      <c r="Z519" s="7" t="inlineStr">
        <is>
          <t>declared</t>
        </is>
      </c>
      <c r="AA519" s="19">
        <f>IF(ISBLANK(Welcome!D545),"",Welcome!D545)</f>
        <v/>
      </c>
      <c r="AB519" s="29">
        <f>IF(ISBLANK(Welcome!E545),"",Welcome!E545)</f>
        <v/>
      </c>
      <c r="AC519" s="29">
        <f>IF(N(AB519)&gt;0,N(AB519),N(AA519)*Y519)</f>
        <v/>
      </c>
      <c r="AD519" s="29">
        <f>IF(H519="yes",AC519,0)</f>
        <v/>
      </c>
      <c r="AE519" s="29">
        <f>AD519*N(M519)/100</f>
        <v/>
      </c>
      <c r="AF519" s="29">
        <f>AD519*N(O519)/100</f>
        <v/>
      </c>
      <c r="AG519" s="29">
        <f>AD519*N(P519)/100</f>
        <v/>
      </c>
      <c r="AH519" s="50">
        <f>IF(Q519="yes",AD519/1000,0)</f>
        <v/>
      </c>
      <c r="AI519" s="50">
        <f>IF(S519="FG2",AH519*X519,AH519)</f>
        <v/>
      </c>
    </row>
    <row r="520">
      <c r="A520" s="7" t="inlineStr">
        <is>
          <t>HM00228</t>
        </is>
      </c>
      <c r="B520" s="16" t="inlineStr">
        <is>
          <t>3012345402408</t>
        </is>
      </c>
      <c r="C520" s="7" t="inlineStr">
        <is>
          <t>HM HONEY MUSTARD PORK 400G</t>
        </is>
      </c>
      <c r="D520" s="7" t="inlineStr">
        <is>
          <t>Honey &amp; mustard pork steaks, 400g</t>
        </is>
      </c>
      <c r="E520" s="7" t="inlineStr">
        <is>
          <t>Harbour Market</t>
        </is>
      </c>
      <c r="F520" s="7" t="inlineStr">
        <is>
          <t>Fresh Meat &amp; Poultry</t>
        </is>
      </c>
      <c r="G520" s="7" t="inlineStr">
        <is>
          <t>BBQ &amp; Marinated</t>
        </is>
      </c>
      <c r="H520" s="7" t="inlineStr">
        <is>
          <t>yes</t>
        </is>
      </c>
      <c r="I520" s="7" t="inlineStr">
        <is>
          <t>Animal core</t>
        </is>
      </c>
      <c r="J520" s="7" t="inlineStr">
        <is>
          <t>Red meat</t>
        </is>
      </c>
      <c r="K520" s="7" t="inlineStr">
        <is>
          <t>B</t>
        </is>
      </c>
      <c r="L520" s="7" t="inlineStr">
        <is>
          <t>First ingredient</t>
        </is>
      </c>
      <c r="M520" s="51" t="n">
        <v>15.4</v>
      </c>
      <c r="N520" s="7" t="inlineStr">
        <is>
          <t>Declared by the retailer</t>
        </is>
      </c>
      <c r="O520" s="54" t="n">
        <v>0</v>
      </c>
      <c r="P520" s="54" t="n">
        <v>15.4</v>
      </c>
      <c r="Q520" s="7" t="inlineStr">
        <is>
          <t>yes</t>
        </is>
      </c>
      <c r="R520" s="7" t="inlineStr">
        <is>
          <t>whole</t>
        </is>
      </c>
      <c r="S520" s="7" t="inlineStr">
        <is>
          <t>FG1</t>
        </is>
      </c>
      <c r="T520" s="7" t="inlineStr">
        <is>
          <t>Red meat</t>
        </is>
      </c>
      <c r="U520" s="7" t="inlineStr">
        <is>
          <t>animal</t>
        </is>
      </c>
      <c r="V520" s="7" t="n"/>
      <c r="W520" s="7" t="n"/>
      <c r="X520" s="55" t="n">
        <v>1</v>
      </c>
      <c r="Y520" s="50" t="n">
        <v>0.4</v>
      </c>
      <c r="Z520" s="7" t="inlineStr">
        <is>
          <t>declared</t>
        </is>
      </c>
      <c r="AA520" s="19">
        <f>IF(ISBLANK(Welcome!D546),"",Welcome!D546)</f>
        <v/>
      </c>
      <c r="AB520" s="29">
        <f>IF(ISBLANK(Welcome!E546),"",Welcome!E546)</f>
        <v/>
      </c>
      <c r="AC520" s="29">
        <f>IF(N(AB520)&gt;0,N(AB520),N(AA520)*Y520)</f>
        <v/>
      </c>
      <c r="AD520" s="29">
        <f>IF(H520="yes",AC520,0)</f>
        <v/>
      </c>
      <c r="AE520" s="29">
        <f>AD520*N(M520)/100</f>
        <v/>
      </c>
      <c r="AF520" s="29">
        <f>AD520*N(O520)/100</f>
        <v/>
      </c>
      <c r="AG520" s="29">
        <f>AD520*N(P520)/100</f>
        <v/>
      </c>
      <c r="AH520" s="50">
        <f>IF(Q520="yes",AD520/1000,0)</f>
        <v/>
      </c>
      <c r="AI520" s="50">
        <f>IF(S520="FG2",AH520*X520,AH520)</f>
        <v/>
      </c>
    </row>
    <row r="521">
      <c r="A521" s="7" t="inlineStr">
        <is>
          <t>HM00426</t>
        </is>
      </c>
      <c r="B521" s="16" t="inlineStr">
        <is>
          <t>5012345459073</t>
        </is>
      </c>
      <c r="C521" s="7" t="inlineStr">
        <is>
          <t>HM PEACH YOG 4X125G</t>
        </is>
      </c>
      <c r="D521" s="7" t="inlineStr">
        <is>
          <t>Peach yoghurt, 4x125g</t>
        </is>
      </c>
      <c r="E521" s="7" t="inlineStr">
        <is>
          <t>Harbour Market</t>
        </is>
      </c>
      <c r="F521" s="7" t="inlineStr">
        <is>
          <t>Dairy &amp; Eggs</t>
        </is>
      </c>
      <c r="G521" s="7" t="inlineStr">
        <is>
          <t>Yoghurt</t>
        </is>
      </c>
      <c r="H521" s="7" t="inlineStr">
        <is>
          <t>yes</t>
        </is>
      </c>
      <c r="I521" s="7" t="inlineStr">
        <is>
          <t>Animal core</t>
        </is>
      </c>
      <c r="J521" s="7" t="inlineStr">
        <is>
          <t>Milk, yoghurt and cream</t>
        </is>
      </c>
      <c r="K521" s="7" t="inlineStr">
        <is>
          <t>B</t>
        </is>
      </c>
      <c r="L521" s="7" t="inlineStr">
        <is>
          <t>First ingredient</t>
        </is>
      </c>
      <c r="M521" s="51" t="n">
        <v>3.6</v>
      </c>
      <c r="N521" s="7" t="inlineStr">
        <is>
          <t>Declared by the retailer</t>
        </is>
      </c>
      <c r="O521" s="54" t="n">
        <v>0</v>
      </c>
      <c r="P521" s="54" t="n">
        <v>3.6</v>
      </c>
      <c r="Q521" s="7" t="inlineStr">
        <is>
          <t>yes</t>
        </is>
      </c>
      <c r="R521" s="7" t="inlineStr">
        <is>
          <t>whole</t>
        </is>
      </c>
      <c r="S521" s="7" t="inlineStr">
        <is>
          <t>FG2</t>
        </is>
      </c>
      <c r="T521" s="7" t="inlineStr">
        <is>
          <t>Dairy</t>
        </is>
      </c>
      <c r="U521" s="7" t="inlineStr">
        <is>
          <t>animal</t>
        </is>
      </c>
      <c r="V521" s="7" t="n"/>
      <c r="W521" s="7" t="n"/>
      <c r="X521" s="55" t="n">
        <v>1</v>
      </c>
      <c r="Y521" s="50" t="n">
        <v>0.5</v>
      </c>
      <c r="Z521" s="7" t="inlineStr">
        <is>
          <t>declared</t>
        </is>
      </c>
      <c r="AA521" s="19">
        <f>IF(ISBLANK(Welcome!D547),"",Welcome!D547)</f>
        <v/>
      </c>
      <c r="AB521" s="29">
        <f>IF(ISBLANK(Welcome!E547),"",Welcome!E547)</f>
        <v/>
      </c>
      <c r="AC521" s="29">
        <f>IF(N(AB521)&gt;0,N(AB521),N(AA521)*Y521)</f>
        <v/>
      </c>
      <c r="AD521" s="29">
        <f>IF(H521="yes",AC521,0)</f>
        <v/>
      </c>
      <c r="AE521" s="29">
        <f>AD521*N(M521)/100</f>
        <v/>
      </c>
      <c r="AF521" s="29">
        <f>AD521*N(O521)/100</f>
        <v/>
      </c>
      <c r="AG521" s="29">
        <f>AD521*N(P521)/100</f>
        <v/>
      </c>
      <c r="AH521" s="50">
        <f>IF(Q521="yes",AD521/1000,0)</f>
        <v/>
      </c>
      <c r="AI521" s="50">
        <f>IF(S521="FG2",AH521*X521,AH521)</f>
        <v/>
      </c>
    </row>
    <row r="522">
      <c r="A522" s="7" t="inlineStr">
        <is>
          <t>HM00353</t>
        </is>
      </c>
      <c r="B522" s="16" t="inlineStr">
        <is>
          <t>4012345797893</t>
        </is>
      </c>
      <c r="C522" s="7" t="inlineStr">
        <is>
          <t>HM GREEN BEANS 500G</t>
        </is>
      </c>
      <c r="D522" s="7" t="inlineStr">
        <is>
          <t>Fine green beans, 500g</t>
        </is>
      </c>
      <c r="E522" s="7" t="inlineStr">
        <is>
          <t>Harbour Market</t>
        </is>
      </c>
      <c r="F522" s="7" t="inlineStr">
        <is>
          <t>Fruit &amp; Vegetables</t>
        </is>
      </c>
      <c r="G522" s="7" t="inlineStr">
        <is>
          <t>Vegetables</t>
        </is>
      </c>
      <c r="H522" s="7" t="inlineStr">
        <is>
          <t>yes</t>
        </is>
      </c>
      <c r="I522" s="7" t="inlineStr">
        <is>
          <t>Plant-based non-core</t>
        </is>
      </c>
      <c r="J522" s="7" t="inlineStr">
        <is>
          <t>Fruit and vegetables</t>
        </is>
      </c>
      <c r="K522" s="7" t="inlineStr">
        <is>
          <t>B</t>
        </is>
      </c>
      <c r="L522" s="7" t="inlineStr">
        <is>
          <t>Follows the class</t>
        </is>
      </c>
      <c r="M522" s="51" t="n">
        <v>1.9</v>
      </c>
      <c r="N522" s="7" t="inlineStr">
        <is>
          <t>Open Food Facts and NEVO, by EAN</t>
        </is>
      </c>
      <c r="O522" s="54" t="n">
        <v>1.9</v>
      </c>
      <c r="P522" s="54" t="n">
        <v>0</v>
      </c>
      <c r="Q522" s="7" t="inlineStr">
        <is>
          <t>yes</t>
        </is>
      </c>
      <c r="R522" s="7" t="inlineStr">
        <is>
          <t>whole</t>
        </is>
      </c>
      <c r="S522" s="7" t="inlineStr">
        <is>
          <t>FG4</t>
        </is>
      </c>
      <c r="T522" s="7" t="n"/>
      <c r="U522" s="7" t="inlineStr">
        <is>
          <t>plant</t>
        </is>
      </c>
      <c r="V522" s="7" t="n"/>
      <c r="W522" s="7" t="n"/>
      <c r="X522" s="55" t="n">
        <v>1</v>
      </c>
      <c r="Y522" s="50" t="n">
        <v>0.5</v>
      </c>
      <c r="Z522" s="7" t="inlineStr">
        <is>
          <t>declared</t>
        </is>
      </c>
      <c r="AA522" s="19">
        <f>IF(ISBLANK(Welcome!D548),"",Welcome!D548)</f>
        <v/>
      </c>
      <c r="AB522" s="29">
        <f>IF(ISBLANK(Welcome!E548),"",Welcome!E548)</f>
        <v/>
      </c>
      <c r="AC522" s="29">
        <f>IF(N(AB522)&gt;0,N(AB522),N(AA522)*Y522)</f>
        <v/>
      </c>
      <c r="AD522" s="29">
        <f>IF(H522="yes",AC522,0)</f>
        <v/>
      </c>
      <c r="AE522" s="29">
        <f>AD522*N(M522)/100</f>
        <v/>
      </c>
      <c r="AF522" s="29">
        <f>AD522*N(O522)/100</f>
        <v/>
      </c>
      <c r="AG522" s="29">
        <f>AD522*N(P522)/100</f>
        <v/>
      </c>
      <c r="AH522" s="50">
        <f>IF(Q522="yes",AD522/1000,0)</f>
        <v/>
      </c>
      <c r="AI522" s="50">
        <f>IF(S522="FG2",AH522*X522,AH522)</f>
        <v/>
      </c>
    </row>
    <row r="523">
      <c r="A523" s="7" t="inlineStr">
        <is>
          <t>HM00373</t>
        </is>
      </c>
      <c r="B523" s="16" t="inlineStr">
        <is>
          <t>2909687168750</t>
        </is>
      </c>
      <c r="C523" s="7" t="inlineStr">
        <is>
          <t>HM STRAWBERRIES LOOSE</t>
        </is>
      </c>
      <c r="D523" s="7" t="inlineStr">
        <is>
          <t>Strawberries</t>
        </is>
      </c>
      <c r="E523" s="7" t="inlineStr">
        <is>
          <t>Harbour Market</t>
        </is>
      </c>
      <c r="F523" s="7" t="inlineStr">
        <is>
          <t>Fruit &amp; Vegetables</t>
        </is>
      </c>
      <c r="G523" s="7" t="inlineStr">
        <is>
          <t>Fruit</t>
        </is>
      </c>
      <c r="H523" s="7" t="inlineStr">
        <is>
          <t>yes</t>
        </is>
      </c>
      <c r="I523" s="7" t="inlineStr">
        <is>
          <t>Plant-based non-core</t>
        </is>
      </c>
      <c r="J523" s="7" t="inlineStr">
        <is>
          <t>Fruit and vegetables</t>
        </is>
      </c>
      <c r="K523" s="7" t="inlineStr">
        <is>
          <t>B</t>
        </is>
      </c>
      <c r="L523" s="7" t="inlineStr">
        <is>
          <t>Follows the class</t>
        </is>
      </c>
      <c r="M523" s="51" t="n">
        <v>0.67</v>
      </c>
      <c r="N523" s="7" t="inlineStr">
        <is>
          <t>National food table (CIQUAL in France)</t>
        </is>
      </c>
      <c r="O523" s="54" t="n">
        <v>0.67</v>
      </c>
      <c r="P523" s="54" t="n">
        <v>0</v>
      </c>
      <c r="Q523" s="7" t="inlineStr">
        <is>
          <t>yes</t>
        </is>
      </c>
      <c r="R523" s="7" t="inlineStr">
        <is>
          <t>whole</t>
        </is>
      </c>
      <c r="S523" s="7" t="inlineStr">
        <is>
          <t>FG4</t>
        </is>
      </c>
      <c r="T523" s="7" t="n"/>
      <c r="U523" s="7" t="inlineStr">
        <is>
          <t>plant</t>
        </is>
      </c>
      <c r="V523" s="7" t="n"/>
      <c r="W523" s="7" t="n"/>
      <c r="X523" s="55" t="n">
        <v>1</v>
      </c>
      <c r="Y523" s="50" t="n">
        <v>1</v>
      </c>
      <c r="Z523" s="7" t="inlineStr">
        <is>
          <t>variable</t>
        </is>
      </c>
      <c r="AA523" s="19">
        <f>IF(ISBLANK(Welcome!D549),"",Welcome!D549)</f>
        <v/>
      </c>
      <c r="AB523" s="29">
        <f>IF(ISBLANK(Welcome!E549),"",Welcome!E549)</f>
        <v/>
      </c>
      <c r="AC523" s="29">
        <f>IF(N(AB523)&gt;0,N(AB523),N(AA523)*Y523)</f>
        <v/>
      </c>
      <c r="AD523" s="29">
        <f>IF(H523="yes",AC523,0)</f>
        <v/>
      </c>
      <c r="AE523" s="29">
        <f>AD523*N(M523)/100</f>
        <v/>
      </c>
      <c r="AF523" s="29">
        <f>AD523*N(O523)/100</f>
        <v/>
      </c>
      <c r="AG523" s="29">
        <f>AD523*N(P523)/100</f>
        <v/>
      </c>
      <c r="AH523" s="50">
        <f>IF(Q523="yes",AD523/1000,0)</f>
        <v/>
      </c>
      <c r="AI523" s="50">
        <f>IF(S523="FG2",AH523*X523,AH523)</f>
        <v/>
      </c>
    </row>
    <row r="524">
      <c r="A524" s="7" t="inlineStr">
        <is>
          <t>HM00107</t>
        </is>
      </c>
      <c r="B524" s="16" t="inlineStr">
        <is>
          <t>5012345589428</t>
        </is>
      </c>
      <c r="C524" s="7" t="inlineStr">
        <is>
          <t>HM WHOLEMEAL SLICED 500G</t>
        </is>
      </c>
      <c r="D524" s="7" t="inlineStr">
        <is>
          <t>Wholemeal sliced bread, 500g</t>
        </is>
      </c>
      <c r="E524" s="7" t="inlineStr">
        <is>
          <t>Harbour Market</t>
        </is>
      </c>
      <c r="F524" s="7" t="inlineStr">
        <is>
          <t>Bakery</t>
        </is>
      </c>
      <c r="G524" s="7" t="inlineStr">
        <is>
          <t>Bread</t>
        </is>
      </c>
      <c r="H524" s="7" t="inlineStr">
        <is>
          <t>yes</t>
        </is>
      </c>
      <c r="I524" s="7" t="inlineStr">
        <is>
          <t>Plant-based non-core</t>
        </is>
      </c>
      <c r="J524" s="7" t="inlineStr">
        <is>
          <t>Whole grains</t>
        </is>
      </c>
      <c r="K524" s="7" t="inlineStr">
        <is>
          <t>A</t>
        </is>
      </c>
      <c r="L524" s="7" t="inlineStr">
        <is>
          <t>All ingredients on one side</t>
        </is>
      </c>
      <c r="M524" s="51" t="n">
        <v>10.4</v>
      </c>
      <c r="N524" s="7" t="inlineStr">
        <is>
          <t>Altera reference base</t>
        </is>
      </c>
      <c r="O524" s="54" t="n">
        <v>10.4</v>
      </c>
      <c r="P524" s="54" t="n">
        <v>0</v>
      </c>
      <c r="Q524" s="7" t="inlineStr">
        <is>
          <t>yes</t>
        </is>
      </c>
      <c r="R524" s="7" t="inlineStr">
        <is>
          <t>whole</t>
        </is>
      </c>
      <c r="S524" s="7" t="inlineStr">
        <is>
          <t>FG5</t>
        </is>
      </c>
      <c r="T524" s="7" t="inlineStr">
        <is>
          <t>Whole grain</t>
        </is>
      </c>
      <c r="U524" s="7" t="inlineStr">
        <is>
          <t>plant</t>
        </is>
      </c>
      <c r="V524" s="7" t="n"/>
      <c r="W524" s="7" t="n"/>
      <c r="X524" s="55" t="n">
        <v>1</v>
      </c>
      <c r="Y524" s="50" t="n">
        <v>0.5</v>
      </c>
      <c r="Z524" s="7" t="inlineStr">
        <is>
          <t>label</t>
        </is>
      </c>
      <c r="AA524" s="19">
        <f>IF(ISBLANK(Welcome!D550),"",Welcome!D550)</f>
        <v/>
      </c>
      <c r="AB524" s="29">
        <f>IF(ISBLANK(Welcome!E550),"",Welcome!E550)</f>
        <v/>
      </c>
      <c r="AC524" s="29">
        <f>IF(N(AB524)&gt;0,N(AB524),N(AA524)*Y524)</f>
        <v/>
      </c>
      <c r="AD524" s="29">
        <f>IF(H524="yes",AC524,0)</f>
        <v/>
      </c>
      <c r="AE524" s="29">
        <f>AD524*N(M524)/100</f>
        <v/>
      </c>
      <c r="AF524" s="29">
        <f>AD524*N(O524)/100</f>
        <v/>
      </c>
      <c r="AG524" s="29">
        <f>AD524*N(P524)/100</f>
        <v/>
      </c>
      <c r="AH524" s="50">
        <f>IF(Q524="yes",AD524/1000,0)</f>
        <v/>
      </c>
      <c r="AI524" s="50">
        <f>IF(S524="FG2",AH524*X524,AH524)</f>
        <v/>
      </c>
    </row>
    <row r="525">
      <c r="A525" s="7" t="inlineStr">
        <is>
          <t>HM00188</t>
        </is>
      </c>
      <c r="B525" s="16" t="inlineStr">
        <is>
          <t>8712345919627</t>
        </is>
      </c>
      <c r="C525" s="7" t="inlineStr">
        <is>
          <t>HM SPAGHETTI 500G</t>
        </is>
      </c>
      <c r="D525" s="7" t="inlineStr">
        <is>
          <t>Spaghetti, 500g</t>
        </is>
      </c>
      <c r="E525" s="7" t="inlineStr">
        <is>
          <t>Harbour Market</t>
        </is>
      </c>
      <c r="F525" s="7" t="inlineStr">
        <is>
          <t>Grocery</t>
        </is>
      </c>
      <c r="G525" s="7" t="inlineStr">
        <is>
          <t>Pasta</t>
        </is>
      </c>
      <c r="H525" s="7" t="inlineStr">
        <is>
          <t>yes</t>
        </is>
      </c>
      <c r="I525" s="7" t="inlineStr">
        <is>
          <t>Plant-based non-core</t>
        </is>
      </c>
      <c r="J525" s="7" t="inlineStr">
        <is>
          <t>Refined grains</t>
        </is>
      </c>
      <c r="K525" s="7" t="inlineStr">
        <is>
          <t>A</t>
        </is>
      </c>
      <c r="L525" s="7" t="inlineStr">
        <is>
          <t>All ingredients on one side</t>
        </is>
      </c>
      <c r="M525" s="51" t="n">
        <v>12.4</v>
      </c>
      <c r="N525" s="7" t="inlineStr">
        <is>
          <t>Declared by the retailer</t>
        </is>
      </c>
      <c r="O525" s="54" t="n">
        <v>12.4</v>
      </c>
      <c r="P525" s="54" t="n">
        <v>0</v>
      </c>
      <c r="Q525" s="7" t="inlineStr">
        <is>
          <t>yes</t>
        </is>
      </c>
      <c r="R525" s="7" t="inlineStr">
        <is>
          <t>whole</t>
        </is>
      </c>
      <c r="S525" s="7" t="inlineStr">
        <is>
          <t>FG5</t>
        </is>
      </c>
      <c r="T525" s="7" t="inlineStr">
        <is>
          <t>Refined grain</t>
        </is>
      </c>
      <c r="U525" s="7" t="inlineStr">
        <is>
          <t>plant</t>
        </is>
      </c>
      <c r="V525" s="7" t="n"/>
      <c r="W525" s="7" t="n"/>
      <c r="X525" s="55" t="n">
        <v>1</v>
      </c>
      <c r="Y525" s="50" t="n">
        <v>0.5</v>
      </c>
      <c r="Z525" s="7" t="inlineStr">
        <is>
          <t>declared</t>
        </is>
      </c>
      <c r="AA525" s="19">
        <f>IF(ISBLANK(Welcome!D551),"",Welcome!D551)</f>
        <v/>
      </c>
      <c r="AB525" s="29">
        <f>IF(ISBLANK(Welcome!E551),"",Welcome!E551)</f>
        <v/>
      </c>
      <c r="AC525" s="29">
        <f>IF(N(AB525)&gt;0,N(AB525),N(AA525)*Y525)</f>
        <v/>
      </c>
      <c r="AD525" s="29">
        <f>IF(H525="yes",AC525,0)</f>
        <v/>
      </c>
      <c r="AE525" s="29">
        <f>AD525*N(M525)/100</f>
        <v/>
      </c>
      <c r="AF525" s="29">
        <f>AD525*N(O525)/100</f>
        <v/>
      </c>
      <c r="AG525" s="29">
        <f>AD525*N(P525)/100</f>
        <v/>
      </c>
      <c r="AH525" s="50">
        <f>IF(Q525="yes",AD525/1000,0)</f>
        <v/>
      </c>
      <c r="AI525" s="50">
        <f>IF(S525="FG2",AH525*X525,AH525)</f>
        <v/>
      </c>
    </row>
    <row r="526">
      <c r="A526" s="7" t="inlineStr">
        <is>
          <t>HM00321</t>
        </is>
      </c>
      <c r="B526" s="16" t="inlineStr">
        <is>
          <t>8712345136222</t>
        </is>
      </c>
      <c r="C526" s="7" t="inlineStr">
        <is>
          <t>FJELDA YOG CEREAL MIX 150G</t>
        </is>
      </c>
      <c r="D526" s="7" t="inlineStr">
        <is>
          <t>Yoghurt with cereal topping, 150g</t>
        </is>
      </c>
      <c r="E526" s="7" t="inlineStr">
        <is>
          <t>Fjelda</t>
        </is>
      </c>
      <c r="F526" s="7" t="inlineStr">
        <is>
          <t>Dairy &amp; Eggs</t>
        </is>
      </c>
      <c r="G526" s="7" t="inlineStr">
        <is>
          <t>Yoghurt</t>
        </is>
      </c>
      <c r="H526" s="7" t="inlineStr">
        <is>
          <t>yes</t>
        </is>
      </c>
      <c r="I526" s="7" t="inlineStr">
        <is>
          <t>Animal &amp; plant composite</t>
        </is>
      </c>
      <c r="J526" s="7" t="inlineStr">
        <is>
          <t>Vegetarian dishes</t>
        </is>
      </c>
      <c r="K526" s="7" t="inlineStr">
        <is>
          <t>A</t>
        </is>
      </c>
      <c r="L526" s="7" t="inlineStr">
        <is>
          <t>Ingredient list</t>
        </is>
      </c>
      <c r="M526" s="51" t="n">
        <v>4.3</v>
      </c>
      <c r="N526" s="7" t="inlineStr">
        <is>
          <t>Median of the family</t>
        </is>
      </c>
      <c r="O526" s="54" t="n">
        <v>0.47</v>
      </c>
      <c r="P526" s="54" t="n">
        <v>3.83</v>
      </c>
      <c r="Q526" s="7" t="inlineStr">
        <is>
          <t>yes</t>
        </is>
      </c>
      <c r="R526" s="7" t="inlineStr">
        <is>
          <t>composite</t>
        </is>
      </c>
      <c r="S526" s="7" t="n"/>
      <c r="T526" s="7" t="n"/>
      <c r="U526" s="7" t="n"/>
      <c r="V526" s="7" t="inlineStr">
        <is>
          <t>vegetarian</t>
        </is>
      </c>
      <c r="W526" s="7" t="n"/>
      <c r="X526" s="55" t="n">
        <v>1</v>
      </c>
      <c r="Y526" s="50" t="n">
        <v>0.15</v>
      </c>
      <c r="Z526" s="7" t="inlineStr">
        <is>
          <t>declared</t>
        </is>
      </c>
      <c r="AA526" s="19">
        <f>IF(ISBLANK(Welcome!D552),"",Welcome!D552)</f>
        <v/>
      </c>
      <c r="AB526" s="29">
        <f>IF(ISBLANK(Welcome!E552),"",Welcome!E552)</f>
        <v/>
      </c>
      <c r="AC526" s="29">
        <f>IF(N(AB526)&gt;0,N(AB526),N(AA526)*Y526)</f>
        <v/>
      </c>
      <c r="AD526" s="29">
        <f>IF(H526="yes",AC526,0)</f>
        <v/>
      </c>
      <c r="AE526" s="29">
        <f>AD526*N(M526)/100</f>
        <v/>
      </c>
      <c r="AF526" s="29">
        <f>AD526*N(O526)/100</f>
        <v/>
      </c>
      <c r="AG526" s="29">
        <f>AD526*N(P526)/100</f>
        <v/>
      </c>
      <c r="AH526" s="50">
        <f>IF(Q526="yes",AD526/1000,0)</f>
        <v/>
      </c>
      <c r="AI526" s="50">
        <f>IF(S526="FG2",AH526*X526,AH526)</f>
        <v/>
      </c>
    </row>
    <row r="527">
      <c r="A527" s="7" t="inlineStr">
        <is>
          <t>HM00388</t>
        </is>
      </c>
      <c r="B527" s="16" t="inlineStr">
        <is>
          <t>3012345122771</t>
        </is>
      </c>
      <c r="C527" s="7" t="inlineStr">
        <is>
          <t>HM ICEBERG LETTUCE EACH</t>
        </is>
      </c>
      <c r="D527" s="7" t="inlineStr">
        <is>
          <t>Iceberg lettuce</t>
        </is>
      </c>
      <c r="E527" s="7" t="inlineStr">
        <is>
          <t>Harbour Market</t>
        </is>
      </c>
      <c r="F527" s="7" t="inlineStr">
        <is>
          <t>Fruit &amp; Vegetables</t>
        </is>
      </c>
      <c r="G527" s="7" t="inlineStr">
        <is>
          <t>Vegetables</t>
        </is>
      </c>
      <c r="H527" s="7" t="inlineStr">
        <is>
          <t>yes</t>
        </is>
      </c>
      <c r="I527" s="7" t="inlineStr">
        <is>
          <t>Plant-based non-core</t>
        </is>
      </c>
      <c r="J527" s="7" t="inlineStr">
        <is>
          <t>Fruit and vegetables</t>
        </is>
      </c>
      <c r="K527" s="7" t="inlineStr">
        <is>
          <t>B</t>
        </is>
      </c>
      <c r="L527" s="7" t="inlineStr">
        <is>
          <t>Follows the class</t>
        </is>
      </c>
      <c r="M527" s="51" t="n">
        <v>0.96</v>
      </c>
      <c r="N527" s="7" t="inlineStr">
        <is>
          <t>Open Food Facts and NEVO, by EAN</t>
        </is>
      </c>
      <c r="O527" s="54" t="n">
        <v>0.96</v>
      </c>
      <c r="P527" s="54" t="n">
        <v>0</v>
      </c>
      <c r="Q527" s="7" t="inlineStr">
        <is>
          <t>yes</t>
        </is>
      </c>
      <c r="R527" s="7" t="inlineStr">
        <is>
          <t>whole</t>
        </is>
      </c>
      <c r="S527" s="7" t="inlineStr">
        <is>
          <t>FG4</t>
        </is>
      </c>
      <c r="T527" s="7" t="n"/>
      <c r="U527" s="7" t="inlineStr">
        <is>
          <t>plant</t>
        </is>
      </c>
      <c r="V527" s="7" t="n"/>
      <c r="W527" s="7" t="n"/>
      <c r="X527" s="55" t="n">
        <v>1</v>
      </c>
      <c r="Y527" s="50" t="n">
        <v>0.5</v>
      </c>
      <c r="Z527" s="7" t="inlineStr">
        <is>
          <t>typical_piece</t>
        </is>
      </c>
      <c r="AA527" s="19">
        <f>IF(ISBLANK(Welcome!D553),"",Welcome!D553)</f>
        <v/>
      </c>
      <c r="AB527" s="29">
        <f>IF(ISBLANK(Welcome!E553),"",Welcome!E553)</f>
        <v/>
      </c>
      <c r="AC527" s="29">
        <f>IF(N(AB527)&gt;0,N(AB527),N(AA527)*Y527)</f>
        <v/>
      </c>
      <c r="AD527" s="29">
        <f>IF(H527="yes",AC527,0)</f>
        <v/>
      </c>
      <c r="AE527" s="29">
        <f>AD527*N(M527)/100</f>
        <v/>
      </c>
      <c r="AF527" s="29">
        <f>AD527*N(O527)/100</f>
        <v/>
      </c>
      <c r="AG527" s="29">
        <f>AD527*N(P527)/100</f>
        <v/>
      </c>
      <c r="AH527" s="50">
        <f>IF(Q527="yes",AD527/1000,0)</f>
        <v/>
      </c>
      <c r="AI527" s="50">
        <f>IF(S527="FG2",AH527*X527,AH527)</f>
        <v/>
      </c>
    </row>
    <row r="528">
      <c r="A528" s="7" t="inlineStr">
        <is>
          <t>HM00707</t>
        </is>
      </c>
      <c r="B528" s="16" t="inlineStr">
        <is>
          <t>8712345279936</t>
        </is>
      </c>
      <c r="C528" s="7" t="inlineStr">
        <is>
          <t>HM HAM TRIM 8SL 200G</t>
        </is>
      </c>
      <c r="D528" s="7" t="inlineStr">
        <is>
          <t>Ham trimmings, 8sl 200g</t>
        </is>
      </c>
      <c r="E528" s="7" t="inlineStr">
        <is>
          <t>Harbour Market</t>
        </is>
      </c>
      <c r="F528" s="7" t="inlineStr">
        <is>
          <t>Deli</t>
        </is>
      </c>
      <c r="G528" s="7" t="inlineStr">
        <is>
          <t>Cooked Meats</t>
        </is>
      </c>
      <c r="H528" s="7" t="inlineStr">
        <is>
          <t>yes</t>
        </is>
      </c>
      <c r="I528" s="7" t="inlineStr">
        <is>
          <t>Animal core</t>
        </is>
      </c>
      <c r="J528" s="7" t="inlineStr">
        <is>
          <t>Dishes and processed products</t>
        </is>
      </c>
      <c r="K528" s="7" t="inlineStr">
        <is>
          <t>B</t>
        </is>
      </c>
      <c r="L528" s="7" t="inlineStr">
        <is>
          <t>Follows the class</t>
        </is>
      </c>
      <c r="M528" s="51" t="n">
        <v>18.4</v>
      </c>
      <c r="N528" s="7" t="inlineStr">
        <is>
          <t>Declared by the retailer</t>
        </is>
      </c>
      <c r="O528" s="54" t="n">
        <v>0</v>
      </c>
      <c r="P528" s="54" t="n">
        <v>18.4</v>
      </c>
      <c r="Q528" s="7" t="inlineStr">
        <is>
          <t>yes</t>
        </is>
      </c>
      <c r="R528" s="7" t="inlineStr">
        <is>
          <t>whole</t>
        </is>
      </c>
      <c r="S528" s="7" t="inlineStr">
        <is>
          <t>FG1</t>
        </is>
      </c>
      <c r="T528" s="7" t="inlineStr">
        <is>
          <t>Red meat</t>
        </is>
      </c>
      <c r="U528" s="7" t="inlineStr">
        <is>
          <t>animal</t>
        </is>
      </c>
      <c r="V528" s="7" t="n"/>
      <c r="W528" s="7" t="n"/>
      <c r="X528" s="55" t="n">
        <v>1</v>
      </c>
      <c r="Y528" s="50" t="n">
        <v>0.2</v>
      </c>
      <c r="Z528" s="7" t="inlineStr">
        <is>
          <t>declared</t>
        </is>
      </c>
      <c r="AA528" s="19">
        <f>IF(ISBLANK(Welcome!D554),"",Welcome!D554)</f>
        <v/>
      </c>
      <c r="AB528" s="29">
        <f>IF(ISBLANK(Welcome!E554),"",Welcome!E554)</f>
        <v/>
      </c>
      <c r="AC528" s="29">
        <f>IF(N(AB528)&gt;0,N(AB528),N(AA528)*Y528)</f>
        <v/>
      </c>
      <c r="AD528" s="29">
        <f>IF(H528="yes",AC528,0)</f>
        <v/>
      </c>
      <c r="AE528" s="29">
        <f>AD528*N(M528)/100</f>
        <v/>
      </c>
      <c r="AF528" s="29">
        <f>AD528*N(O528)/100</f>
        <v/>
      </c>
      <c r="AG528" s="29">
        <f>AD528*N(P528)/100</f>
        <v/>
      </c>
      <c r="AH528" s="50">
        <f>IF(Q528="yes",AD528/1000,0)</f>
        <v/>
      </c>
      <c r="AI528" s="50">
        <f>IF(S528="FG2",AH528*X528,AH528)</f>
        <v/>
      </c>
    </row>
    <row r="529">
      <c r="A529" s="7" t="inlineStr">
        <is>
          <t>HM00013</t>
        </is>
      </c>
      <c r="B529" s="16" t="inlineStr">
        <is>
          <t>5012345596600</t>
        </is>
      </c>
      <c r="C529" s="7" t="inlineStr">
        <is>
          <t>HM BRIOCHE ROLLS 6PK 270G</t>
        </is>
      </c>
      <c r="D529" s="7" t="inlineStr">
        <is>
          <t>Brioche rolls, 6pk 270g</t>
        </is>
      </c>
      <c r="E529" s="7" t="inlineStr">
        <is>
          <t>Harbour Market</t>
        </is>
      </c>
      <c r="F529" s="7" t="inlineStr">
        <is>
          <t>Bakery</t>
        </is>
      </c>
      <c r="G529" s="7" t="inlineStr">
        <is>
          <t>Pastries</t>
        </is>
      </c>
      <c r="H529" s="7" t="inlineStr">
        <is>
          <t>yes</t>
        </is>
      </c>
      <c r="I529" s="7" t="inlineStr">
        <is>
          <t>Animal &amp; plant composite</t>
        </is>
      </c>
      <c r="J529" s="7" t="inlineStr">
        <is>
          <t>Discretionary products</t>
        </is>
      </c>
      <c r="K529" s="7" t="inlineStr">
        <is>
          <t>B</t>
        </is>
      </c>
      <c r="L529" s="7" t="inlineStr">
        <is>
          <t>50/50 convention</t>
        </is>
      </c>
      <c r="M529" s="51" t="n">
        <v>7.8</v>
      </c>
      <c r="N529" s="7" t="inlineStr">
        <is>
          <t>Declared by the retailer</t>
        </is>
      </c>
      <c r="O529" s="54" t="n">
        <v>3.9</v>
      </c>
      <c r="P529" s="54" t="n">
        <v>3.9</v>
      </c>
      <c r="Q529" s="7" t="inlineStr">
        <is>
          <t>yes</t>
        </is>
      </c>
      <c r="R529" s="7" t="inlineStr">
        <is>
          <t>whole</t>
        </is>
      </c>
      <c r="S529" s="7" t="inlineStr">
        <is>
          <t>FG7</t>
        </is>
      </c>
      <c r="T529" s="7" t="n"/>
      <c r="U529" s="7" t="inlineStr">
        <is>
          <t>plant</t>
        </is>
      </c>
      <c r="V529" s="7" t="n"/>
      <c r="W529" s="7" t="n"/>
      <c r="X529" s="55" t="n">
        <v>1</v>
      </c>
      <c r="Y529" s="50" t="n">
        <v>0.27</v>
      </c>
      <c r="Z529" s="7" t="inlineStr">
        <is>
          <t>declared</t>
        </is>
      </c>
      <c r="AA529" s="19">
        <f>IF(ISBLANK(Welcome!D555),"",Welcome!D555)</f>
        <v/>
      </c>
      <c r="AB529" s="29">
        <f>IF(ISBLANK(Welcome!E555),"",Welcome!E555)</f>
        <v/>
      </c>
      <c r="AC529" s="29">
        <f>IF(N(AB529)&gt;0,N(AB529),N(AA529)*Y529)</f>
        <v/>
      </c>
      <c r="AD529" s="29">
        <f>IF(H529="yes",AC529,0)</f>
        <v/>
      </c>
      <c r="AE529" s="29">
        <f>AD529*N(M529)/100</f>
        <v/>
      </c>
      <c r="AF529" s="29">
        <f>AD529*N(O529)/100</f>
        <v/>
      </c>
      <c r="AG529" s="29">
        <f>AD529*N(P529)/100</f>
        <v/>
      </c>
      <c r="AH529" s="50">
        <f>IF(Q529="yes",AD529/1000,0)</f>
        <v/>
      </c>
      <c r="AI529" s="50">
        <f>IF(S529="FG2",AH529*X529,AH529)</f>
        <v/>
      </c>
    </row>
    <row r="530">
      <c r="A530" s="7" t="inlineStr">
        <is>
          <t>HM00782</t>
        </is>
      </c>
      <c r="B530" s="16" t="inlineStr">
        <is>
          <t>8712345185831</t>
        </is>
      </c>
      <c r="C530" s="7" t="inlineStr">
        <is>
          <t>BREADED HADDOCK 4PK 440G KESTREL</t>
        </is>
      </c>
      <c r="D530" s="7" t="inlineStr">
        <is>
          <t>Breaded haddock fillets, 4pk 440g</t>
        </is>
      </c>
      <c r="E530" s="7" t="inlineStr">
        <is>
          <t>Kestrel Bay</t>
        </is>
      </c>
      <c r="F530" s="7" t="inlineStr">
        <is>
          <t>Frozen</t>
        </is>
      </c>
      <c r="G530" s="7" t="inlineStr">
        <is>
          <t>Frozen Fish</t>
        </is>
      </c>
      <c r="H530" s="7" t="inlineStr">
        <is>
          <t>yes</t>
        </is>
      </c>
      <c r="I530" s="7" t="inlineStr">
        <is>
          <t>Animal core</t>
        </is>
      </c>
      <c r="J530" s="7" t="inlineStr">
        <is>
          <t>Fish and seafood</t>
        </is>
      </c>
      <c r="K530" s="7" t="inlineStr">
        <is>
          <t>B</t>
        </is>
      </c>
      <c r="L530" s="7" t="inlineStr">
        <is>
          <t>First ingredient</t>
        </is>
      </c>
      <c r="M530" s="51" t="n">
        <v>11.8</v>
      </c>
      <c r="N530" s="7" t="inlineStr">
        <is>
          <t>Declared by the retailer</t>
        </is>
      </c>
      <c r="O530" s="54" t="n">
        <v>0</v>
      </c>
      <c r="P530" s="54" t="n">
        <v>11.8</v>
      </c>
      <c r="Q530" s="7" t="inlineStr">
        <is>
          <t>yes</t>
        </is>
      </c>
      <c r="R530" s="7" t="inlineStr">
        <is>
          <t>whole</t>
        </is>
      </c>
      <c r="S530" s="7" t="inlineStr">
        <is>
          <t>FG1</t>
        </is>
      </c>
      <c r="T530" s="7" t="inlineStr">
        <is>
          <t>Fish &amp; shellfish</t>
        </is>
      </c>
      <c r="U530" s="7" t="inlineStr">
        <is>
          <t>animal</t>
        </is>
      </c>
      <c r="V530" s="7" t="n"/>
      <c r="W530" s="7" t="n"/>
      <c r="X530" s="55" t="n">
        <v>1</v>
      </c>
      <c r="Y530" s="50" t="n">
        <v>0.44</v>
      </c>
      <c r="Z530" s="7" t="inlineStr">
        <is>
          <t>declared</t>
        </is>
      </c>
      <c r="AA530" s="19">
        <f>IF(ISBLANK(Welcome!D556),"",Welcome!D556)</f>
        <v/>
      </c>
      <c r="AB530" s="29">
        <f>IF(ISBLANK(Welcome!E556),"",Welcome!E556)</f>
        <v/>
      </c>
      <c r="AC530" s="29">
        <f>IF(N(AB530)&gt;0,N(AB530),N(AA530)*Y530)</f>
        <v/>
      </c>
      <c r="AD530" s="29">
        <f>IF(H530="yes",AC530,0)</f>
        <v/>
      </c>
      <c r="AE530" s="29">
        <f>AD530*N(M530)/100</f>
        <v/>
      </c>
      <c r="AF530" s="29">
        <f>AD530*N(O530)/100</f>
        <v/>
      </c>
      <c r="AG530" s="29">
        <f>AD530*N(P530)/100</f>
        <v/>
      </c>
      <c r="AH530" s="50">
        <f>IF(Q530="yes",AD530/1000,0)</f>
        <v/>
      </c>
      <c r="AI530" s="50">
        <f>IF(S530="FG2",AH530*X530,AH530)</f>
        <v/>
      </c>
    </row>
    <row r="531">
      <c r="A531" s="7" t="inlineStr">
        <is>
          <t>HM00594</t>
        </is>
      </c>
      <c r="B531" s="16" t="inlineStr">
        <is>
          <t>8712345733452</t>
        </is>
      </c>
      <c r="C531" s="7" t="inlineStr">
        <is>
          <t>HM SEITAN PIECES 200G</t>
        </is>
      </c>
      <c r="D531" s="7" t="inlineStr">
        <is>
          <t>Seitan pieces, 200g</t>
        </is>
      </c>
      <c r="E531" s="7" t="inlineStr">
        <is>
          <t>Harbour Market</t>
        </is>
      </c>
      <c r="F531" s="7" t="inlineStr">
        <is>
          <t>Plant-Based</t>
        </is>
      </c>
      <c r="G531" s="7" t="inlineStr">
        <is>
          <t>Tofu &amp; Tempeh</t>
        </is>
      </c>
      <c r="H531" s="7" t="inlineStr">
        <is>
          <t>yes</t>
        </is>
      </c>
      <c r="I531" s="7" t="inlineStr">
        <is>
          <t>Plant-based core</t>
        </is>
      </c>
      <c r="J531" s="7" t="inlineStr">
        <is>
          <t>Tofu, tempeh, seitan</t>
        </is>
      </c>
      <c r="K531" s="7" t="inlineStr">
        <is>
          <t>B</t>
        </is>
      </c>
      <c r="L531" s="7" t="inlineStr">
        <is>
          <t>Follows the class</t>
        </is>
      </c>
      <c r="M531" s="51" t="n">
        <v>24.5</v>
      </c>
      <c r="N531" s="7" t="inlineStr">
        <is>
          <t>Median of the family</t>
        </is>
      </c>
      <c r="O531" s="54" t="n">
        <v>24.5</v>
      </c>
      <c r="P531" s="54" t="n">
        <v>0</v>
      </c>
      <c r="Q531" s="7" t="inlineStr">
        <is>
          <t>yes</t>
        </is>
      </c>
      <c r="R531" s="7" t="inlineStr">
        <is>
          <t>whole</t>
        </is>
      </c>
      <c r="S531" s="7" t="inlineStr">
        <is>
          <t>FG1</t>
        </is>
      </c>
      <c r="T531" s="7" t="inlineStr">
        <is>
          <t>Tofu, tempeh &amp; seitan</t>
        </is>
      </c>
      <c r="U531" s="7" t="inlineStr">
        <is>
          <t>plant</t>
        </is>
      </c>
      <c r="V531" s="7" t="n"/>
      <c r="W531" s="7" t="n"/>
      <c r="X531" s="55" t="n">
        <v>1</v>
      </c>
      <c r="Y531" s="50" t="n">
        <v>0.2</v>
      </c>
      <c r="Z531" s="7" t="inlineStr">
        <is>
          <t>label</t>
        </is>
      </c>
      <c r="AA531" s="19">
        <f>IF(ISBLANK(Welcome!D557),"",Welcome!D557)</f>
        <v/>
      </c>
      <c r="AB531" s="29">
        <f>IF(ISBLANK(Welcome!E557),"",Welcome!E557)</f>
        <v/>
      </c>
      <c r="AC531" s="29">
        <f>IF(N(AB531)&gt;0,N(AB531),N(AA531)*Y531)</f>
        <v/>
      </c>
      <c r="AD531" s="29">
        <f>IF(H531="yes",AC531,0)</f>
        <v/>
      </c>
      <c r="AE531" s="29">
        <f>AD531*N(M531)/100</f>
        <v/>
      </c>
      <c r="AF531" s="29">
        <f>AD531*N(O531)/100</f>
        <v/>
      </c>
      <c r="AG531" s="29">
        <f>AD531*N(P531)/100</f>
        <v/>
      </c>
      <c r="AH531" s="50">
        <f>IF(Q531="yes",AD531/1000,0)</f>
        <v/>
      </c>
      <c r="AI531" s="50">
        <f>IF(S531="FG2",AH531*X531,AH531)</f>
        <v/>
      </c>
    </row>
    <row r="532">
      <c r="A532" s="7" t="inlineStr">
        <is>
          <t>HM00552</t>
        </is>
      </c>
      <c r="B532" s="16" t="inlineStr">
        <is>
          <t>3012345781374</t>
        </is>
      </c>
      <c r="C532" s="7" t="inlineStr">
        <is>
          <t>HM PORK CHIPOLATAS 6PK</t>
        </is>
      </c>
      <c r="D532" s="7" t="inlineStr">
        <is>
          <t>Pork chipolatas, 6pk</t>
        </is>
      </c>
      <c r="E532" s="7" t="inlineStr">
        <is>
          <t>Harbour Market</t>
        </is>
      </c>
      <c r="F532" s="7" t="inlineStr">
        <is>
          <t>Fresh Meat &amp; Poultry</t>
        </is>
      </c>
      <c r="G532" s="7" t="inlineStr">
        <is>
          <t>Sausages &amp; Burgers</t>
        </is>
      </c>
      <c r="H532" s="7" t="inlineStr">
        <is>
          <t>yes</t>
        </is>
      </c>
      <c r="I532" s="7" t="inlineStr">
        <is>
          <t>Animal core</t>
        </is>
      </c>
      <c r="J532" s="7" t="inlineStr">
        <is>
          <t>Dishes and processed products</t>
        </is>
      </c>
      <c r="K532" s="7" t="inlineStr">
        <is>
          <t>B</t>
        </is>
      </c>
      <c r="L532" s="7" t="inlineStr">
        <is>
          <t>First ingredient</t>
        </is>
      </c>
      <c r="M532" s="51" t="n">
        <v>14.8</v>
      </c>
      <c r="N532" s="7" t="inlineStr">
        <is>
          <t>Declared by the retailer</t>
        </is>
      </c>
      <c r="O532" s="54" t="n">
        <v>0</v>
      </c>
      <c r="P532" s="54" t="n">
        <v>14.8</v>
      </c>
      <c r="Q532" s="7" t="inlineStr">
        <is>
          <t>yes</t>
        </is>
      </c>
      <c r="R532" s="7" t="inlineStr">
        <is>
          <t>whole</t>
        </is>
      </c>
      <c r="S532" s="7" t="inlineStr">
        <is>
          <t>FG1</t>
        </is>
      </c>
      <c r="T532" s="7" t="inlineStr">
        <is>
          <t>Red meat</t>
        </is>
      </c>
      <c r="U532" s="7" t="inlineStr">
        <is>
          <t>animal</t>
        </is>
      </c>
      <c r="V532" s="7" t="n"/>
      <c r="W532" s="7" t="n"/>
      <c r="X532" s="55" t="n">
        <v>1</v>
      </c>
      <c r="Y532" s="50" t="n">
        <v>0.4</v>
      </c>
      <c r="Z532" s="7" t="inlineStr">
        <is>
          <t>declared</t>
        </is>
      </c>
      <c r="AA532" s="19">
        <f>IF(ISBLANK(Welcome!D558),"",Welcome!D558)</f>
        <v/>
      </c>
      <c r="AB532" s="29">
        <f>IF(ISBLANK(Welcome!E558),"",Welcome!E558)</f>
        <v/>
      </c>
      <c r="AC532" s="29">
        <f>IF(N(AB532)&gt;0,N(AB532),N(AA532)*Y532)</f>
        <v/>
      </c>
      <c r="AD532" s="29">
        <f>IF(H532="yes",AC532,0)</f>
        <v/>
      </c>
      <c r="AE532" s="29">
        <f>AD532*N(M532)/100</f>
        <v/>
      </c>
      <c r="AF532" s="29">
        <f>AD532*N(O532)/100</f>
        <v/>
      </c>
      <c r="AG532" s="29">
        <f>AD532*N(P532)/100</f>
        <v/>
      </c>
      <c r="AH532" s="50">
        <f>IF(Q532="yes",AD532/1000,0)</f>
        <v/>
      </c>
      <c r="AI532" s="50">
        <f>IF(S532="FG2",AH532*X532,AH532)</f>
        <v/>
      </c>
    </row>
    <row r="533">
      <c r="A533" s="7" t="inlineStr">
        <is>
          <t>HM00613</t>
        </is>
      </c>
      <c r="B533" s="16" t="inlineStr">
        <is>
          <t>8712345808303</t>
        </is>
      </c>
      <c r="C533" s="7" t="inlineStr">
        <is>
          <t>HM EGG LASAGNE SHEETS 250G</t>
        </is>
      </c>
      <c r="D533" s="7" t="inlineStr">
        <is>
          <t>Egg lasagne sheets, 250g</t>
        </is>
      </c>
      <c r="E533" s="7" t="inlineStr">
        <is>
          <t>Harbour Market</t>
        </is>
      </c>
      <c r="F533" s="7" t="inlineStr">
        <is>
          <t>Grocery</t>
        </is>
      </c>
      <c r="G533" s="7" t="inlineStr">
        <is>
          <t>Fresh Pasta</t>
        </is>
      </c>
      <c r="H533" s="7" t="inlineStr">
        <is>
          <t>yes</t>
        </is>
      </c>
      <c r="I533" s="7" t="inlineStr">
        <is>
          <t>Animal &amp; plant composite</t>
        </is>
      </c>
      <c r="J533" s="7" t="inlineStr">
        <is>
          <t>Vegetarian dishes</t>
        </is>
      </c>
      <c r="K533" s="7" t="inlineStr">
        <is>
          <t>A</t>
        </is>
      </c>
      <c r="L533" s="7" t="inlineStr">
        <is>
          <t>Ingredient list</t>
        </is>
      </c>
      <c r="M533" s="51" t="n">
        <v>13.9</v>
      </c>
      <c r="N533" s="7" t="inlineStr">
        <is>
          <t>National food table (CIQUAL in France)</t>
        </is>
      </c>
      <c r="O533" s="54" t="n">
        <v>10.84</v>
      </c>
      <c r="P533" s="54" t="n">
        <v>3.06</v>
      </c>
      <c r="Q533" s="7" t="inlineStr">
        <is>
          <t>yes</t>
        </is>
      </c>
      <c r="R533" s="7" t="inlineStr">
        <is>
          <t>composite</t>
        </is>
      </c>
      <c r="S533" s="7" t="n"/>
      <c r="T533" s="7" t="n"/>
      <c r="U533" s="7" t="n"/>
      <c r="V533" s="7" t="inlineStr">
        <is>
          <t>vegetarian</t>
        </is>
      </c>
      <c r="W533" s="7" t="n"/>
      <c r="X533" s="55" t="n">
        <v>1</v>
      </c>
      <c r="Y533" s="50" t="n">
        <v>0.25</v>
      </c>
      <c r="Z533" s="7" t="inlineStr">
        <is>
          <t>declared</t>
        </is>
      </c>
      <c r="AA533" s="19">
        <f>IF(ISBLANK(Welcome!D559),"",Welcome!D559)</f>
        <v/>
      </c>
      <c r="AB533" s="29">
        <f>IF(ISBLANK(Welcome!E559),"",Welcome!E559)</f>
        <v/>
      </c>
      <c r="AC533" s="29">
        <f>IF(N(AB533)&gt;0,N(AB533),N(AA533)*Y533)</f>
        <v/>
      </c>
      <c r="AD533" s="29">
        <f>IF(H533="yes",AC533,0)</f>
        <v/>
      </c>
      <c r="AE533" s="29">
        <f>AD533*N(M533)/100</f>
        <v/>
      </c>
      <c r="AF533" s="29">
        <f>AD533*N(O533)/100</f>
        <v/>
      </c>
      <c r="AG533" s="29">
        <f>AD533*N(P533)/100</f>
        <v/>
      </c>
      <c r="AH533" s="50">
        <f>IF(Q533="yes",AD533/1000,0)</f>
        <v/>
      </c>
      <c r="AI533" s="50">
        <f>IF(S533="FG2",AH533*X533,AH533)</f>
        <v/>
      </c>
    </row>
    <row r="534">
      <c r="A534" s="7" t="inlineStr">
        <is>
          <t>HM00461</t>
        </is>
      </c>
      <c r="B534" s="16" t="inlineStr">
        <is>
          <t>8712345532628</t>
        </is>
      </c>
      <c r="C534" s="7" t="inlineStr">
        <is>
          <t>HM CLOSED CUP MUSHROOMS EACH</t>
        </is>
      </c>
      <c r="D534" s="7" t="inlineStr">
        <is>
          <t>Closed cup mushrooms</t>
        </is>
      </c>
      <c r="E534" s="7" t="inlineStr">
        <is>
          <t>Harbour Market</t>
        </is>
      </c>
      <c r="F534" s="7" t="inlineStr">
        <is>
          <t>Fruit &amp; Vegetables</t>
        </is>
      </c>
      <c r="G534" s="7" t="inlineStr">
        <is>
          <t>Vegetables</t>
        </is>
      </c>
      <c r="H534" s="7" t="inlineStr">
        <is>
          <t>yes</t>
        </is>
      </c>
      <c r="I534" s="7" t="inlineStr">
        <is>
          <t>Plant-based non-core</t>
        </is>
      </c>
      <c r="J534" s="7" t="inlineStr">
        <is>
          <t>Fruit and vegetables</t>
        </is>
      </c>
      <c r="K534" s="7" t="inlineStr">
        <is>
          <t>B</t>
        </is>
      </c>
      <c r="L534" s="7" t="inlineStr">
        <is>
          <t>Follows the class</t>
        </is>
      </c>
      <c r="M534" s="51" t="n">
        <v>3.1</v>
      </c>
      <c r="N534" s="7" t="inlineStr">
        <is>
          <t>Declared by the retailer</t>
        </is>
      </c>
      <c r="O534" s="54" t="n">
        <v>3.1</v>
      </c>
      <c r="P534" s="54" t="n">
        <v>0</v>
      </c>
      <c r="Q534" s="7" t="inlineStr">
        <is>
          <t>yes</t>
        </is>
      </c>
      <c r="R534" s="7" t="inlineStr">
        <is>
          <t>whole</t>
        </is>
      </c>
      <c r="S534" s="7" t="inlineStr">
        <is>
          <t>FG4</t>
        </is>
      </c>
      <c r="T534" s="7" t="n"/>
      <c r="U534" s="7" t="inlineStr">
        <is>
          <t>plant</t>
        </is>
      </c>
      <c r="V534" s="7" t="n"/>
      <c r="W534" s="7" t="n"/>
      <c r="X534" s="55" t="n">
        <v>1</v>
      </c>
      <c r="Y534" s="50" t="n">
        <v>0.25</v>
      </c>
      <c r="Z534" s="7" t="inlineStr">
        <is>
          <t>typical_piece</t>
        </is>
      </c>
      <c r="AA534" s="19">
        <f>IF(ISBLANK(Welcome!D560),"",Welcome!D560)</f>
        <v/>
      </c>
      <c r="AB534" s="29">
        <f>IF(ISBLANK(Welcome!E560),"",Welcome!E560)</f>
        <v/>
      </c>
      <c r="AC534" s="29">
        <f>IF(N(AB534)&gt;0,N(AB534),N(AA534)*Y534)</f>
        <v/>
      </c>
      <c r="AD534" s="29">
        <f>IF(H534="yes",AC534,0)</f>
        <v/>
      </c>
      <c r="AE534" s="29">
        <f>AD534*N(M534)/100</f>
        <v/>
      </c>
      <c r="AF534" s="29">
        <f>AD534*N(O534)/100</f>
        <v/>
      </c>
      <c r="AG534" s="29">
        <f>AD534*N(P534)/100</f>
        <v/>
      </c>
      <c r="AH534" s="50">
        <f>IF(Q534="yes",AD534/1000,0)</f>
        <v/>
      </c>
      <c r="AI534" s="50">
        <f>IF(S534="FG2",AH534*X534,AH534)</f>
        <v/>
      </c>
    </row>
    <row r="535">
      <c r="A535" s="7" t="inlineStr">
        <is>
          <t>HM00579</t>
        </is>
      </c>
      <c r="B535" s="16" t="inlineStr">
        <is>
          <t>3012345634915</t>
        </is>
      </c>
      <c r="C535" s="7" t="inlineStr">
        <is>
          <t>TARROW PORK CHIPOLATAS 12PK</t>
        </is>
      </c>
      <c r="D535" s="7" t="inlineStr">
        <is>
          <t>Pork chipolatas, 12pk</t>
        </is>
      </c>
      <c r="E535" s="7" t="inlineStr">
        <is>
          <t>Tarrow Farm</t>
        </is>
      </c>
      <c r="F535" s="7" t="inlineStr">
        <is>
          <t>Fresh Meat &amp; Poultry</t>
        </is>
      </c>
      <c r="G535" s="7" t="inlineStr">
        <is>
          <t>Sausages &amp; Burgers</t>
        </is>
      </c>
      <c r="H535" s="7" t="inlineStr">
        <is>
          <t>yes</t>
        </is>
      </c>
      <c r="I535" s="7" t="inlineStr">
        <is>
          <t>Animal core</t>
        </is>
      </c>
      <c r="J535" s="7" t="inlineStr">
        <is>
          <t>Dishes and processed products</t>
        </is>
      </c>
      <c r="K535" s="7" t="inlineStr">
        <is>
          <t>B</t>
        </is>
      </c>
      <c r="L535" s="7" t="inlineStr">
        <is>
          <t>First ingredient</t>
        </is>
      </c>
      <c r="M535" s="51" t="n">
        <v>13.5</v>
      </c>
      <c r="N535" s="7" t="inlineStr">
        <is>
          <t>Declared by the retailer</t>
        </is>
      </c>
      <c r="O535" s="54" t="n">
        <v>0</v>
      </c>
      <c r="P535" s="54" t="n">
        <v>13.5</v>
      </c>
      <c r="Q535" s="7" t="inlineStr">
        <is>
          <t>yes</t>
        </is>
      </c>
      <c r="R535" s="7" t="inlineStr">
        <is>
          <t>whole</t>
        </is>
      </c>
      <c r="S535" s="7" t="inlineStr">
        <is>
          <t>FG1</t>
        </is>
      </c>
      <c r="T535" s="7" t="inlineStr">
        <is>
          <t>Red meat</t>
        </is>
      </c>
      <c r="U535" s="7" t="inlineStr">
        <is>
          <t>animal</t>
        </is>
      </c>
      <c r="V535" s="7" t="n"/>
      <c r="W535" s="7" t="n"/>
      <c r="X535" s="55" t="n">
        <v>1</v>
      </c>
      <c r="Y535" s="50" t="n">
        <v>0.8</v>
      </c>
      <c r="Z535" s="7" t="inlineStr">
        <is>
          <t>declared</t>
        </is>
      </c>
      <c r="AA535" s="19">
        <f>IF(ISBLANK(Welcome!D561),"",Welcome!D561)</f>
        <v/>
      </c>
      <c r="AB535" s="29">
        <f>IF(ISBLANK(Welcome!E561),"",Welcome!E561)</f>
        <v/>
      </c>
      <c r="AC535" s="29">
        <f>IF(N(AB535)&gt;0,N(AB535),N(AA535)*Y535)</f>
        <v/>
      </c>
      <c r="AD535" s="29">
        <f>IF(H535="yes",AC535,0)</f>
        <v/>
      </c>
      <c r="AE535" s="29">
        <f>AD535*N(M535)/100</f>
        <v/>
      </c>
      <c r="AF535" s="29">
        <f>AD535*N(O535)/100</f>
        <v/>
      </c>
      <c r="AG535" s="29">
        <f>AD535*N(P535)/100</f>
        <v/>
      </c>
      <c r="AH535" s="50">
        <f>IF(Q535="yes",AD535/1000,0)</f>
        <v/>
      </c>
      <c r="AI535" s="50">
        <f>IF(S535="FG2",AH535*X535,AH535)</f>
        <v/>
      </c>
    </row>
    <row r="536">
      <c r="A536" s="7" t="inlineStr">
        <is>
          <t>HM00641</t>
        </is>
      </c>
      <c r="B536" s="16" t="inlineStr">
        <is>
          <t>5012345451893</t>
        </is>
      </c>
      <c r="C536" s="7" t="inlineStr">
        <is>
          <t>BF DICED STEW 500G TARROW</t>
        </is>
      </c>
      <c r="D536" s="7" t="inlineStr">
        <is>
          <t>Diced beef for stewing, 500g</t>
        </is>
      </c>
      <c r="E536" s="7" t="inlineStr">
        <is>
          <t>Tarrow Farm</t>
        </is>
      </c>
      <c r="F536" s="7" t="inlineStr">
        <is>
          <t>Fresh Meat &amp; Poultry</t>
        </is>
      </c>
      <c r="G536" s="7" t="inlineStr">
        <is>
          <t>Beef</t>
        </is>
      </c>
      <c r="H536" s="7" t="inlineStr">
        <is>
          <t>yes</t>
        </is>
      </c>
      <c r="I536" s="7" t="inlineStr">
        <is>
          <t>Animal core</t>
        </is>
      </c>
      <c r="J536" s="7" t="inlineStr">
        <is>
          <t>Red meat</t>
        </is>
      </c>
      <c r="K536" s="7" t="inlineStr">
        <is>
          <t>B</t>
        </is>
      </c>
      <c r="L536" s="7" t="inlineStr">
        <is>
          <t>Follows the class</t>
        </is>
      </c>
      <c r="M536" s="51" t="n">
        <v>23.2</v>
      </c>
      <c r="N536" s="7" t="inlineStr">
        <is>
          <t>Declared by the retailer</t>
        </is>
      </c>
      <c r="O536" s="54" t="n">
        <v>0</v>
      </c>
      <c r="P536" s="54" t="n">
        <v>23.2</v>
      </c>
      <c r="Q536" s="7" t="inlineStr">
        <is>
          <t>yes</t>
        </is>
      </c>
      <c r="R536" s="7" t="inlineStr">
        <is>
          <t>whole</t>
        </is>
      </c>
      <c r="S536" s="7" t="inlineStr">
        <is>
          <t>FG1</t>
        </is>
      </c>
      <c r="T536" s="7" t="inlineStr">
        <is>
          <t>Red meat</t>
        </is>
      </c>
      <c r="U536" s="7" t="inlineStr">
        <is>
          <t>animal</t>
        </is>
      </c>
      <c r="V536" s="7" t="n"/>
      <c r="W536" s="7" t="n"/>
      <c r="X536" s="55" t="n">
        <v>1</v>
      </c>
      <c r="Y536" s="50" t="n">
        <v>0.5</v>
      </c>
      <c r="Z536" s="7" t="inlineStr">
        <is>
          <t>declared</t>
        </is>
      </c>
      <c r="AA536" s="19">
        <f>IF(ISBLANK(Welcome!D562),"",Welcome!D562)</f>
        <v/>
      </c>
      <c r="AB536" s="29">
        <f>IF(ISBLANK(Welcome!E562),"",Welcome!E562)</f>
        <v/>
      </c>
      <c r="AC536" s="29">
        <f>IF(N(AB536)&gt;0,N(AB536),N(AA536)*Y536)</f>
        <v/>
      </c>
      <c r="AD536" s="29">
        <f>IF(H536="yes",AC536,0)</f>
        <v/>
      </c>
      <c r="AE536" s="29">
        <f>AD536*N(M536)/100</f>
        <v/>
      </c>
      <c r="AF536" s="29">
        <f>AD536*N(O536)/100</f>
        <v/>
      </c>
      <c r="AG536" s="29">
        <f>AD536*N(P536)/100</f>
        <v/>
      </c>
      <c r="AH536" s="50">
        <f>IF(Q536="yes",AD536/1000,0)</f>
        <v/>
      </c>
      <c r="AI536" s="50">
        <f>IF(S536="FG2",AH536*X536,AH536)</f>
        <v/>
      </c>
    </row>
    <row r="537">
      <c r="A537" s="7" t="inlineStr">
        <is>
          <t>HM00093</t>
        </is>
      </c>
      <c r="B537" s="16" t="inlineStr">
        <is>
          <t>3012345684590</t>
        </is>
      </c>
      <c r="C537" s="7" t="inlineStr">
        <is>
          <t>SOLVANE SMKD TOFU 280G</t>
        </is>
      </c>
      <c r="D537" s="7" t="inlineStr">
        <is>
          <t>Smoked tofu, 280g</t>
        </is>
      </c>
      <c r="E537" s="7" t="inlineStr">
        <is>
          <t>Solvane</t>
        </is>
      </c>
      <c r="F537" s="7" t="inlineStr">
        <is>
          <t>Plant-Based</t>
        </is>
      </c>
      <c r="G537" s="7" t="inlineStr">
        <is>
          <t>Tofu &amp; Tempeh</t>
        </is>
      </c>
      <c r="H537" s="7" t="inlineStr">
        <is>
          <t>yes</t>
        </is>
      </c>
      <c r="I537" s="7" t="inlineStr">
        <is>
          <t>Plant-based core</t>
        </is>
      </c>
      <c r="J537" s="7" t="inlineStr">
        <is>
          <t>Tofu, tempeh, seitan</t>
        </is>
      </c>
      <c r="K537" s="7" t="inlineStr">
        <is>
          <t>A</t>
        </is>
      </c>
      <c r="L537" s="7" t="inlineStr">
        <is>
          <t>All ingredients on one side</t>
        </is>
      </c>
      <c r="M537" s="51" t="n">
        <v>13</v>
      </c>
      <c r="N537" s="7" t="inlineStr">
        <is>
          <t>Declared by the retailer</t>
        </is>
      </c>
      <c r="O537" s="54" t="n">
        <v>13</v>
      </c>
      <c r="P537" s="54" t="n">
        <v>0</v>
      </c>
      <c r="Q537" s="7" t="inlineStr">
        <is>
          <t>yes</t>
        </is>
      </c>
      <c r="R537" s="7" t="inlineStr">
        <is>
          <t>whole</t>
        </is>
      </c>
      <c r="S537" s="7" t="inlineStr">
        <is>
          <t>FG1</t>
        </is>
      </c>
      <c r="T537" s="7" t="inlineStr">
        <is>
          <t>Tofu, tempeh &amp; seitan</t>
        </is>
      </c>
      <c r="U537" s="7" t="inlineStr">
        <is>
          <t>plant</t>
        </is>
      </c>
      <c r="V537" s="7" t="n"/>
      <c r="W537" s="7" t="n"/>
      <c r="X537" s="55" t="n">
        <v>1</v>
      </c>
      <c r="Y537" s="50" t="n">
        <v>0.28</v>
      </c>
      <c r="Z537" s="7" t="inlineStr">
        <is>
          <t>declared</t>
        </is>
      </c>
      <c r="AA537" s="19">
        <f>IF(ISBLANK(Welcome!D563),"",Welcome!D563)</f>
        <v/>
      </c>
      <c r="AB537" s="29">
        <f>IF(ISBLANK(Welcome!E563),"",Welcome!E563)</f>
        <v/>
      </c>
      <c r="AC537" s="29">
        <f>IF(N(AB537)&gt;0,N(AB537),N(AA537)*Y537)</f>
        <v/>
      </c>
      <c r="AD537" s="29">
        <f>IF(H537="yes",AC537,0)</f>
        <v/>
      </c>
      <c r="AE537" s="29">
        <f>AD537*N(M537)/100</f>
        <v/>
      </c>
      <c r="AF537" s="29">
        <f>AD537*N(O537)/100</f>
        <v/>
      </c>
      <c r="AG537" s="29">
        <f>AD537*N(P537)/100</f>
        <v/>
      </c>
      <c r="AH537" s="50">
        <f>IF(Q537="yes",AD537/1000,0)</f>
        <v/>
      </c>
      <c r="AI537" s="50">
        <f>IF(S537="FG2",AH537*X537,AH537)</f>
        <v/>
      </c>
    </row>
    <row r="538">
      <c r="A538" s="7" t="inlineStr">
        <is>
          <t>HM00611</t>
        </is>
      </c>
      <c r="B538" s="16" t="inlineStr">
        <is>
          <t>5012345243009</t>
        </is>
      </c>
      <c r="C538" s="7" t="inlineStr">
        <is>
          <t>TARROW BBQ PORK RIBS MARIN 500G</t>
        </is>
      </c>
      <c r="D538" s="7" t="inlineStr">
        <is>
          <t>Marinated BBQ pork ribs, 500g</t>
        </is>
      </c>
      <c r="E538" s="7" t="inlineStr">
        <is>
          <t>Tarrow Farm</t>
        </is>
      </c>
      <c r="F538" s="7" t="inlineStr">
        <is>
          <t>Fresh Meat &amp; Poultry</t>
        </is>
      </c>
      <c r="G538" s="7" t="inlineStr">
        <is>
          <t>BBQ &amp; Marinated</t>
        </is>
      </c>
      <c r="H538" s="7" t="inlineStr">
        <is>
          <t>yes</t>
        </is>
      </c>
      <c r="I538" s="7" t="inlineStr">
        <is>
          <t>Animal core</t>
        </is>
      </c>
      <c r="J538" s="7" t="inlineStr">
        <is>
          <t>Red meat</t>
        </is>
      </c>
      <c r="K538" s="7" t="inlineStr">
        <is>
          <t>B</t>
        </is>
      </c>
      <c r="L538" s="7" t="inlineStr">
        <is>
          <t>First ingredient</t>
        </is>
      </c>
      <c r="M538" s="51" t="n">
        <v>16.5</v>
      </c>
      <c r="N538" s="7" t="inlineStr">
        <is>
          <t>Open Food Facts and NEVO, by EAN</t>
        </is>
      </c>
      <c r="O538" s="54" t="n">
        <v>0</v>
      </c>
      <c r="P538" s="54" t="n">
        <v>16.5</v>
      </c>
      <c r="Q538" s="7" t="inlineStr">
        <is>
          <t>yes</t>
        </is>
      </c>
      <c r="R538" s="7" t="inlineStr">
        <is>
          <t>whole</t>
        </is>
      </c>
      <c r="S538" s="7" t="inlineStr">
        <is>
          <t>FG1</t>
        </is>
      </c>
      <c r="T538" s="7" t="inlineStr">
        <is>
          <t>Red meat</t>
        </is>
      </c>
      <c r="U538" s="7" t="inlineStr">
        <is>
          <t>animal</t>
        </is>
      </c>
      <c r="V538" s="7" t="n"/>
      <c r="W538" s="7" t="n"/>
      <c r="X538" s="55" t="n">
        <v>1</v>
      </c>
      <c r="Y538" s="50" t="n">
        <v>0.5</v>
      </c>
      <c r="Z538" s="7" t="inlineStr">
        <is>
          <t>label</t>
        </is>
      </c>
      <c r="AA538" s="19">
        <f>IF(ISBLANK(Welcome!D564),"",Welcome!D564)</f>
        <v/>
      </c>
      <c r="AB538" s="29">
        <f>IF(ISBLANK(Welcome!E564),"",Welcome!E564)</f>
        <v/>
      </c>
      <c r="AC538" s="29">
        <f>IF(N(AB538)&gt;0,N(AB538),N(AA538)*Y538)</f>
        <v/>
      </c>
      <c r="AD538" s="29">
        <f>IF(H538="yes",AC538,0)</f>
        <v/>
      </c>
      <c r="AE538" s="29">
        <f>AD538*N(M538)/100</f>
        <v/>
      </c>
      <c r="AF538" s="29">
        <f>AD538*N(O538)/100</f>
        <v/>
      </c>
      <c r="AG538" s="29">
        <f>AD538*N(P538)/100</f>
        <v/>
      </c>
      <c r="AH538" s="50">
        <f>IF(Q538="yes",AD538/1000,0)</f>
        <v/>
      </c>
      <c r="AI538" s="50">
        <f>IF(S538="FG2",AH538*X538,AH538)</f>
        <v/>
      </c>
    </row>
    <row r="539">
      <c r="A539" s="7" t="inlineStr">
        <is>
          <t>HM00370</t>
        </is>
      </c>
      <c r="B539" s="16" t="inlineStr">
        <is>
          <t>3012345561594</t>
        </is>
      </c>
      <c r="C539" s="7" t="inlineStr">
        <is>
          <t>HM BF LASAGNE 400G</t>
        </is>
      </c>
      <c r="D539" s="7" t="inlineStr">
        <is>
          <t>Beef lasagne, 400g</t>
        </is>
      </c>
      <c r="E539" s="7" t="inlineStr">
        <is>
          <t>Harbour Market</t>
        </is>
      </c>
      <c r="F539" s="7" t="inlineStr">
        <is>
          <t>Ready Meals</t>
        </is>
      </c>
      <c r="G539" s="7" t="inlineStr">
        <is>
          <t>Ready Meals</t>
        </is>
      </c>
      <c r="H539" s="7" t="inlineStr">
        <is>
          <t>yes</t>
        </is>
      </c>
      <c r="I539" s="7" t="inlineStr">
        <is>
          <t>Animal &amp; plant composite</t>
        </is>
      </c>
      <c r="J539" s="7" t="inlineStr">
        <is>
          <t>Meat-based dishes</t>
        </is>
      </c>
      <c r="K539" s="7" t="inlineStr">
        <is>
          <t>A</t>
        </is>
      </c>
      <c r="L539" s="7" t="inlineStr">
        <is>
          <t>NEVO food table (ratio only)</t>
        </is>
      </c>
      <c r="M539" s="51" t="n">
        <v>6.6</v>
      </c>
      <c r="N539" s="7" t="inlineStr">
        <is>
          <t>National food table (CIQUAL in France)</t>
        </is>
      </c>
      <c r="O539" s="54" t="n">
        <v>2.31</v>
      </c>
      <c r="P539" s="54" t="n">
        <v>4.29</v>
      </c>
      <c r="Q539" s="7" t="inlineStr">
        <is>
          <t>yes</t>
        </is>
      </c>
      <c r="R539" s="7" t="inlineStr">
        <is>
          <t>composite</t>
        </is>
      </c>
      <c r="S539" s="7" t="n"/>
      <c r="T539" s="7" t="n"/>
      <c r="U539" s="7" t="n"/>
      <c r="V539" s="7" t="inlineStr">
        <is>
          <t>meat-based</t>
        </is>
      </c>
      <c r="W539" s="7" t="n"/>
      <c r="X539" s="55" t="n">
        <v>1</v>
      </c>
      <c r="Y539" s="50" t="n">
        <v>0.4</v>
      </c>
      <c r="Z539" s="7" t="inlineStr">
        <is>
          <t>declared</t>
        </is>
      </c>
      <c r="AA539" s="19">
        <f>IF(ISBLANK(Welcome!D565),"",Welcome!D565)</f>
        <v/>
      </c>
      <c r="AB539" s="29">
        <f>IF(ISBLANK(Welcome!E565),"",Welcome!E565)</f>
        <v/>
      </c>
      <c r="AC539" s="29">
        <f>IF(N(AB539)&gt;0,N(AB539),N(AA539)*Y539)</f>
        <v/>
      </c>
      <c r="AD539" s="29">
        <f>IF(H539="yes",AC539,0)</f>
        <v/>
      </c>
      <c r="AE539" s="29">
        <f>AD539*N(M539)/100</f>
        <v/>
      </c>
      <c r="AF539" s="29">
        <f>AD539*N(O539)/100</f>
        <v/>
      </c>
      <c r="AG539" s="29">
        <f>AD539*N(P539)/100</f>
        <v/>
      </c>
      <c r="AH539" s="50">
        <f>IF(Q539="yes",AD539/1000,0)</f>
        <v/>
      </c>
      <c r="AI539" s="50">
        <f>IF(S539="FG2",AH539*X539,AH539)</f>
        <v/>
      </c>
    </row>
    <row r="540">
      <c r="A540" s="7" t="inlineStr">
        <is>
          <t>HM00310</t>
        </is>
      </c>
      <c r="B540" s="16" t="inlineStr">
        <is>
          <t>3012345752060</t>
        </is>
      </c>
      <c r="C540" s="7" t="inlineStr">
        <is>
          <t>HM BLACK BEANS 400G</t>
        </is>
      </c>
      <c r="D540" s="7" t="inlineStr">
        <is>
          <t>Black beans in water, 400g</t>
        </is>
      </c>
      <c r="E540" s="7" t="inlineStr">
        <is>
          <t>Harbour Market</t>
        </is>
      </c>
      <c r="F540" s="7" t="inlineStr">
        <is>
          <t>Grocery</t>
        </is>
      </c>
      <c r="G540" s="7" t="inlineStr">
        <is>
          <t>Pulses</t>
        </is>
      </c>
      <c r="H540" s="7" t="inlineStr">
        <is>
          <t>yes</t>
        </is>
      </c>
      <c r="I540" s="7" t="inlineStr">
        <is>
          <t>Plant-based core</t>
        </is>
      </c>
      <c r="J540" s="7" t="inlineStr">
        <is>
          <t>Pulses</t>
        </is>
      </c>
      <c r="K540" s="7" t="inlineStr">
        <is>
          <t>A</t>
        </is>
      </c>
      <c r="L540" s="7" t="inlineStr">
        <is>
          <t>All ingredients on one side</t>
        </is>
      </c>
      <c r="M540" s="51" t="n">
        <v>7</v>
      </c>
      <c r="N540" s="7" t="inlineStr">
        <is>
          <t>Declared by the retailer</t>
        </is>
      </c>
      <c r="O540" s="54" t="n">
        <v>7</v>
      </c>
      <c r="P540" s="54" t="n">
        <v>0</v>
      </c>
      <c r="Q540" s="7" t="inlineStr">
        <is>
          <t>yes</t>
        </is>
      </c>
      <c r="R540" s="7" t="inlineStr">
        <is>
          <t>whole</t>
        </is>
      </c>
      <c r="S540" s="7" t="inlineStr">
        <is>
          <t>FG1</t>
        </is>
      </c>
      <c r="T540" s="7" t="inlineStr">
        <is>
          <t>Pulses</t>
        </is>
      </c>
      <c r="U540" s="7" t="inlineStr">
        <is>
          <t>plant</t>
        </is>
      </c>
      <c r="V540" s="7" t="n"/>
      <c r="W540" s="7" t="n"/>
      <c r="X540" s="55" t="n">
        <v>1</v>
      </c>
      <c r="Y540" s="50" t="n">
        <v>0.4</v>
      </c>
      <c r="Z540" s="7" t="inlineStr">
        <is>
          <t>declared</t>
        </is>
      </c>
      <c r="AA540" s="19">
        <f>IF(ISBLANK(Welcome!D566),"",Welcome!D566)</f>
        <v/>
      </c>
      <c r="AB540" s="29">
        <f>IF(ISBLANK(Welcome!E566),"",Welcome!E566)</f>
        <v/>
      </c>
      <c r="AC540" s="29">
        <f>IF(N(AB540)&gt;0,N(AB540),N(AA540)*Y540)</f>
        <v/>
      </c>
      <c r="AD540" s="29">
        <f>IF(H540="yes",AC540,0)</f>
        <v/>
      </c>
      <c r="AE540" s="29">
        <f>AD540*N(M540)/100</f>
        <v/>
      </c>
      <c r="AF540" s="29">
        <f>AD540*N(O540)/100</f>
        <v/>
      </c>
      <c r="AG540" s="29">
        <f>AD540*N(P540)/100</f>
        <v/>
      </c>
      <c r="AH540" s="50">
        <f>IF(Q540="yes",AD540/1000,0)</f>
        <v/>
      </c>
      <c r="AI540" s="50">
        <f>IF(S540="FG2",AH540*X540,AH540)</f>
        <v/>
      </c>
    </row>
    <row r="541">
      <c r="A541" s="7" t="inlineStr">
        <is>
          <t>HM00540</t>
        </is>
      </c>
      <c r="B541" s="16" t="inlineStr">
        <is>
          <t>3012345339551</t>
        </is>
      </c>
      <c r="C541" s="7" t="inlineStr">
        <is>
          <t>QUILLAN VEG CHILLI RICE 350G</t>
        </is>
      </c>
      <c r="D541" s="7" t="inlineStr">
        <is>
          <t>Vegetable chilli with rice, 350g</t>
        </is>
      </c>
      <c r="E541" s="7" t="inlineStr">
        <is>
          <t>Quillan</t>
        </is>
      </c>
      <c r="F541" s="7" t="inlineStr">
        <is>
          <t>Ready Meals</t>
        </is>
      </c>
      <c r="G541" s="7" t="inlineStr">
        <is>
          <t>Ready Meals</t>
        </is>
      </c>
      <c r="H541" s="7" t="inlineStr">
        <is>
          <t>yes</t>
        </is>
      </c>
      <c r="I541" s="7" t="inlineStr">
        <is>
          <t>Plant-based non-core</t>
        </is>
      </c>
      <c r="J541" s="7" t="inlineStr">
        <is>
          <t>Other</t>
        </is>
      </c>
      <c r="K541" s="7" t="inlineStr">
        <is>
          <t>B</t>
        </is>
      </c>
      <c r="L541" s="7" t="inlineStr">
        <is>
          <t>Follows the class</t>
        </is>
      </c>
      <c r="M541" s="51" t="n">
        <v>4.2</v>
      </c>
      <c r="N541" s="7" t="inlineStr">
        <is>
          <t>Altera reference base</t>
        </is>
      </c>
      <c r="O541" s="54" t="n">
        <v>4.2</v>
      </c>
      <c r="P541" s="54" t="n">
        <v>0</v>
      </c>
      <c r="Q541" s="7" t="inlineStr">
        <is>
          <t>yes</t>
        </is>
      </c>
      <c r="R541" s="7" t="inlineStr">
        <is>
          <t>composite</t>
        </is>
      </c>
      <c r="S541" s="7" t="n"/>
      <c r="T541" s="7" t="n"/>
      <c r="U541" s="7" t="n"/>
      <c r="V541" s="7" t="inlineStr">
        <is>
          <t>vegan</t>
        </is>
      </c>
      <c r="W541" s="7" t="n"/>
      <c r="X541" s="55" t="n">
        <v>1</v>
      </c>
      <c r="Y541" s="50" t="n">
        <v>0.35</v>
      </c>
      <c r="Z541" s="7" t="inlineStr">
        <is>
          <t>declared</t>
        </is>
      </c>
      <c r="AA541" s="19">
        <f>IF(ISBLANK(Welcome!D567),"",Welcome!D567)</f>
        <v/>
      </c>
      <c r="AB541" s="29">
        <f>IF(ISBLANK(Welcome!E567),"",Welcome!E567)</f>
        <v/>
      </c>
      <c r="AC541" s="29">
        <f>IF(N(AB541)&gt;0,N(AB541),N(AA541)*Y541)</f>
        <v/>
      </c>
      <c r="AD541" s="29">
        <f>IF(H541="yes",AC541,0)</f>
        <v/>
      </c>
      <c r="AE541" s="29">
        <f>AD541*N(M541)/100</f>
        <v/>
      </c>
      <c r="AF541" s="29">
        <f>AD541*N(O541)/100</f>
        <v/>
      </c>
      <c r="AG541" s="29">
        <f>AD541*N(P541)/100</f>
        <v/>
      </c>
      <c r="AH541" s="50">
        <f>IF(Q541="yes",AD541/1000,0)</f>
        <v/>
      </c>
      <c r="AI541" s="50">
        <f>IF(S541="FG2",AH541*X541,AH541)</f>
        <v/>
      </c>
    </row>
    <row r="542">
      <c r="A542" s="7" t="inlineStr">
        <is>
          <t>HM00453</t>
        </is>
      </c>
      <c r="B542" s="16" t="inlineStr">
        <is>
          <t>4012345799224</t>
        </is>
      </c>
      <c r="C542" s="7" t="inlineStr">
        <is>
          <t>HM CHKN WINGS 650G</t>
        </is>
      </c>
      <c r="D542" s="7" t="inlineStr">
        <is>
          <t>Chicken wings, 650g</t>
        </is>
      </c>
      <c r="E542" s="7" t="inlineStr">
        <is>
          <t>Harbour Market</t>
        </is>
      </c>
      <c r="F542" s="7" t="inlineStr">
        <is>
          <t>Fresh Meat &amp; Poultry</t>
        </is>
      </c>
      <c r="G542" s="7" t="inlineStr">
        <is>
          <t>Poultry</t>
        </is>
      </c>
      <c r="H542" s="7" t="inlineStr">
        <is>
          <t>yes</t>
        </is>
      </c>
      <c r="I542" s="7" t="inlineStr">
        <is>
          <t>Animal core</t>
        </is>
      </c>
      <c r="J542" s="7" t="inlineStr">
        <is>
          <t>Poultry</t>
        </is>
      </c>
      <c r="K542" s="7" t="inlineStr">
        <is>
          <t>A</t>
        </is>
      </c>
      <c r="L542" s="7" t="inlineStr">
        <is>
          <t>All ingredients on one side</t>
        </is>
      </c>
      <c r="M542" s="51" t="n">
        <v>19</v>
      </c>
      <c r="N542" s="7" t="inlineStr">
        <is>
          <t>Open Food Facts and NEVO, by EAN</t>
        </is>
      </c>
      <c r="O542" s="54" t="n">
        <v>0</v>
      </c>
      <c r="P542" s="54" t="n">
        <v>19</v>
      </c>
      <c r="Q542" s="7" t="inlineStr">
        <is>
          <t>yes</t>
        </is>
      </c>
      <c r="R542" s="7" t="inlineStr">
        <is>
          <t>whole</t>
        </is>
      </c>
      <c r="S542" s="7" t="inlineStr">
        <is>
          <t>FG1</t>
        </is>
      </c>
      <c r="T542" s="7" t="inlineStr">
        <is>
          <t>Poultry</t>
        </is>
      </c>
      <c r="U542" s="7" t="inlineStr">
        <is>
          <t>animal</t>
        </is>
      </c>
      <c r="V542" s="7" t="n"/>
      <c r="W542" s="7" t="n"/>
      <c r="X542" s="55" t="n">
        <v>1</v>
      </c>
      <c r="Y542" s="50" t="n">
        <v>0.65</v>
      </c>
      <c r="Z542" s="7" t="inlineStr">
        <is>
          <t>declared</t>
        </is>
      </c>
      <c r="AA542" s="19">
        <f>IF(ISBLANK(Welcome!D568),"",Welcome!D568)</f>
        <v/>
      </c>
      <c r="AB542" s="29">
        <f>IF(ISBLANK(Welcome!E568),"",Welcome!E568)</f>
        <v/>
      </c>
      <c r="AC542" s="29">
        <f>IF(N(AB542)&gt;0,N(AB542),N(AA542)*Y542)</f>
        <v/>
      </c>
      <c r="AD542" s="29">
        <f>IF(H542="yes",AC542,0)</f>
        <v/>
      </c>
      <c r="AE542" s="29">
        <f>AD542*N(M542)/100</f>
        <v/>
      </c>
      <c r="AF542" s="29">
        <f>AD542*N(O542)/100</f>
        <v/>
      </c>
      <c r="AG542" s="29">
        <f>AD542*N(P542)/100</f>
        <v/>
      </c>
      <c r="AH542" s="50">
        <f>IF(Q542="yes",AD542/1000,0)</f>
        <v/>
      </c>
      <c r="AI542" s="50">
        <f>IF(S542="FG2",AH542*X542,AH542)</f>
        <v/>
      </c>
    </row>
    <row r="543">
      <c r="A543" s="7" t="inlineStr">
        <is>
          <t>HM00206</t>
        </is>
      </c>
      <c r="B543" s="16" t="inlineStr">
        <is>
          <t>4012345385885</t>
        </is>
      </c>
      <c r="C543" s="7" t="inlineStr">
        <is>
          <t>BF SIRLOIN STK 250G TARROW</t>
        </is>
      </c>
      <c r="D543" s="7" t="inlineStr">
        <is>
          <t>Beef sirloin steak, 250g</t>
        </is>
      </c>
      <c r="E543" s="7" t="inlineStr">
        <is>
          <t>Tarrow Farm</t>
        </is>
      </c>
      <c r="F543" s="7" t="inlineStr">
        <is>
          <t>Fresh Meat &amp; Poultry</t>
        </is>
      </c>
      <c r="G543" s="7" t="inlineStr">
        <is>
          <t>Beef</t>
        </is>
      </c>
      <c r="H543" s="7" t="inlineStr">
        <is>
          <t>yes</t>
        </is>
      </c>
      <c r="I543" s="7" t="inlineStr">
        <is>
          <t>Animal core</t>
        </is>
      </c>
      <c r="J543" s="7" t="inlineStr">
        <is>
          <t>Red meat</t>
        </is>
      </c>
      <c r="K543" s="7" t="inlineStr">
        <is>
          <t>B</t>
        </is>
      </c>
      <c r="L543" s="7" t="inlineStr">
        <is>
          <t>Follows the class</t>
        </is>
      </c>
      <c r="M543" s="51" t="n">
        <v>22.3</v>
      </c>
      <c r="N543" s="7" t="inlineStr">
        <is>
          <t>Declared by the retailer</t>
        </is>
      </c>
      <c r="O543" s="54" t="n">
        <v>0</v>
      </c>
      <c r="P543" s="54" t="n">
        <v>22.3</v>
      </c>
      <c r="Q543" s="7" t="inlineStr">
        <is>
          <t>yes</t>
        </is>
      </c>
      <c r="R543" s="7" t="inlineStr">
        <is>
          <t>whole</t>
        </is>
      </c>
      <c r="S543" s="7" t="inlineStr">
        <is>
          <t>FG1</t>
        </is>
      </c>
      <c r="T543" s="7" t="inlineStr">
        <is>
          <t>Red meat</t>
        </is>
      </c>
      <c r="U543" s="7" t="inlineStr">
        <is>
          <t>animal</t>
        </is>
      </c>
      <c r="V543" s="7" t="n"/>
      <c r="W543" s="7" t="n"/>
      <c r="X543" s="55" t="n">
        <v>1</v>
      </c>
      <c r="Y543" s="50" t="n">
        <v>0.25</v>
      </c>
      <c r="Z543" s="7" t="inlineStr">
        <is>
          <t>declared</t>
        </is>
      </c>
      <c r="AA543" s="19">
        <f>IF(ISBLANK(Welcome!D569),"",Welcome!D569)</f>
        <v/>
      </c>
      <c r="AB543" s="29">
        <f>IF(ISBLANK(Welcome!E569),"",Welcome!E569)</f>
        <v/>
      </c>
      <c r="AC543" s="29">
        <f>IF(N(AB543)&gt;0,N(AB543),N(AA543)*Y543)</f>
        <v/>
      </c>
      <c r="AD543" s="29">
        <f>IF(H543="yes",AC543,0)</f>
        <v/>
      </c>
      <c r="AE543" s="29">
        <f>AD543*N(M543)/100</f>
        <v/>
      </c>
      <c r="AF543" s="29">
        <f>AD543*N(O543)/100</f>
        <v/>
      </c>
      <c r="AG543" s="29">
        <f>AD543*N(P543)/100</f>
        <v/>
      </c>
      <c r="AH543" s="50">
        <f>IF(Q543="yes",AD543/1000,0)</f>
        <v/>
      </c>
      <c r="AI543" s="50">
        <f>IF(S543="FG2",AH543*X543,AH543)</f>
        <v/>
      </c>
    </row>
    <row r="544">
      <c r="A544" s="7" t="inlineStr">
        <is>
          <t>HM00690</t>
        </is>
      </c>
      <c r="B544" s="16" t="inlineStr">
        <is>
          <t>5012345388328</t>
        </is>
      </c>
      <c r="C544" s="7" t="inlineStr">
        <is>
          <t>SOLVANE PLANT NUGGETS 300G</t>
        </is>
      </c>
      <c r="D544" s="7" t="inlineStr">
        <is>
          <t>Plant-based nuggets, 300g</t>
        </is>
      </c>
      <c r="E544" s="7" t="inlineStr">
        <is>
          <t>Solvane</t>
        </is>
      </c>
      <c r="F544" s="7" t="inlineStr">
        <is>
          <t>Plant-Based</t>
        </is>
      </c>
      <c r="G544" s="7" t="inlineStr">
        <is>
          <t>Meat Alternatives</t>
        </is>
      </c>
      <c r="H544" s="7" t="inlineStr">
        <is>
          <t>yes</t>
        </is>
      </c>
      <c r="I544" s="7" t="inlineStr">
        <is>
          <t>Plant-based core</t>
        </is>
      </c>
      <c r="J544" s="7" t="inlineStr">
        <is>
          <t>Plant-based meat alternatives</t>
        </is>
      </c>
      <c r="K544" s="7" t="inlineStr">
        <is>
          <t>A</t>
        </is>
      </c>
      <c r="L544" s="7" t="inlineStr">
        <is>
          <t>All ingredients on one side</t>
        </is>
      </c>
      <c r="M544" s="51" t="n">
        <v>12.9</v>
      </c>
      <c r="N544" s="7" t="inlineStr">
        <is>
          <t>Declared by the retailer</t>
        </is>
      </c>
      <c r="O544" s="54" t="n">
        <v>12.9</v>
      </c>
      <c r="P544" s="54" t="n">
        <v>0</v>
      </c>
      <c r="Q544" s="7" t="inlineStr">
        <is>
          <t>yes</t>
        </is>
      </c>
      <c r="R544" s="7" t="inlineStr">
        <is>
          <t>whole</t>
        </is>
      </c>
      <c r="S544" s="7" t="inlineStr">
        <is>
          <t>FG1</t>
        </is>
      </c>
      <c r="T544" s="7" t="inlineStr">
        <is>
          <t>Alternative products</t>
        </is>
      </c>
      <c r="U544" s="7" t="inlineStr">
        <is>
          <t>plant</t>
        </is>
      </c>
      <c r="V544" s="7" t="n"/>
      <c r="W544" s="7" t="n"/>
      <c r="X544" s="55" t="n">
        <v>1</v>
      </c>
      <c r="Y544" s="50" t="n">
        <v>0.3</v>
      </c>
      <c r="Z544" s="7" t="inlineStr">
        <is>
          <t>declared</t>
        </is>
      </c>
      <c r="AA544" s="19">
        <f>IF(ISBLANK(Welcome!D570),"",Welcome!D570)</f>
        <v/>
      </c>
      <c r="AB544" s="29">
        <f>IF(ISBLANK(Welcome!E570),"",Welcome!E570)</f>
        <v/>
      </c>
      <c r="AC544" s="29">
        <f>IF(N(AB544)&gt;0,N(AB544),N(AA544)*Y544)</f>
        <v/>
      </c>
      <c r="AD544" s="29">
        <f>IF(H544="yes",AC544,0)</f>
        <v/>
      </c>
      <c r="AE544" s="29">
        <f>AD544*N(M544)/100</f>
        <v/>
      </c>
      <c r="AF544" s="29">
        <f>AD544*N(O544)/100</f>
        <v/>
      </c>
      <c r="AG544" s="29">
        <f>AD544*N(P544)/100</f>
        <v/>
      </c>
      <c r="AH544" s="50">
        <f>IF(Q544="yes",AD544/1000,0)</f>
        <v/>
      </c>
      <c r="AI544" s="50">
        <f>IF(S544="FG2",AH544*X544,AH544)</f>
        <v/>
      </c>
    </row>
    <row r="545">
      <c r="A545" s="7" t="inlineStr">
        <is>
          <t>HM00402</t>
        </is>
      </c>
      <c r="B545" s="16" t="inlineStr">
        <is>
          <t>4012345703542</t>
        </is>
      </c>
      <c r="C545" s="7" t="inlineStr">
        <is>
          <t>ORVALIS PORRIDGE OATS 500G</t>
        </is>
      </c>
      <c r="D545" s="7" t="inlineStr">
        <is>
          <t>Porridge oats, 500g</t>
        </is>
      </c>
      <c r="E545" s="7" t="inlineStr">
        <is>
          <t>Orvalis</t>
        </is>
      </c>
      <c r="F545" s="7" t="inlineStr">
        <is>
          <t>Grocery</t>
        </is>
      </c>
      <c r="G545" s="7" t="inlineStr">
        <is>
          <t>Rice &amp; Grains</t>
        </is>
      </c>
      <c r="H545" s="7" t="inlineStr">
        <is>
          <t>yes</t>
        </is>
      </c>
      <c r="I545" s="7" t="inlineStr">
        <is>
          <t>Plant-based non-core</t>
        </is>
      </c>
      <c r="J545" s="7" t="inlineStr">
        <is>
          <t>Whole grains</t>
        </is>
      </c>
      <c r="K545" s="7" t="inlineStr">
        <is>
          <t>B</t>
        </is>
      </c>
      <c r="L545" s="7" t="inlineStr">
        <is>
          <t>Follows the class</t>
        </is>
      </c>
      <c r="M545" s="51" t="n">
        <v>10.5</v>
      </c>
      <c r="N545" s="7" t="inlineStr">
        <is>
          <t>National food table (CIQUAL in France)</t>
        </is>
      </c>
      <c r="O545" s="54" t="n">
        <v>10.5</v>
      </c>
      <c r="P545" s="54" t="n">
        <v>0</v>
      </c>
      <c r="Q545" s="7" t="inlineStr">
        <is>
          <t>yes</t>
        </is>
      </c>
      <c r="R545" s="7" t="inlineStr">
        <is>
          <t>whole</t>
        </is>
      </c>
      <c r="S545" s="7" t="inlineStr">
        <is>
          <t>FG5</t>
        </is>
      </c>
      <c r="T545" s="7" t="inlineStr">
        <is>
          <t>Whole grain</t>
        </is>
      </c>
      <c r="U545" s="7" t="inlineStr">
        <is>
          <t>plant</t>
        </is>
      </c>
      <c r="V545" s="7" t="n"/>
      <c r="W545" s="7" t="n"/>
      <c r="X545" s="55" t="n">
        <v>1</v>
      </c>
      <c r="Y545" s="50" t="n">
        <v>0.5</v>
      </c>
      <c r="Z545" s="7" t="inlineStr">
        <is>
          <t>declared</t>
        </is>
      </c>
      <c r="AA545" s="19">
        <f>IF(ISBLANK(Welcome!D571),"",Welcome!D571)</f>
        <v/>
      </c>
      <c r="AB545" s="29">
        <f>IF(ISBLANK(Welcome!E571),"",Welcome!E571)</f>
        <v/>
      </c>
      <c r="AC545" s="29">
        <f>IF(N(AB545)&gt;0,N(AB545),N(AA545)*Y545)</f>
        <v/>
      </c>
      <c r="AD545" s="29">
        <f>IF(H545="yes",AC545,0)</f>
        <v/>
      </c>
      <c r="AE545" s="29">
        <f>AD545*N(M545)/100</f>
        <v/>
      </c>
      <c r="AF545" s="29">
        <f>AD545*N(O545)/100</f>
        <v/>
      </c>
      <c r="AG545" s="29">
        <f>AD545*N(P545)/100</f>
        <v/>
      </c>
      <c r="AH545" s="50">
        <f>IF(Q545="yes",AD545/1000,0)</f>
        <v/>
      </c>
      <c r="AI545" s="50">
        <f>IF(S545="FG2",AH545*X545,AH545)</f>
        <v/>
      </c>
    </row>
    <row r="546">
      <c r="A546" s="7" t="inlineStr">
        <is>
          <t>HM00098</t>
        </is>
      </c>
      <c r="B546" s="16" t="inlineStr">
        <is>
          <t>8712345050887</t>
        </is>
      </c>
      <c r="C546" s="7" t="inlineStr">
        <is>
          <t>MAYONNAISE 750ML CASTELNA</t>
        </is>
      </c>
      <c r="D546" s="7" t="inlineStr">
        <is>
          <t>Mayonnaise, 750ml</t>
        </is>
      </c>
      <c r="E546" s="7" t="inlineStr">
        <is>
          <t>Castelna</t>
        </is>
      </c>
      <c r="F546" s="7" t="inlineStr">
        <is>
          <t>Grocery</t>
        </is>
      </c>
      <c r="G546" s="7" t="inlineStr">
        <is>
          <t>Condiments</t>
        </is>
      </c>
      <c r="H546" s="7" t="inlineStr">
        <is>
          <t>yes</t>
        </is>
      </c>
      <c r="I546" s="7" t="inlineStr">
        <is>
          <t>Animal core</t>
        </is>
      </c>
      <c r="J546" s="7" t="inlineStr">
        <is>
          <t>Other</t>
        </is>
      </c>
      <c r="K546" s="7" t="inlineStr">
        <is>
          <t>A</t>
        </is>
      </c>
      <c r="L546" s="7" t="inlineStr">
        <is>
          <t>All ingredients on one side</t>
        </is>
      </c>
      <c r="M546" s="51" t="n">
        <v>1.1</v>
      </c>
      <c r="N546" s="7" t="inlineStr">
        <is>
          <t>Declared by the retailer</t>
        </is>
      </c>
      <c r="O546" s="54" t="n">
        <v>0</v>
      </c>
      <c r="P546" s="54" t="n">
        <v>1.1</v>
      </c>
      <c r="Q546" s="7" t="inlineStr">
        <is>
          <t>no</t>
        </is>
      </c>
      <c r="R546" s="7" t="n"/>
      <c r="S546" s="7" t="n"/>
      <c r="T546" s="7" t="n"/>
      <c r="U546" s="7" t="n"/>
      <c r="V546" s="7" t="n"/>
      <c r="W546" s="7" t="inlineStr">
        <is>
          <t>condiment</t>
        </is>
      </c>
      <c r="X546" s="55" t="n">
        <v>1</v>
      </c>
      <c r="Y546" s="50" t="n">
        <v>0.6899999999999999</v>
      </c>
      <c r="Z546" s="7" t="inlineStr">
        <is>
          <t>declared</t>
        </is>
      </c>
      <c r="AA546" s="19">
        <f>IF(ISBLANK(Welcome!D572),"",Welcome!D572)</f>
        <v/>
      </c>
      <c r="AB546" s="29">
        <f>IF(ISBLANK(Welcome!E572),"",Welcome!E572)</f>
        <v/>
      </c>
      <c r="AC546" s="29">
        <f>IF(N(AB546)&gt;0,N(AB546),N(AA546)*Y546)</f>
        <v/>
      </c>
      <c r="AD546" s="29">
        <f>IF(H546="yes",AC546,0)</f>
        <v/>
      </c>
      <c r="AE546" s="29">
        <f>AD546*N(M546)/100</f>
        <v/>
      </c>
      <c r="AF546" s="29">
        <f>AD546*N(O546)/100</f>
        <v/>
      </c>
      <c r="AG546" s="29">
        <f>AD546*N(P546)/100</f>
        <v/>
      </c>
      <c r="AH546" s="50">
        <f>IF(Q546="yes",AD546/1000,0)</f>
        <v/>
      </c>
      <c r="AI546" s="50">
        <f>IF(S546="FG2",AH546*X546,AH546)</f>
        <v/>
      </c>
    </row>
    <row r="547">
      <c r="A547" s="7" t="inlineStr">
        <is>
          <t>HM00367</t>
        </is>
      </c>
      <c r="B547" s="16" t="inlineStr">
        <is>
          <t>5012345224794</t>
        </is>
      </c>
      <c r="C547" s="7" t="inlineStr">
        <is>
          <t>VICTORIA SPONGE 400G BRAMBLECOTE</t>
        </is>
      </c>
      <c r="D547" s="7" t="inlineStr">
        <is>
          <t>Victoria sponge cake, 400g</t>
        </is>
      </c>
      <c r="E547" s="7" t="inlineStr">
        <is>
          <t>Bramblecote</t>
        </is>
      </c>
      <c r="F547" s="7" t="inlineStr">
        <is>
          <t>Bakery</t>
        </is>
      </c>
      <c r="G547" s="7" t="inlineStr">
        <is>
          <t>Cakes</t>
        </is>
      </c>
      <c r="H547" s="7" t="inlineStr">
        <is>
          <t>yes</t>
        </is>
      </c>
      <c r="I547" s="7" t="inlineStr">
        <is>
          <t>Animal &amp; plant composite</t>
        </is>
      </c>
      <c r="J547" s="7" t="inlineStr">
        <is>
          <t>Discretionary products</t>
        </is>
      </c>
      <c r="K547" s="7" t="inlineStr">
        <is>
          <t>B</t>
        </is>
      </c>
      <c r="L547" s="7" t="inlineStr">
        <is>
          <t>50/50 convention</t>
        </is>
      </c>
      <c r="M547" s="51" t="n">
        <v>5.1</v>
      </c>
      <c r="N547" s="7" t="inlineStr">
        <is>
          <t>Altera reference base</t>
        </is>
      </c>
      <c r="O547" s="54" t="n">
        <v>2.55</v>
      </c>
      <c r="P547" s="54" t="n">
        <v>2.55</v>
      </c>
      <c r="Q547" s="7" t="inlineStr">
        <is>
          <t>yes</t>
        </is>
      </c>
      <c r="R547" s="7" t="inlineStr">
        <is>
          <t>whole</t>
        </is>
      </c>
      <c r="S547" s="7" t="inlineStr">
        <is>
          <t>FG7</t>
        </is>
      </c>
      <c r="T547" s="7" t="n"/>
      <c r="U547" s="7" t="inlineStr">
        <is>
          <t>plant</t>
        </is>
      </c>
      <c r="V547" s="7" t="n"/>
      <c r="W547" s="7" t="n"/>
      <c r="X547" s="55" t="n">
        <v>1</v>
      </c>
      <c r="Y547" s="50" t="n">
        <v>0.4</v>
      </c>
      <c r="Z547" s="7" t="inlineStr">
        <is>
          <t>declared</t>
        </is>
      </c>
      <c r="AA547" s="19">
        <f>IF(ISBLANK(Welcome!D573),"",Welcome!D573)</f>
        <v/>
      </c>
      <c r="AB547" s="29">
        <f>IF(ISBLANK(Welcome!E573),"",Welcome!E573)</f>
        <v/>
      </c>
      <c r="AC547" s="29">
        <f>IF(N(AB547)&gt;0,N(AB547),N(AA547)*Y547)</f>
        <v/>
      </c>
      <c r="AD547" s="29">
        <f>IF(H547="yes",AC547,0)</f>
        <v/>
      </c>
      <c r="AE547" s="29">
        <f>AD547*N(M547)/100</f>
        <v/>
      </c>
      <c r="AF547" s="29">
        <f>AD547*N(O547)/100</f>
        <v/>
      </c>
      <c r="AG547" s="29">
        <f>AD547*N(P547)/100</f>
        <v/>
      </c>
      <c r="AH547" s="50">
        <f>IF(Q547="yes",AD547/1000,0)</f>
        <v/>
      </c>
      <c r="AI547" s="50">
        <f>IF(S547="FG2",AH547*X547,AH547)</f>
        <v/>
      </c>
    </row>
    <row r="548">
      <c r="A548" s="7" t="inlineStr">
        <is>
          <t>HM00657</t>
        </is>
      </c>
      <c r="B548" s="16" t="inlineStr">
        <is>
          <t>4012345752496</t>
        </is>
      </c>
      <c r="C548" s="7" t="inlineStr">
        <is>
          <t>WHLWHT PENNE 500G ORVALIS</t>
        </is>
      </c>
      <c r="D548" s="7" t="inlineStr">
        <is>
          <t>Wholewheat penne, 500g</t>
        </is>
      </c>
      <c r="E548" s="7" t="inlineStr">
        <is>
          <t>Orvalis</t>
        </is>
      </c>
      <c r="F548" s="7" t="inlineStr">
        <is>
          <t>Grocery</t>
        </is>
      </c>
      <c r="G548" s="7" t="inlineStr">
        <is>
          <t>Pasta</t>
        </is>
      </c>
      <c r="H548" s="7" t="inlineStr">
        <is>
          <t>yes</t>
        </is>
      </c>
      <c r="I548" s="7" t="inlineStr">
        <is>
          <t>Plant-based non-core</t>
        </is>
      </c>
      <c r="J548" s="7" t="inlineStr">
        <is>
          <t>Whole grains</t>
        </is>
      </c>
      <c r="K548" s="7" t="inlineStr">
        <is>
          <t>A</t>
        </is>
      </c>
      <c r="L548" s="7" t="inlineStr">
        <is>
          <t>All ingredients on one side</t>
        </is>
      </c>
      <c r="M548" s="51" t="n">
        <v>12.4</v>
      </c>
      <c r="N548" s="7" t="inlineStr">
        <is>
          <t>Declared by the retailer</t>
        </is>
      </c>
      <c r="O548" s="54" t="n">
        <v>12.4</v>
      </c>
      <c r="P548" s="54" t="n">
        <v>0</v>
      </c>
      <c r="Q548" s="7" t="inlineStr">
        <is>
          <t>yes</t>
        </is>
      </c>
      <c r="R548" s="7" t="inlineStr">
        <is>
          <t>whole</t>
        </is>
      </c>
      <c r="S548" s="7" t="inlineStr">
        <is>
          <t>FG5</t>
        </is>
      </c>
      <c r="T548" s="7" t="inlineStr">
        <is>
          <t>Whole grain</t>
        </is>
      </c>
      <c r="U548" s="7" t="inlineStr">
        <is>
          <t>plant</t>
        </is>
      </c>
      <c r="V548" s="7" t="n"/>
      <c r="W548" s="7" t="n"/>
      <c r="X548" s="55" t="n">
        <v>1</v>
      </c>
      <c r="Y548" s="50" t="n">
        <v>0.5</v>
      </c>
      <c r="Z548" s="7" t="inlineStr">
        <is>
          <t>declared</t>
        </is>
      </c>
      <c r="AA548" s="19">
        <f>IF(ISBLANK(Welcome!D574),"",Welcome!D574)</f>
        <v/>
      </c>
      <c r="AB548" s="29">
        <f>IF(ISBLANK(Welcome!E574),"",Welcome!E574)</f>
        <v/>
      </c>
      <c r="AC548" s="29">
        <f>IF(N(AB548)&gt;0,N(AB548),N(AA548)*Y548)</f>
        <v/>
      </c>
      <c r="AD548" s="29">
        <f>IF(H548="yes",AC548,0)</f>
        <v/>
      </c>
      <c r="AE548" s="29">
        <f>AD548*N(M548)/100</f>
        <v/>
      </c>
      <c r="AF548" s="29">
        <f>AD548*N(O548)/100</f>
        <v/>
      </c>
      <c r="AG548" s="29">
        <f>AD548*N(P548)/100</f>
        <v/>
      </c>
      <c r="AH548" s="50">
        <f>IF(Q548="yes",AD548/1000,0)</f>
        <v/>
      </c>
      <c r="AI548" s="50">
        <f>IF(S548="FG2",AH548*X548,AH548)</f>
        <v/>
      </c>
    </row>
    <row r="549">
      <c r="A549" s="7" t="inlineStr">
        <is>
          <t>HM00220</t>
        </is>
      </c>
      <c r="B549" s="16" t="inlineStr">
        <is>
          <t>8712345162665</t>
        </is>
      </c>
      <c r="C549" s="7" t="inlineStr">
        <is>
          <t>HM CRINKLE CUT CHIPS 750G</t>
        </is>
      </c>
      <c r="D549" s="7" t="inlineStr">
        <is>
          <t>Crinkle-cut chips, 750g</t>
        </is>
      </c>
      <c r="E549" s="7" t="inlineStr">
        <is>
          <t>Harbour Market</t>
        </is>
      </c>
      <c r="F549" s="7" t="inlineStr">
        <is>
          <t>Frozen</t>
        </is>
      </c>
      <c r="G549" s="7" t="inlineStr">
        <is>
          <t>Frozen Potatoes</t>
        </is>
      </c>
      <c r="H549" s="7" t="inlineStr">
        <is>
          <t>yes</t>
        </is>
      </c>
      <c r="I549" s="7" t="inlineStr">
        <is>
          <t>Plant-based non-core</t>
        </is>
      </c>
      <c r="J549" s="7" t="inlineStr">
        <is>
          <t>Discretionary products</t>
        </is>
      </c>
      <c r="K549" s="7" t="inlineStr">
        <is>
          <t>A</t>
        </is>
      </c>
      <c r="L549" s="7" t="inlineStr">
        <is>
          <t>All ingredients on one side</t>
        </is>
      </c>
      <c r="M549" s="51" t="n">
        <v>2.5</v>
      </c>
      <c r="N549" s="7" t="inlineStr">
        <is>
          <t>National food table (CIQUAL in France)</t>
        </is>
      </c>
      <c r="O549" s="54" t="n">
        <v>2.5</v>
      </c>
      <c r="P549" s="54" t="n">
        <v>0</v>
      </c>
      <c r="Q549" s="7" t="inlineStr">
        <is>
          <t>yes</t>
        </is>
      </c>
      <c r="R549" s="7" t="inlineStr">
        <is>
          <t>whole</t>
        </is>
      </c>
      <c r="S549" s="7" t="inlineStr">
        <is>
          <t>FG7</t>
        </is>
      </c>
      <c r="T549" s="7" t="n"/>
      <c r="U549" s="7" t="inlineStr">
        <is>
          <t>plant</t>
        </is>
      </c>
      <c r="V549" s="7" t="n"/>
      <c r="W549" s="7" t="n"/>
      <c r="X549" s="55" t="n">
        <v>1</v>
      </c>
      <c r="Y549" s="50" t="n">
        <v>0.75</v>
      </c>
      <c r="Z549" s="7" t="inlineStr">
        <is>
          <t>declared</t>
        </is>
      </c>
      <c r="AA549" s="19">
        <f>IF(ISBLANK(Welcome!D575),"",Welcome!D575)</f>
        <v/>
      </c>
      <c r="AB549" s="29">
        <f>IF(ISBLANK(Welcome!E575),"",Welcome!E575)</f>
        <v/>
      </c>
      <c r="AC549" s="29">
        <f>IF(N(AB549)&gt;0,N(AB549),N(AA549)*Y549)</f>
        <v/>
      </c>
      <c r="AD549" s="29">
        <f>IF(H549="yes",AC549,0)</f>
        <v/>
      </c>
      <c r="AE549" s="29">
        <f>AD549*N(M549)/100</f>
        <v/>
      </c>
      <c r="AF549" s="29">
        <f>AD549*N(O549)/100</f>
        <v/>
      </c>
      <c r="AG549" s="29">
        <f>AD549*N(P549)/100</f>
        <v/>
      </c>
      <c r="AH549" s="50">
        <f>IF(Q549="yes",AD549/1000,0)</f>
        <v/>
      </c>
      <c r="AI549" s="50">
        <f>IF(S549="FG2",AH549*X549,AH549)</f>
        <v/>
      </c>
    </row>
    <row r="550">
      <c r="A550" s="7" t="inlineStr">
        <is>
          <t>HM00470</t>
        </is>
      </c>
      <c r="B550" s="16" t="inlineStr">
        <is>
          <t>3012345773874</t>
        </is>
      </c>
      <c r="C550" s="7" t="inlineStr">
        <is>
          <t>OLIVE SPREAD 500G SOLVANE</t>
        </is>
      </c>
      <c r="D550" s="7" t="inlineStr">
        <is>
          <t>Olive oil spread, 500g</t>
        </is>
      </c>
      <c r="E550" s="7" t="inlineStr">
        <is>
          <t>Solvane</t>
        </is>
      </c>
      <c r="F550" s="7" t="inlineStr">
        <is>
          <t>Dairy &amp; Eggs</t>
        </is>
      </c>
      <c r="G550" s="7" t="inlineStr">
        <is>
          <t>Butter &amp; Spreads</t>
        </is>
      </c>
      <c r="H550" s="7" t="inlineStr">
        <is>
          <t>yes</t>
        </is>
      </c>
      <c r="I550" s="7" t="inlineStr">
        <is>
          <t>Plant-based non-core</t>
        </is>
      </c>
      <c r="J550" s="7" t="inlineStr">
        <is>
          <t>Other</t>
        </is>
      </c>
      <c r="K550" s="7" t="inlineStr">
        <is>
          <t>B</t>
        </is>
      </c>
      <c r="L550" s="7" t="inlineStr">
        <is>
          <t>Follows the class</t>
        </is>
      </c>
      <c r="M550" s="51" t="n">
        <v>0.1</v>
      </c>
      <c r="N550" s="7" t="inlineStr">
        <is>
          <t>Declared by the retailer</t>
        </is>
      </c>
      <c r="O550" s="54" t="n">
        <v>0.1</v>
      </c>
      <c r="P550" s="54" t="n">
        <v>0</v>
      </c>
      <c r="Q550" s="7" t="inlineStr">
        <is>
          <t>yes</t>
        </is>
      </c>
      <c r="R550" s="7" t="inlineStr">
        <is>
          <t>whole</t>
        </is>
      </c>
      <c r="S550" s="7" t="inlineStr">
        <is>
          <t>FG3</t>
        </is>
      </c>
      <c r="T550" s="7" t="inlineStr">
        <is>
          <t>Plant-based fat</t>
        </is>
      </c>
      <c r="U550" s="7" t="inlineStr">
        <is>
          <t>plant</t>
        </is>
      </c>
      <c r="V550" s="7" t="n"/>
      <c r="W550" s="7" t="n"/>
      <c r="X550" s="55" t="n">
        <v>1</v>
      </c>
      <c r="Y550" s="50" t="n">
        <v>0.5</v>
      </c>
      <c r="Z550" s="7" t="inlineStr">
        <is>
          <t>declared</t>
        </is>
      </c>
      <c r="AA550" s="19">
        <f>IF(ISBLANK(Welcome!D576),"",Welcome!D576)</f>
        <v/>
      </c>
      <c r="AB550" s="29">
        <f>IF(ISBLANK(Welcome!E576),"",Welcome!E576)</f>
        <v/>
      </c>
      <c r="AC550" s="29">
        <f>IF(N(AB550)&gt;0,N(AB550),N(AA550)*Y550)</f>
        <v/>
      </c>
      <c r="AD550" s="29">
        <f>IF(H550="yes",AC550,0)</f>
        <v/>
      </c>
      <c r="AE550" s="29">
        <f>AD550*N(M550)/100</f>
        <v/>
      </c>
      <c r="AF550" s="29">
        <f>AD550*N(O550)/100</f>
        <v/>
      </c>
      <c r="AG550" s="29">
        <f>AD550*N(P550)/100</f>
        <v/>
      </c>
      <c r="AH550" s="50">
        <f>IF(Q550="yes",AD550/1000,0)</f>
        <v/>
      </c>
      <c r="AI550" s="50">
        <f>IF(S550="FG2",AH550*X550,AH550)</f>
        <v/>
      </c>
    </row>
    <row r="551">
      <c r="A551" s="7" t="inlineStr">
        <is>
          <t>HM00268</t>
        </is>
      </c>
      <c r="B551" s="16" t="inlineStr">
        <is>
          <t>8712345435592</t>
        </is>
      </c>
      <c r="C551" s="7" t="inlineStr">
        <is>
          <t>HM HOUMOUS CLASSIC 300G</t>
        </is>
      </c>
      <c r="D551" s="7" t="inlineStr">
        <is>
          <t>Classic houmous, 300g</t>
        </is>
      </c>
      <c r="E551" s="7" t="inlineStr">
        <is>
          <t>Harbour Market</t>
        </is>
      </c>
      <c r="F551" s="7" t="inlineStr">
        <is>
          <t>Deli</t>
        </is>
      </c>
      <c r="G551" s="7" t="inlineStr">
        <is>
          <t>Dips</t>
        </is>
      </c>
      <c r="H551" s="7" t="inlineStr">
        <is>
          <t>yes</t>
        </is>
      </c>
      <c r="I551" s="7" t="inlineStr">
        <is>
          <t>Plant-based core</t>
        </is>
      </c>
      <c r="J551" s="7" t="inlineStr">
        <is>
          <t>Pulses</t>
        </is>
      </c>
      <c r="K551" s="7" t="inlineStr">
        <is>
          <t>A</t>
        </is>
      </c>
      <c r="L551" s="7" t="inlineStr">
        <is>
          <t>All ingredients on one side</t>
        </is>
      </c>
      <c r="M551" s="51" t="n">
        <v>6.6</v>
      </c>
      <c r="N551" s="7" t="inlineStr">
        <is>
          <t>National food table (CIQUAL in France)</t>
        </is>
      </c>
      <c r="O551" s="54" t="n">
        <v>6.6</v>
      </c>
      <c r="P551" s="54" t="n">
        <v>0</v>
      </c>
      <c r="Q551" s="7" t="inlineStr">
        <is>
          <t>yes</t>
        </is>
      </c>
      <c r="R551" s="7" t="inlineStr">
        <is>
          <t>whole</t>
        </is>
      </c>
      <c r="S551" s="7" t="inlineStr">
        <is>
          <t>FG1</t>
        </is>
      </c>
      <c r="T551" s="7" t="inlineStr">
        <is>
          <t>Pulses</t>
        </is>
      </c>
      <c r="U551" s="7" t="inlineStr">
        <is>
          <t>plant</t>
        </is>
      </c>
      <c r="V551" s="7" t="n"/>
      <c r="W551" s="7" t="n"/>
      <c r="X551" s="55" t="n">
        <v>1</v>
      </c>
      <c r="Y551" s="50" t="n">
        <v>0.3</v>
      </c>
      <c r="Z551" s="7" t="inlineStr">
        <is>
          <t>declared</t>
        </is>
      </c>
      <c r="AA551" s="19">
        <f>IF(ISBLANK(Welcome!D577),"",Welcome!D577)</f>
        <v/>
      </c>
      <c r="AB551" s="29">
        <f>IF(ISBLANK(Welcome!E577),"",Welcome!E577)</f>
        <v/>
      </c>
      <c r="AC551" s="29">
        <f>IF(N(AB551)&gt;0,N(AB551),N(AA551)*Y551)</f>
        <v/>
      </c>
      <c r="AD551" s="29">
        <f>IF(H551="yes",AC551,0)</f>
        <v/>
      </c>
      <c r="AE551" s="29">
        <f>AD551*N(M551)/100</f>
        <v/>
      </c>
      <c r="AF551" s="29">
        <f>AD551*N(O551)/100</f>
        <v/>
      </c>
      <c r="AG551" s="29">
        <f>AD551*N(P551)/100</f>
        <v/>
      </c>
      <c r="AH551" s="50">
        <f>IF(Q551="yes",AD551/1000,0)</f>
        <v/>
      </c>
      <c r="AI551" s="50">
        <f>IF(S551="FG2",AH551*X551,AH551)</f>
        <v/>
      </c>
    </row>
    <row r="552">
      <c r="A552" s="7" t="inlineStr">
        <is>
          <t>HM00382</t>
        </is>
      </c>
      <c r="B552" s="16" t="inlineStr">
        <is>
          <t>3012345506144</t>
        </is>
      </c>
      <c r="C552" s="7" t="inlineStr">
        <is>
          <t>SARDINES OLV OIL 160G KESTREL</t>
        </is>
      </c>
      <c r="D552" s="7" t="inlineStr">
        <is>
          <t>Sardines in olive oil, 160g</t>
        </is>
      </c>
      <c r="E552" s="7" t="inlineStr">
        <is>
          <t>Kestrel Bay</t>
        </is>
      </c>
      <c r="F552" s="7" t="inlineStr">
        <is>
          <t>Fish &amp; Seafood</t>
        </is>
      </c>
      <c r="G552" s="7" t="inlineStr">
        <is>
          <t>Canned Fish</t>
        </is>
      </c>
      <c r="H552" s="7" t="inlineStr">
        <is>
          <t>yes</t>
        </is>
      </c>
      <c r="I552" s="7" t="inlineStr">
        <is>
          <t>Animal core</t>
        </is>
      </c>
      <c r="J552" s="7" t="inlineStr">
        <is>
          <t>Fish and seafood</t>
        </is>
      </c>
      <c r="K552" s="7" t="inlineStr">
        <is>
          <t>B</t>
        </is>
      </c>
      <c r="L552" s="7" t="inlineStr">
        <is>
          <t>Follows the class</t>
        </is>
      </c>
      <c r="M552" s="51" t="n">
        <v>23.6</v>
      </c>
      <c r="N552" s="7" t="inlineStr">
        <is>
          <t>Declared by the retailer</t>
        </is>
      </c>
      <c r="O552" s="54" t="n">
        <v>0</v>
      </c>
      <c r="P552" s="54" t="n">
        <v>23.6</v>
      </c>
      <c r="Q552" s="7" t="inlineStr">
        <is>
          <t>yes</t>
        </is>
      </c>
      <c r="R552" s="7" t="inlineStr">
        <is>
          <t>whole</t>
        </is>
      </c>
      <c r="S552" s="7" t="inlineStr">
        <is>
          <t>FG1</t>
        </is>
      </c>
      <c r="T552" s="7" t="inlineStr">
        <is>
          <t>Fish &amp; shellfish</t>
        </is>
      </c>
      <c r="U552" s="7" t="inlineStr">
        <is>
          <t>animal</t>
        </is>
      </c>
      <c r="V552" s="7" t="n"/>
      <c r="W552" s="7" t="n"/>
      <c r="X552" s="55" t="n">
        <v>1</v>
      </c>
      <c r="Y552" s="50" t="n">
        <v>0.16</v>
      </c>
      <c r="Z552" s="7" t="inlineStr">
        <is>
          <t>label</t>
        </is>
      </c>
      <c r="AA552" s="19">
        <f>IF(ISBLANK(Welcome!D578),"",Welcome!D578)</f>
        <v/>
      </c>
      <c r="AB552" s="29">
        <f>IF(ISBLANK(Welcome!E578),"",Welcome!E578)</f>
        <v/>
      </c>
      <c r="AC552" s="29">
        <f>IF(N(AB552)&gt;0,N(AB552),N(AA552)*Y552)</f>
        <v/>
      </c>
      <c r="AD552" s="29">
        <f>IF(H552="yes",AC552,0)</f>
        <v/>
      </c>
      <c r="AE552" s="29">
        <f>AD552*N(M552)/100</f>
        <v/>
      </c>
      <c r="AF552" s="29">
        <f>AD552*N(O552)/100</f>
        <v/>
      </c>
      <c r="AG552" s="29">
        <f>AD552*N(P552)/100</f>
        <v/>
      </c>
      <c r="AH552" s="50">
        <f>IF(Q552="yes",AD552/1000,0)</f>
        <v/>
      </c>
      <c r="AI552" s="50">
        <f>IF(S552="FG2",AH552*X552,AH552)</f>
        <v/>
      </c>
    </row>
    <row r="553">
      <c r="A553" s="7" t="inlineStr">
        <is>
          <t>HM00028</t>
        </is>
      </c>
      <c r="B553" s="16" t="inlineStr">
        <is>
          <t>4012345640496</t>
        </is>
      </c>
      <c r="C553" s="7" t="inlineStr">
        <is>
          <t>FJELDA SALTED BUTTER 500G</t>
        </is>
      </c>
      <c r="D553" s="7" t="inlineStr">
        <is>
          <t>Salted butter, 500g</t>
        </is>
      </c>
      <c r="E553" s="7" t="inlineStr">
        <is>
          <t>Fjelda</t>
        </is>
      </c>
      <c r="F553" s="7" t="inlineStr">
        <is>
          <t>Dairy &amp; Eggs</t>
        </is>
      </c>
      <c r="G553" s="7" t="inlineStr">
        <is>
          <t>Butter &amp; Spreads</t>
        </is>
      </c>
      <c r="H553" s="7" t="inlineStr">
        <is>
          <t>yes</t>
        </is>
      </c>
      <c r="I553" s="7" t="inlineStr">
        <is>
          <t>Animal core</t>
        </is>
      </c>
      <c r="J553" s="7" t="inlineStr">
        <is>
          <t>Other</t>
        </is>
      </c>
      <c r="K553" s="7" t="inlineStr">
        <is>
          <t>A</t>
        </is>
      </c>
      <c r="L553" s="7" t="inlineStr">
        <is>
          <t>All ingredients on one side</t>
        </is>
      </c>
      <c r="M553" s="51" t="n">
        <v>0.58</v>
      </c>
      <c r="N553" s="7" t="inlineStr">
        <is>
          <t>Median of the family</t>
        </is>
      </c>
      <c r="O553" s="54" t="n">
        <v>0</v>
      </c>
      <c r="P553" s="54" t="n">
        <v>0.58</v>
      </c>
      <c r="Q553" s="7" t="inlineStr">
        <is>
          <t>yes</t>
        </is>
      </c>
      <c r="R553" s="7" t="inlineStr">
        <is>
          <t>whole</t>
        </is>
      </c>
      <c r="S553" s="7" t="inlineStr">
        <is>
          <t>FG3</t>
        </is>
      </c>
      <c r="T553" s="7" t="inlineStr">
        <is>
          <t>Animal-based fat</t>
        </is>
      </c>
      <c r="U553" s="7" t="inlineStr">
        <is>
          <t>animal</t>
        </is>
      </c>
      <c r="V553" s="7" t="n"/>
      <c r="W553" s="7" t="n"/>
      <c r="X553" s="55" t="n">
        <v>1</v>
      </c>
      <c r="Y553" s="50" t="n">
        <v>0.5</v>
      </c>
      <c r="Z553" s="7" t="inlineStr">
        <is>
          <t>declared</t>
        </is>
      </c>
      <c r="AA553" s="19">
        <f>IF(ISBLANK(Welcome!D579),"",Welcome!D579)</f>
        <v/>
      </c>
      <c r="AB553" s="29">
        <f>IF(ISBLANK(Welcome!E579),"",Welcome!E579)</f>
        <v/>
      </c>
      <c r="AC553" s="29">
        <f>IF(N(AB553)&gt;0,N(AB553),N(AA553)*Y553)</f>
        <v/>
      </c>
      <c r="AD553" s="29">
        <f>IF(H553="yes",AC553,0)</f>
        <v/>
      </c>
      <c r="AE553" s="29">
        <f>AD553*N(M553)/100</f>
        <v/>
      </c>
      <c r="AF553" s="29">
        <f>AD553*N(O553)/100</f>
        <v/>
      </c>
      <c r="AG553" s="29">
        <f>AD553*N(P553)/100</f>
        <v/>
      </c>
      <c r="AH553" s="50">
        <f>IF(Q553="yes",AD553/1000,0)</f>
        <v/>
      </c>
      <c r="AI553" s="50">
        <f>IF(S553="FG2",AH553*X553,AH553)</f>
        <v/>
      </c>
    </row>
    <row r="554">
      <c r="A554" s="7" t="inlineStr">
        <is>
          <t>HM00021</t>
        </is>
      </c>
      <c r="B554" s="16" t="inlineStr">
        <is>
          <t>0012345871504</t>
        </is>
      </c>
      <c r="C554" s="7" t="inlineStr">
        <is>
          <t>HM MILK CHOC HAZELNUT 4X40G</t>
        </is>
      </c>
      <c r="D554" s="7" t="inlineStr">
        <is>
          <t>Milk chocolate with hazelnuts, 4x40g</t>
        </is>
      </c>
      <c r="E554" s="7" t="inlineStr">
        <is>
          <t>Harbour Market</t>
        </is>
      </c>
      <c r="F554" s="7" t="inlineStr">
        <is>
          <t>Breakfast &amp; Snacks</t>
        </is>
      </c>
      <c r="G554" s="7" t="inlineStr">
        <is>
          <t>Chocolate</t>
        </is>
      </c>
      <c r="H554" s="7" t="inlineStr">
        <is>
          <t>yes</t>
        </is>
      </c>
      <c r="I554" s="7" t="inlineStr">
        <is>
          <t>Animal &amp; plant composite</t>
        </is>
      </c>
      <c r="J554" s="7" t="inlineStr">
        <is>
          <t>Discretionary products</t>
        </is>
      </c>
      <c r="K554" s="7" t="inlineStr">
        <is>
          <t>A</t>
        </is>
      </c>
      <c r="L554" s="7" t="inlineStr">
        <is>
          <t>Ingredient list</t>
        </is>
      </c>
      <c r="M554" s="51" t="n">
        <v>7.8</v>
      </c>
      <c r="N554" s="7" t="inlineStr">
        <is>
          <t>Declared by the retailer</t>
        </is>
      </c>
      <c r="O554" s="54" t="n">
        <v>3.59</v>
      </c>
      <c r="P554" s="54" t="n">
        <v>4.21</v>
      </c>
      <c r="Q554" s="7" t="inlineStr">
        <is>
          <t>yes</t>
        </is>
      </c>
      <c r="R554" s="7" t="inlineStr">
        <is>
          <t>whole</t>
        </is>
      </c>
      <c r="S554" s="7" t="inlineStr">
        <is>
          <t>FG7</t>
        </is>
      </c>
      <c r="T554" s="7" t="n"/>
      <c r="U554" s="7" t="inlineStr">
        <is>
          <t>plant</t>
        </is>
      </c>
      <c r="V554" s="7" t="n"/>
      <c r="W554" s="7" t="n"/>
      <c r="X554" s="55" t="n">
        <v>1</v>
      </c>
      <c r="Y554" s="50" t="n">
        <v>0.16</v>
      </c>
      <c r="Z554" s="7" t="inlineStr">
        <is>
          <t>declared</t>
        </is>
      </c>
      <c r="AA554" s="19">
        <f>IF(ISBLANK(Welcome!D580),"",Welcome!D580)</f>
        <v/>
      </c>
      <c r="AB554" s="29">
        <f>IF(ISBLANK(Welcome!E580),"",Welcome!E580)</f>
        <v/>
      </c>
      <c r="AC554" s="29">
        <f>IF(N(AB554)&gt;0,N(AB554),N(AA554)*Y554)</f>
        <v/>
      </c>
      <c r="AD554" s="29">
        <f>IF(H554="yes",AC554,0)</f>
        <v/>
      </c>
      <c r="AE554" s="29">
        <f>AD554*N(M554)/100</f>
        <v/>
      </c>
      <c r="AF554" s="29">
        <f>AD554*N(O554)/100</f>
        <v/>
      </c>
      <c r="AG554" s="29">
        <f>AD554*N(P554)/100</f>
        <v/>
      </c>
      <c r="AH554" s="50">
        <f>IF(Q554="yes",AD554/1000,0)</f>
        <v/>
      </c>
      <c r="AI554" s="50">
        <f>IF(S554="FG2",AH554*X554,AH554)</f>
        <v/>
      </c>
    </row>
    <row r="555">
      <c r="A555" s="7" t="inlineStr">
        <is>
          <t>HM00636</t>
        </is>
      </c>
      <c r="B555" s="16" t="inlineStr">
        <is>
          <t>8712345324230</t>
        </is>
      </c>
      <c r="C555" s="7" t="inlineStr">
        <is>
          <t>PROTEIN SHAKE CHOC 330ML FJELDA</t>
        </is>
      </c>
      <c r="D555" s="7" t="inlineStr">
        <is>
          <t>Chocolate protein shake, 330ml</t>
        </is>
      </c>
      <c r="E555" s="7" t="inlineStr">
        <is>
          <t>Fjelda</t>
        </is>
      </c>
      <c r="F555" s="7" t="inlineStr">
        <is>
          <t>Soft Drinks &amp; Water</t>
        </is>
      </c>
      <c r="G555" s="7" t="inlineStr">
        <is>
          <t>Sports Nutrition</t>
        </is>
      </c>
      <c r="H555" s="7" t="inlineStr">
        <is>
          <t>yes</t>
        </is>
      </c>
      <c r="I555" s="7" t="inlineStr">
        <is>
          <t>Animal core</t>
        </is>
      </c>
      <c r="J555" s="7" t="inlineStr">
        <is>
          <t>Other</t>
        </is>
      </c>
      <c r="K555" s="7" t="inlineStr">
        <is>
          <t>B</t>
        </is>
      </c>
      <c r="L555" s="7" t="inlineStr">
        <is>
          <t>First ingredient</t>
        </is>
      </c>
      <c r="M555" s="51" t="n">
        <v>7.1</v>
      </c>
      <c r="N555" s="7" t="inlineStr">
        <is>
          <t>Declared by the retailer</t>
        </is>
      </c>
      <c r="O555" s="54" t="n">
        <v>0</v>
      </c>
      <c r="P555" s="54" t="n">
        <v>7.1</v>
      </c>
      <c r="Q555" s="7" t="inlineStr">
        <is>
          <t>yes</t>
        </is>
      </c>
      <c r="R555" s="7" t="inlineStr">
        <is>
          <t>whole</t>
        </is>
      </c>
      <c r="S555" s="7" t="inlineStr">
        <is>
          <t>FG2</t>
        </is>
      </c>
      <c r="T555" s="7" t="inlineStr">
        <is>
          <t>Dairy</t>
        </is>
      </c>
      <c r="U555" s="7" t="inlineStr">
        <is>
          <t>animal</t>
        </is>
      </c>
      <c r="V555" s="7" t="n"/>
      <c r="W555" s="7" t="n"/>
      <c r="X555" s="55" t="n">
        <v>1</v>
      </c>
      <c r="Y555" s="50" t="n">
        <v>0.34</v>
      </c>
      <c r="Z555" s="7" t="inlineStr">
        <is>
          <t>declared</t>
        </is>
      </c>
      <c r="AA555" s="19">
        <f>IF(ISBLANK(Welcome!D581),"",Welcome!D581)</f>
        <v/>
      </c>
      <c r="AB555" s="29">
        <f>IF(ISBLANK(Welcome!E581),"",Welcome!E581)</f>
        <v/>
      </c>
      <c r="AC555" s="29">
        <f>IF(N(AB555)&gt;0,N(AB555),N(AA555)*Y555)</f>
        <v/>
      </c>
      <c r="AD555" s="29">
        <f>IF(H555="yes",AC555,0)</f>
        <v/>
      </c>
      <c r="AE555" s="29">
        <f>AD555*N(M555)/100</f>
        <v/>
      </c>
      <c r="AF555" s="29">
        <f>AD555*N(O555)/100</f>
        <v/>
      </c>
      <c r="AG555" s="29">
        <f>AD555*N(P555)/100</f>
        <v/>
      </c>
      <c r="AH555" s="50">
        <f>IF(Q555="yes",AD555/1000,0)</f>
        <v/>
      </c>
      <c r="AI555" s="50">
        <f>IF(S555="FG2",AH555*X555,AH555)</f>
        <v/>
      </c>
    </row>
    <row r="556">
      <c r="A556" s="7" t="inlineStr">
        <is>
          <t>HM00624</t>
        </is>
      </c>
      <c r="B556" s="16" t="inlineStr">
        <is>
          <t>5012345531564</t>
        </is>
      </c>
      <c r="C556" s="7" t="inlineStr">
        <is>
          <t>TORTILLA CHIPS 6PK 150G PENROCK</t>
        </is>
      </c>
      <c r="D556" s="7" t="inlineStr">
        <is>
          <t>Tortilla chips, 6pk 150g</t>
        </is>
      </c>
      <c r="E556" s="7" t="inlineStr">
        <is>
          <t>Penrock</t>
        </is>
      </c>
      <c r="F556" s="7" t="inlineStr">
        <is>
          <t>Breakfast &amp; Snacks</t>
        </is>
      </c>
      <c r="G556" s="7" t="inlineStr">
        <is>
          <t>Crisps</t>
        </is>
      </c>
      <c r="H556" s="7" t="inlineStr">
        <is>
          <t>yes</t>
        </is>
      </c>
      <c r="I556" s="7" t="inlineStr">
        <is>
          <t>Plant-based non-core</t>
        </is>
      </c>
      <c r="J556" s="7" t="inlineStr">
        <is>
          <t>Discretionary products</t>
        </is>
      </c>
      <c r="K556" s="7" t="inlineStr">
        <is>
          <t>A</t>
        </is>
      </c>
      <c r="L556" s="7" t="inlineStr">
        <is>
          <t>All ingredients on one side</t>
        </is>
      </c>
      <c r="M556" s="51" t="n">
        <v>6.7</v>
      </c>
      <c r="N556" s="7" t="inlineStr">
        <is>
          <t>Declared by the retailer</t>
        </is>
      </c>
      <c r="O556" s="54" t="n">
        <v>6.7</v>
      </c>
      <c r="P556" s="54" t="n">
        <v>0</v>
      </c>
      <c r="Q556" s="7" t="inlineStr">
        <is>
          <t>yes</t>
        </is>
      </c>
      <c r="R556" s="7" t="inlineStr">
        <is>
          <t>whole</t>
        </is>
      </c>
      <c r="S556" s="7" t="inlineStr">
        <is>
          <t>FG7</t>
        </is>
      </c>
      <c r="T556" s="7" t="n"/>
      <c r="U556" s="7" t="inlineStr">
        <is>
          <t>plant</t>
        </is>
      </c>
      <c r="V556" s="7" t="n"/>
      <c r="W556" s="7" t="n"/>
      <c r="X556" s="55" t="n">
        <v>1</v>
      </c>
      <c r="Y556" s="50" t="n">
        <v>0.15</v>
      </c>
      <c r="Z556" s="7" t="inlineStr">
        <is>
          <t>declared</t>
        </is>
      </c>
      <c r="AA556" s="19">
        <f>IF(ISBLANK(Welcome!D582),"",Welcome!D582)</f>
        <v/>
      </c>
      <c r="AB556" s="29">
        <f>IF(ISBLANK(Welcome!E582),"",Welcome!E582)</f>
        <v/>
      </c>
      <c r="AC556" s="29">
        <f>IF(N(AB556)&gt;0,N(AB556),N(AA556)*Y556)</f>
        <v/>
      </c>
      <c r="AD556" s="29">
        <f>IF(H556="yes",AC556,0)</f>
        <v/>
      </c>
      <c r="AE556" s="29">
        <f>AD556*N(M556)/100</f>
        <v/>
      </c>
      <c r="AF556" s="29">
        <f>AD556*N(O556)/100</f>
        <v/>
      </c>
      <c r="AG556" s="29">
        <f>AD556*N(P556)/100</f>
        <v/>
      </c>
      <c r="AH556" s="50">
        <f>IF(Q556="yes",AD556/1000,0)</f>
        <v/>
      </c>
      <c r="AI556" s="50">
        <f>IF(S556="FG2",AH556*X556,AH556)</f>
        <v/>
      </c>
    </row>
    <row r="557">
      <c r="A557" s="7" t="inlineStr">
        <is>
          <t>HM00794</t>
        </is>
      </c>
      <c r="B557" s="16" t="inlineStr">
        <is>
          <t>8712345520793</t>
        </is>
      </c>
      <c r="C557" s="7" t="inlineStr">
        <is>
          <t>HM EGG CRESS SANDWICH 170G</t>
        </is>
      </c>
      <c r="D557" s="7" t="inlineStr">
        <is>
          <t>Egg &amp; cress sandwich, 170g</t>
        </is>
      </c>
      <c r="E557" s="7" t="inlineStr">
        <is>
          <t>Harbour Market</t>
        </is>
      </c>
      <c r="F557" s="7" t="inlineStr">
        <is>
          <t>Ready Meals</t>
        </is>
      </c>
      <c r="G557" s="7" t="inlineStr">
        <is>
          <t>Sandwiches</t>
        </is>
      </c>
      <c r="H557" s="7" t="inlineStr">
        <is>
          <t>yes</t>
        </is>
      </c>
      <c r="I557" s="7" t="inlineStr">
        <is>
          <t>Animal &amp; plant composite</t>
        </is>
      </c>
      <c r="J557" s="7" t="inlineStr">
        <is>
          <t>Vegetarian dishes</t>
        </is>
      </c>
      <c r="K557" s="7" t="inlineStr">
        <is>
          <t>B</t>
        </is>
      </c>
      <c r="L557" s="7" t="inlineStr">
        <is>
          <t>50/50 convention</t>
        </is>
      </c>
      <c r="M557" s="51" t="n">
        <v>10.6</v>
      </c>
      <c r="N557" s="7" t="inlineStr">
        <is>
          <t>Declared by the retailer</t>
        </is>
      </c>
      <c r="O557" s="54" t="n">
        <v>5.3</v>
      </c>
      <c r="P557" s="54" t="n">
        <v>5.3</v>
      </c>
      <c r="Q557" s="7" t="inlineStr">
        <is>
          <t>yes</t>
        </is>
      </c>
      <c r="R557" s="7" t="inlineStr">
        <is>
          <t>composite</t>
        </is>
      </c>
      <c r="S557" s="7" t="n"/>
      <c r="T557" s="7" t="n"/>
      <c r="U557" s="7" t="n"/>
      <c r="V557" s="7" t="inlineStr">
        <is>
          <t>vegetarian</t>
        </is>
      </c>
      <c r="W557" s="7" t="n"/>
      <c r="X557" s="55" t="n">
        <v>1</v>
      </c>
      <c r="Y557" s="50" t="n">
        <v>0.17</v>
      </c>
      <c r="Z557" s="7" t="inlineStr">
        <is>
          <t>declared</t>
        </is>
      </c>
      <c r="AA557" s="19">
        <f>IF(ISBLANK(Welcome!D583),"",Welcome!D583)</f>
        <v/>
      </c>
      <c r="AB557" s="29">
        <f>IF(ISBLANK(Welcome!E583),"",Welcome!E583)</f>
        <v/>
      </c>
      <c r="AC557" s="29">
        <f>IF(N(AB557)&gt;0,N(AB557),N(AA557)*Y557)</f>
        <v/>
      </c>
      <c r="AD557" s="29">
        <f>IF(H557="yes",AC557,0)</f>
        <v/>
      </c>
      <c r="AE557" s="29">
        <f>AD557*N(M557)/100</f>
        <v/>
      </c>
      <c r="AF557" s="29">
        <f>AD557*N(O557)/100</f>
        <v/>
      </c>
      <c r="AG557" s="29">
        <f>AD557*N(P557)/100</f>
        <v/>
      </c>
      <c r="AH557" s="50">
        <f>IF(Q557="yes",AD557/1000,0)</f>
        <v/>
      </c>
      <c r="AI557" s="50">
        <f>IF(S557="FG2",AH557*X557,AH557)</f>
        <v/>
      </c>
    </row>
    <row r="558">
      <c r="A558" s="7" t="inlineStr">
        <is>
          <t>HM00033</t>
        </is>
      </c>
      <c r="B558" s="16" t="inlineStr">
        <is>
          <t>3012345311700</t>
        </is>
      </c>
      <c r="C558" s="7" t="inlineStr">
        <is>
          <t>WHOLE ALMONDS 500G PENROCK</t>
        </is>
      </c>
      <c r="D558" s="7" t="inlineStr">
        <is>
          <t>Whole almonds, 500g</t>
        </is>
      </c>
      <c r="E558" s="7" t="inlineStr">
        <is>
          <t>Penrock</t>
        </is>
      </c>
      <c r="F558" s="7" t="inlineStr">
        <is>
          <t>Grocery</t>
        </is>
      </c>
      <c r="G558" s="7" t="inlineStr">
        <is>
          <t>Nuts &amp; Seeds</t>
        </is>
      </c>
      <c r="H558" s="7" t="inlineStr">
        <is>
          <t>yes</t>
        </is>
      </c>
      <c r="I558" s="7" t="inlineStr">
        <is>
          <t>Plant-based core</t>
        </is>
      </c>
      <c r="J558" s="7" t="inlineStr">
        <is>
          <t>Nuts</t>
        </is>
      </c>
      <c r="K558" s="7" t="inlineStr">
        <is>
          <t>A</t>
        </is>
      </c>
      <c r="L558" s="7" t="inlineStr">
        <is>
          <t>All ingredients on one side</t>
        </is>
      </c>
      <c r="M558" s="51" t="n">
        <v>19.9</v>
      </c>
      <c r="N558" s="7" t="inlineStr">
        <is>
          <t>Declared by the retailer</t>
        </is>
      </c>
      <c r="O558" s="54" t="n">
        <v>19.9</v>
      </c>
      <c r="P558" s="54" t="n">
        <v>0</v>
      </c>
      <c r="Q558" s="7" t="inlineStr">
        <is>
          <t>yes</t>
        </is>
      </c>
      <c r="R558" s="7" t="inlineStr">
        <is>
          <t>whole</t>
        </is>
      </c>
      <c r="S558" s="7" t="inlineStr">
        <is>
          <t>FG1</t>
        </is>
      </c>
      <c r="T558" s="7" t="inlineStr">
        <is>
          <t>Nuts</t>
        </is>
      </c>
      <c r="U558" s="7" t="inlineStr">
        <is>
          <t>plant</t>
        </is>
      </c>
      <c r="V558" s="7" t="n"/>
      <c r="W558" s="7" t="n"/>
      <c r="X558" s="55" t="n">
        <v>1</v>
      </c>
      <c r="Y558" s="50" t="n">
        <v>0.5</v>
      </c>
      <c r="Z558" s="7" t="inlineStr">
        <is>
          <t>declared</t>
        </is>
      </c>
      <c r="AA558" s="19">
        <f>IF(ISBLANK(Welcome!D584),"",Welcome!D584)</f>
        <v/>
      </c>
      <c r="AB558" s="29">
        <f>IF(ISBLANK(Welcome!E584),"",Welcome!E584)</f>
        <v/>
      </c>
      <c r="AC558" s="29">
        <f>IF(N(AB558)&gt;0,N(AB558),N(AA558)*Y558)</f>
        <v/>
      </c>
      <c r="AD558" s="29">
        <f>IF(H558="yes",AC558,0)</f>
        <v/>
      </c>
      <c r="AE558" s="29">
        <f>AD558*N(M558)/100</f>
        <v/>
      </c>
      <c r="AF558" s="29">
        <f>AD558*N(O558)/100</f>
        <v/>
      </c>
      <c r="AG558" s="29">
        <f>AD558*N(P558)/100</f>
        <v/>
      </c>
      <c r="AH558" s="50">
        <f>IF(Q558="yes",AD558/1000,0)</f>
        <v/>
      </c>
      <c r="AI558" s="50">
        <f>IF(S558="FG2",AH558*X558,AH558)</f>
        <v/>
      </c>
    </row>
    <row r="559">
      <c r="A559" s="7" t="inlineStr">
        <is>
          <t>HM00081</t>
        </is>
      </c>
      <c r="B559" s="16" t="inlineStr">
        <is>
          <t>4012345601268</t>
        </is>
      </c>
      <c r="C559" s="7" t="inlineStr">
        <is>
          <t>HM BF SIRLOIN STK 250G</t>
        </is>
      </c>
      <c r="D559" s="7" t="inlineStr">
        <is>
          <t>Beef sirloin steak, 250g</t>
        </is>
      </c>
      <c r="E559" s="7" t="inlineStr">
        <is>
          <t>Harbour Market</t>
        </is>
      </c>
      <c r="F559" s="7" t="inlineStr">
        <is>
          <t>Fresh Meat &amp; Poultry</t>
        </is>
      </c>
      <c r="G559" s="7" t="inlineStr">
        <is>
          <t>Beef</t>
        </is>
      </c>
      <c r="H559" s="7" t="inlineStr">
        <is>
          <t>yes</t>
        </is>
      </c>
      <c r="I559" s="7" t="inlineStr">
        <is>
          <t>Animal core</t>
        </is>
      </c>
      <c r="J559" s="7" t="inlineStr">
        <is>
          <t>Red meat</t>
        </is>
      </c>
      <c r="K559" s="7" t="inlineStr">
        <is>
          <t>B</t>
        </is>
      </c>
      <c r="L559" s="7" t="inlineStr">
        <is>
          <t>Follows the class</t>
        </is>
      </c>
      <c r="M559" s="51" t="n">
        <v>21.1</v>
      </c>
      <c r="N559" s="7" t="inlineStr">
        <is>
          <t>Declared by the retailer</t>
        </is>
      </c>
      <c r="O559" s="54" t="n">
        <v>0</v>
      </c>
      <c r="P559" s="54" t="n">
        <v>21.1</v>
      </c>
      <c r="Q559" s="7" t="inlineStr">
        <is>
          <t>yes</t>
        </is>
      </c>
      <c r="R559" s="7" t="inlineStr">
        <is>
          <t>whole</t>
        </is>
      </c>
      <c r="S559" s="7" t="inlineStr">
        <is>
          <t>FG1</t>
        </is>
      </c>
      <c r="T559" s="7" t="inlineStr">
        <is>
          <t>Red meat</t>
        </is>
      </c>
      <c r="U559" s="7" t="inlineStr">
        <is>
          <t>animal</t>
        </is>
      </c>
      <c r="V559" s="7" t="n"/>
      <c r="W559" s="7" t="n"/>
      <c r="X559" s="55" t="n">
        <v>1</v>
      </c>
      <c r="Y559" s="50" t="n">
        <v>0.25</v>
      </c>
      <c r="Z559" s="7" t="inlineStr">
        <is>
          <t>declared</t>
        </is>
      </c>
      <c r="AA559" s="19">
        <f>IF(ISBLANK(Welcome!D585),"",Welcome!D585)</f>
        <v/>
      </c>
      <c r="AB559" s="29">
        <f>IF(ISBLANK(Welcome!E585),"",Welcome!E585)</f>
        <v/>
      </c>
      <c r="AC559" s="29">
        <f>IF(N(AB559)&gt;0,N(AB559),N(AA559)*Y559)</f>
        <v/>
      </c>
      <c r="AD559" s="29">
        <f>IF(H559="yes",AC559,0)</f>
        <v/>
      </c>
      <c r="AE559" s="29">
        <f>AD559*N(M559)/100</f>
        <v/>
      </c>
      <c r="AF559" s="29">
        <f>AD559*N(O559)/100</f>
        <v/>
      </c>
      <c r="AG559" s="29">
        <f>AD559*N(P559)/100</f>
        <v/>
      </c>
      <c r="AH559" s="50">
        <f>IF(Q559="yes",AD559/1000,0)</f>
        <v/>
      </c>
      <c r="AI559" s="50">
        <f>IF(S559="FG2",AH559*X559,AH559)</f>
        <v/>
      </c>
    </row>
    <row r="560">
      <c r="A560" s="7" t="inlineStr">
        <is>
          <t>HM00570</t>
        </is>
      </c>
      <c r="B560" s="16" t="inlineStr">
        <is>
          <t>5012345710051</t>
        </is>
      </c>
      <c r="C560" s="7" t="inlineStr">
        <is>
          <t>HM TOMATO KETCHUP 910G</t>
        </is>
      </c>
      <c r="D560" s="7" t="inlineStr">
        <is>
          <t>Tomato ketchup, 910g</t>
        </is>
      </c>
      <c r="E560" s="7" t="inlineStr">
        <is>
          <t>Harbour Market</t>
        </is>
      </c>
      <c r="F560" s="7" t="inlineStr">
        <is>
          <t>Grocery</t>
        </is>
      </c>
      <c r="G560" s="7" t="inlineStr">
        <is>
          <t>Condiments</t>
        </is>
      </c>
      <c r="H560" s="7" t="inlineStr">
        <is>
          <t>yes</t>
        </is>
      </c>
      <c r="I560" s="7" t="inlineStr">
        <is>
          <t>Plant-based non-core</t>
        </is>
      </c>
      <c r="J560" s="7" t="inlineStr">
        <is>
          <t>Outside the WWF scope</t>
        </is>
      </c>
      <c r="K560" s="7" t="inlineStr">
        <is>
          <t>B</t>
        </is>
      </c>
      <c r="L560" s="7" t="inlineStr">
        <is>
          <t>Follows the class</t>
        </is>
      </c>
      <c r="M560" s="51" t="n">
        <v>1.2</v>
      </c>
      <c r="N560" s="7" t="inlineStr">
        <is>
          <t>Median of the family</t>
        </is>
      </c>
      <c r="O560" s="54" t="n">
        <v>1.2</v>
      </c>
      <c r="P560" s="54" t="n">
        <v>0</v>
      </c>
      <c r="Q560" s="7" t="inlineStr">
        <is>
          <t>no</t>
        </is>
      </c>
      <c r="R560" s="7" t="n"/>
      <c r="S560" s="7" t="n"/>
      <c r="T560" s="7" t="n"/>
      <c r="U560" s="7" t="n"/>
      <c r="V560" s="7" t="n"/>
      <c r="W560" s="7" t="inlineStr">
        <is>
          <t>condiment</t>
        </is>
      </c>
      <c r="X560" s="55" t="n">
        <v>1</v>
      </c>
      <c r="Y560" s="50" t="n">
        <v>0.91</v>
      </c>
      <c r="Z560" s="7" t="inlineStr">
        <is>
          <t>declared</t>
        </is>
      </c>
      <c r="AA560" s="19">
        <f>IF(ISBLANK(Welcome!D586),"",Welcome!D586)</f>
        <v/>
      </c>
      <c r="AB560" s="29">
        <f>IF(ISBLANK(Welcome!E586),"",Welcome!E586)</f>
        <v/>
      </c>
      <c r="AC560" s="29">
        <f>IF(N(AB560)&gt;0,N(AB560),N(AA560)*Y560)</f>
        <v/>
      </c>
      <c r="AD560" s="29">
        <f>IF(H560="yes",AC560,0)</f>
        <v/>
      </c>
      <c r="AE560" s="29">
        <f>AD560*N(M560)/100</f>
        <v/>
      </c>
      <c r="AF560" s="29">
        <f>AD560*N(O560)/100</f>
        <v/>
      </c>
      <c r="AG560" s="29">
        <f>AD560*N(P560)/100</f>
        <v/>
      </c>
      <c r="AH560" s="50">
        <f>IF(Q560="yes",AD560/1000,0)</f>
        <v/>
      </c>
      <c r="AI560" s="50">
        <f>IF(S560="FG2",AH560*X560,AH560)</f>
        <v/>
      </c>
    </row>
    <row r="561">
      <c r="A561" s="7" t="inlineStr">
        <is>
          <t>HM00113</t>
        </is>
      </c>
      <c r="B561" s="16" t="inlineStr">
        <is>
          <t>5012345635484</t>
        </is>
      </c>
      <c r="C561" s="7" t="inlineStr">
        <is>
          <t>QUILLAN BF LASAGNE 450G</t>
        </is>
      </c>
      <c r="D561" s="7" t="inlineStr">
        <is>
          <t>Beef lasagne, 450g</t>
        </is>
      </c>
      <c r="E561" s="7" t="inlineStr">
        <is>
          <t>Quillan</t>
        </is>
      </c>
      <c r="F561" s="7" t="inlineStr">
        <is>
          <t>Ready Meals</t>
        </is>
      </c>
      <c r="G561" s="7" t="inlineStr">
        <is>
          <t>Ready Meals</t>
        </is>
      </c>
      <c r="H561" s="7" t="inlineStr">
        <is>
          <t>yes</t>
        </is>
      </c>
      <c r="I561" s="7" t="inlineStr">
        <is>
          <t>Animal &amp; plant composite</t>
        </is>
      </c>
      <c r="J561" s="7" t="inlineStr">
        <is>
          <t>Meat-based dishes</t>
        </is>
      </c>
      <c r="K561" s="7" t="inlineStr">
        <is>
          <t>B</t>
        </is>
      </c>
      <c r="L561" s="7" t="inlineStr">
        <is>
          <t>50/50 convention</t>
        </is>
      </c>
      <c r="M561" s="51" t="n">
        <v>6.9</v>
      </c>
      <c r="N561" s="7" t="inlineStr">
        <is>
          <t>Declared by the retailer</t>
        </is>
      </c>
      <c r="O561" s="54" t="n">
        <v>3.45</v>
      </c>
      <c r="P561" s="54" t="n">
        <v>3.45</v>
      </c>
      <c r="Q561" s="7" t="inlineStr">
        <is>
          <t>yes</t>
        </is>
      </c>
      <c r="R561" s="7" t="inlineStr">
        <is>
          <t>composite</t>
        </is>
      </c>
      <c r="S561" s="7" t="n"/>
      <c r="T561" s="7" t="n"/>
      <c r="U561" s="7" t="n"/>
      <c r="V561" s="7" t="inlineStr">
        <is>
          <t>meat-based</t>
        </is>
      </c>
      <c r="W561" s="7" t="n"/>
      <c r="X561" s="55" t="n">
        <v>1</v>
      </c>
      <c r="Y561" s="50" t="n">
        <v>0.45</v>
      </c>
      <c r="Z561" s="7" t="inlineStr">
        <is>
          <t>declared</t>
        </is>
      </c>
      <c r="AA561" s="19">
        <f>IF(ISBLANK(Welcome!D587),"",Welcome!D587)</f>
        <v/>
      </c>
      <c r="AB561" s="29">
        <f>IF(ISBLANK(Welcome!E587),"",Welcome!E587)</f>
        <v/>
      </c>
      <c r="AC561" s="29">
        <f>IF(N(AB561)&gt;0,N(AB561),N(AA561)*Y561)</f>
        <v/>
      </c>
      <c r="AD561" s="29">
        <f>IF(H561="yes",AC561,0)</f>
        <v/>
      </c>
      <c r="AE561" s="29">
        <f>AD561*N(M561)/100</f>
        <v/>
      </c>
      <c r="AF561" s="29">
        <f>AD561*N(O561)/100</f>
        <v/>
      </c>
      <c r="AG561" s="29">
        <f>AD561*N(P561)/100</f>
        <v/>
      </c>
      <c r="AH561" s="50">
        <f>IF(Q561="yes",AD561/1000,0)</f>
        <v/>
      </c>
      <c r="AI561" s="50">
        <f>IF(S561="FG2",AH561*X561,AH561)</f>
        <v/>
      </c>
    </row>
    <row r="562">
      <c r="A562" s="7" t="inlineStr">
        <is>
          <t>HM00077</t>
        </is>
      </c>
      <c r="B562" s="16" t="inlineStr">
        <is>
          <t>0012345066061</t>
        </is>
      </c>
      <c r="C562" s="7" t="inlineStr">
        <is>
          <t>EGG TAGLIATELLE 250G ORVALIS</t>
        </is>
      </c>
      <c r="D562" s="7" t="inlineStr">
        <is>
          <t>Egg tagliatelle, 250g</t>
        </is>
      </c>
      <c r="E562" s="7" t="inlineStr">
        <is>
          <t>Orvalis</t>
        </is>
      </c>
      <c r="F562" s="7" t="inlineStr">
        <is>
          <t>Grocery</t>
        </is>
      </c>
      <c r="G562" s="7" t="inlineStr">
        <is>
          <t>Fresh Pasta</t>
        </is>
      </c>
      <c r="H562" s="7" t="inlineStr">
        <is>
          <t>yes</t>
        </is>
      </c>
      <c r="I562" s="7" t="inlineStr">
        <is>
          <t>Animal &amp; plant composite</t>
        </is>
      </c>
      <c r="J562" s="7" t="inlineStr">
        <is>
          <t>Vegetarian dishes</t>
        </is>
      </c>
      <c r="K562" s="7" t="inlineStr">
        <is>
          <t>A</t>
        </is>
      </c>
      <c r="L562" s="7" t="inlineStr">
        <is>
          <t>Ingredient list</t>
        </is>
      </c>
      <c r="M562" s="51" t="n">
        <v>13.2</v>
      </c>
      <c r="N562" s="7" t="inlineStr">
        <is>
          <t>Declared by the retailer</t>
        </is>
      </c>
      <c r="O562" s="54" t="n">
        <v>10.3</v>
      </c>
      <c r="P562" s="54" t="n">
        <v>2.9</v>
      </c>
      <c r="Q562" s="7" t="inlineStr">
        <is>
          <t>yes</t>
        </is>
      </c>
      <c r="R562" s="7" t="inlineStr">
        <is>
          <t>composite</t>
        </is>
      </c>
      <c r="S562" s="7" t="n"/>
      <c r="T562" s="7" t="n"/>
      <c r="U562" s="7" t="n"/>
      <c r="V562" s="7" t="inlineStr">
        <is>
          <t>vegetarian</t>
        </is>
      </c>
      <c r="W562" s="7" t="n"/>
      <c r="X562" s="55" t="n">
        <v>1</v>
      </c>
      <c r="Y562" s="50" t="n">
        <v>0.25</v>
      </c>
      <c r="Z562" s="7" t="inlineStr">
        <is>
          <t>declared</t>
        </is>
      </c>
      <c r="AA562" s="19">
        <f>IF(ISBLANK(Welcome!D588),"",Welcome!D588)</f>
        <v/>
      </c>
      <c r="AB562" s="29">
        <f>IF(ISBLANK(Welcome!E588),"",Welcome!E588)</f>
        <v/>
      </c>
      <c r="AC562" s="29">
        <f>IF(N(AB562)&gt;0,N(AB562),N(AA562)*Y562)</f>
        <v/>
      </c>
      <c r="AD562" s="29">
        <f>IF(H562="yes",AC562,0)</f>
        <v/>
      </c>
      <c r="AE562" s="29">
        <f>AD562*N(M562)/100</f>
        <v/>
      </c>
      <c r="AF562" s="29">
        <f>AD562*N(O562)/100</f>
        <v/>
      </c>
      <c r="AG562" s="29">
        <f>AD562*N(P562)/100</f>
        <v/>
      </c>
      <c r="AH562" s="50">
        <f>IF(Q562="yes",AD562/1000,0)</f>
        <v/>
      </c>
      <c r="AI562" s="50">
        <f>IF(S562="FG2",AH562*X562,AH562)</f>
        <v/>
      </c>
    </row>
    <row r="563">
      <c r="A563" s="7" t="inlineStr">
        <is>
          <t>HM00392</t>
        </is>
      </c>
      <c r="B563" s="16" t="inlineStr">
        <is>
          <t>4012345310269</t>
        </is>
      </c>
      <c r="C563" s="7" t="inlineStr">
        <is>
          <t>HM INSTANT COFFEE 200G</t>
        </is>
      </c>
      <c r="D563" s="7" t="inlineStr">
        <is>
          <t>Instant coffee, 200g</t>
        </is>
      </c>
      <c r="E563" s="7" t="inlineStr">
        <is>
          <t>Harbour Market</t>
        </is>
      </c>
      <c r="F563" s="7" t="inlineStr">
        <is>
          <t>Grocery</t>
        </is>
      </c>
      <c r="G563" s="7" t="inlineStr">
        <is>
          <t>Tea &amp; Coffee</t>
        </is>
      </c>
      <c r="H563" s="7" t="inlineStr">
        <is>
          <t>yes</t>
        </is>
      </c>
      <c r="I563" s="7" t="inlineStr">
        <is>
          <t>Plant-based non-core</t>
        </is>
      </c>
      <c r="J563" s="7" t="inlineStr">
        <is>
          <t>Outside the WWF scope</t>
        </is>
      </c>
      <c r="K563" s="7" t="inlineStr">
        <is>
          <t>A</t>
        </is>
      </c>
      <c r="L563" s="7" t="inlineStr">
        <is>
          <t>All ingredients on one side</t>
        </is>
      </c>
      <c r="M563" s="51" t="n">
        <v>7.5</v>
      </c>
      <c r="N563" s="7" t="inlineStr">
        <is>
          <t>Declared by the retailer</t>
        </is>
      </c>
      <c r="O563" s="54" t="n">
        <v>7.5</v>
      </c>
      <c r="P563" s="54" t="n">
        <v>0</v>
      </c>
      <c r="Q563" s="7" t="inlineStr">
        <is>
          <t>no</t>
        </is>
      </c>
      <c r="R563" s="7" t="n"/>
      <c r="S563" s="7" t="n"/>
      <c r="T563" s="7" t="n"/>
      <c r="U563" s="7" t="n"/>
      <c r="V563" s="7" t="n"/>
      <c r="W563" s="7" t="inlineStr">
        <is>
          <t>coffee tea</t>
        </is>
      </c>
      <c r="X563" s="55" t="n">
        <v>1</v>
      </c>
      <c r="Y563" s="50" t="n">
        <v>0.2</v>
      </c>
      <c r="Z563" s="7" t="inlineStr">
        <is>
          <t>declared</t>
        </is>
      </c>
      <c r="AA563" s="19">
        <f>IF(ISBLANK(Welcome!D589),"",Welcome!D589)</f>
        <v/>
      </c>
      <c r="AB563" s="29">
        <f>IF(ISBLANK(Welcome!E589),"",Welcome!E589)</f>
        <v/>
      </c>
      <c r="AC563" s="29">
        <f>IF(N(AB563)&gt;0,N(AB563),N(AA563)*Y563)</f>
        <v/>
      </c>
      <c r="AD563" s="29">
        <f>IF(H563="yes",AC563,0)</f>
        <v/>
      </c>
      <c r="AE563" s="29">
        <f>AD563*N(M563)/100</f>
        <v/>
      </c>
      <c r="AF563" s="29">
        <f>AD563*N(O563)/100</f>
        <v/>
      </c>
      <c r="AG563" s="29">
        <f>AD563*N(P563)/100</f>
        <v/>
      </c>
      <c r="AH563" s="50">
        <f>IF(Q563="yes",AD563/1000,0)</f>
        <v/>
      </c>
      <c r="AI563" s="50">
        <f>IF(S563="FG2",AH563*X563,AH563)</f>
        <v/>
      </c>
    </row>
    <row r="564">
      <c r="A564" s="7" t="inlineStr">
        <is>
          <t>HM00758</t>
        </is>
      </c>
      <c r="B564" s="16" t="inlineStr">
        <is>
          <t>5012345119663</t>
        </is>
      </c>
      <c r="C564" s="7" t="inlineStr">
        <is>
          <t>BOLOGNESE SCE BF 690G QUILLAN</t>
        </is>
      </c>
      <c r="D564" s="7" t="inlineStr">
        <is>
          <t>Beef bolognese sauce, 690g</t>
        </is>
      </c>
      <c r="E564" s="7" t="inlineStr">
        <is>
          <t>Quillan</t>
        </is>
      </c>
      <c r="F564" s="7" t="inlineStr">
        <is>
          <t>Grocery</t>
        </is>
      </c>
      <c r="G564" s="7" t="inlineStr">
        <is>
          <t>Cooking Sauces</t>
        </is>
      </c>
      <c r="H564" s="7" t="inlineStr">
        <is>
          <t>yes</t>
        </is>
      </c>
      <c r="I564" s="7" t="inlineStr">
        <is>
          <t>Animal &amp; plant composite</t>
        </is>
      </c>
      <c r="J564" s="7" t="inlineStr">
        <is>
          <t>Meat-based dishes</t>
        </is>
      </c>
      <c r="K564" s="7" t="inlineStr">
        <is>
          <t>A</t>
        </is>
      </c>
      <c r="L564" s="7" t="inlineStr">
        <is>
          <t>NEVO food table (ratio only)</t>
        </is>
      </c>
      <c r="M564" s="51" t="n">
        <v>5.8</v>
      </c>
      <c r="N564" s="7" t="inlineStr">
        <is>
          <t>Declared by the retailer</t>
        </is>
      </c>
      <c r="O564" s="54" t="n">
        <v>1.04</v>
      </c>
      <c r="P564" s="54" t="n">
        <v>4.76</v>
      </c>
      <c r="Q564" s="7" t="inlineStr">
        <is>
          <t>yes</t>
        </is>
      </c>
      <c r="R564" s="7" t="inlineStr">
        <is>
          <t>composite</t>
        </is>
      </c>
      <c r="S564" s="7" t="n"/>
      <c r="T564" s="7" t="n"/>
      <c r="U564" s="7" t="n"/>
      <c r="V564" s="7" t="inlineStr">
        <is>
          <t>meat-based</t>
        </is>
      </c>
      <c r="W564" s="7" t="n"/>
      <c r="X564" s="55" t="n">
        <v>1</v>
      </c>
      <c r="Y564" s="50" t="n">
        <v>0.6899999999999999</v>
      </c>
      <c r="Z564" s="7" t="inlineStr">
        <is>
          <t>declared</t>
        </is>
      </c>
      <c r="AA564" s="19">
        <f>IF(ISBLANK(Welcome!D590),"",Welcome!D590)</f>
        <v/>
      </c>
      <c r="AB564" s="29">
        <f>IF(ISBLANK(Welcome!E590),"",Welcome!E590)</f>
        <v/>
      </c>
      <c r="AC564" s="29">
        <f>IF(N(AB564)&gt;0,N(AB564),N(AA564)*Y564)</f>
        <v/>
      </c>
      <c r="AD564" s="29">
        <f>IF(H564="yes",AC564,0)</f>
        <v/>
      </c>
      <c r="AE564" s="29">
        <f>AD564*N(M564)/100</f>
        <v/>
      </c>
      <c r="AF564" s="29">
        <f>AD564*N(O564)/100</f>
        <v/>
      </c>
      <c r="AG564" s="29">
        <f>AD564*N(P564)/100</f>
        <v/>
      </c>
      <c r="AH564" s="50">
        <f>IF(Q564="yes",AD564/1000,0)</f>
        <v/>
      </c>
      <c r="AI564" s="50">
        <f>IF(S564="FG2",AH564*X564,AH564)</f>
        <v/>
      </c>
    </row>
    <row r="565">
      <c r="A565" s="7" t="inlineStr">
        <is>
          <t>HM00779</t>
        </is>
      </c>
      <c r="B565" s="16" t="inlineStr">
        <is>
          <t>8712345134792</t>
        </is>
      </c>
      <c r="C565" s="7" t="inlineStr">
        <is>
          <t>HM FRUIT NUT MUESLI 500G</t>
        </is>
      </c>
      <c r="D565" s="7" t="inlineStr">
        <is>
          <t>Fruit &amp; nut muesli, 500g</t>
        </is>
      </c>
      <c r="E565" s="7" t="inlineStr">
        <is>
          <t>Harbour Market</t>
        </is>
      </c>
      <c r="F565" s="7" t="inlineStr">
        <is>
          <t>Breakfast &amp; Snacks</t>
        </is>
      </c>
      <c r="G565" s="7" t="inlineStr">
        <is>
          <t>Cereals</t>
        </is>
      </c>
      <c r="H565" s="7" t="inlineStr">
        <is>
          <t>yes</t>
        </is>
      </c>
      <c r="I565" s="7" t="inlineStr">
        <is>
          <t>Plant-based non-core</t>
        </is>
      </c>
      <c r="J565" s="7" t="inlineStr">
        <is>
          <t>Whole grains</t>
        </is>
      </c>
      <c r="K565" s="7" t="inlineStr">
        <is>
          <t>B</t>
        </is>
      </c>
      <c r="L565" s="7" t="inlineStr">
        <is>
          <t>Follows the class</t>
        </is>
      </c>
      <c r="M565" s="51" t="n">
        <v>8.9</v>
      </c>
      <c r="N565" s="7" t="inlineStr">
        <is>
          <t>Declared by the retailer</t>
        </is>
      </c>
      <c r="O565" s="54" t="n">
        <v>8.9</v>
      </c>
      <c r="P565" s="54" t="n">
        <v>0</v>
      </c>
      <c r="Q565" s="7" t="inlineStr">
        <is>
          <t>yes</t>
        </is>
      </c>
      <c r="R565" s="7" t="inlineStr">
        <is>
          <t>whole</t>
        </is>
      </c>
      <c r="S565" s="7" t="inlineStr">
        <is>
          <t>FG5</t>
        </is>
      </c>
      <c r="T565" s="7" t="inlineStr">
        <is>
          <t>Whole grain</t>
        </is>
      </c>
      <c r="U565" s="7" t="inlineStr">
        <is>
          <t>plant</t>
        </is>
      </c>
      <c r="V565" s="7" t="n"/>
      <c r="W565" s="7" t="n"/>
      <c r="X565" s="55" t="n">
        <v>1</v>
      </c>
      <c r="Y565" s="50" t="n">
        <v>0.5</v>
      </c>
      <c r="Z565" s="7" t="inlineStr">
        <is>
          <t>declared</t>
        </is>
      </c>
      <c r="AA565" s="19">
        <f>IF(ISBLANK(Welcome!D591),"",Welcome!D591)</f>
        <v/>
      </c>
      <c r="AB565" s="29">
        <f>IF(ISBLANK(Welcome!E591),"",Welcome!E591)</f>
        <v/>
      </c>
      <c r="AC565" s="29">
        <f>IF(N(AB565)&gt;0,N(AB565),N(AA565)*Y565)</f>
        <v/>
      </c>
      <c r="AD565" s="29">
        <f>IF(H565="yes",AC565,0)</f>
        <v/>
      </c>
      <c r="AE565" s="29">
        <f>AD565*N(M565)/100</f>
        <v/>
      </c>
      <c r="AF565" s="29">
        <f>AD565*N(O565)/100</f>
        <v/>
      </c>
      <c r="AG565" s="29">
        <f>AD565*N(P565)/100</f>
        <v/>
      </c>
      <c r="AH565" s="50">
        <f>IF(Q565="yes",AD565/1000,0)</f>
        <v/>
      </c>
      <c r="AI565" s="50">
        <f>IF(S565="FG2",AH565*X565,AH565)</f>
        <v/>
      </c>
    </row>
    <row r="566">
      <c r="A566" s="7" t="inlineStr">
        <is>
          <t>HM00619</t>
        </is>
      </c>
      <c r="B566" s="16" t="inlineStr">
        <is>
          <t>8712345429355</t>
        </is>
      </c>
      <c r="C566" s="7" t="inlineStr">
        <is>
          <t>HM SEA BASS FLT 2X125G</t>
        </is>
      </c>
      <c r="D566" s="7" t="inlineStr">
        <is>
          <t>Sea bass fillets, 2x125g</t>
        </is>
      </c>
      <c r="E566" s="7" t="inlineStr">
        <is>
          <t>Harbour Market</t>
        </is>
      </c>
      <c r="F566" s="7" t="inlineStr">
        <is>
          <t>Fish &amp; Seafood</t>
        </is>
      </c>
      <c r="G566" s="7" t="inlineStr">
        <is>
          <t>Fresh Fish</t>
        </is>
      </c>
      <c r="H566" s="7" t="inlineStr">
        <is>
          <t>yes</t>
        </is>
      </c>
      <c r="I566" s="7" t="inlineStr">
        <is>
          <t>Animal core</t>
        </is>
      </c>
      <c r="J566" s="7" t="inlineStr">
        <is>
          <t>Fish and seafood</t>
        </is>
      </c>
      <c r="K566" s="7" t="inlineStr">
        <is>
          <t>A</t>
        </is>
      </c>
      <c r="L566" s="7" t="inlineStr">
        <is>
          <t>All ingredients on one side</t>
        </is>
      </c>
      <c r="M566" s="51" t="n">
        <v>18.8</v>
      </c>
      <c r="N566" s="7" t="inlineStr">
        <is>
          <t>Median of the family</t>
        </is>
      </c>
      <c r="O566" s="54" t="n">
        <v>0</v>
      </c>
      <c r="P566" s="54" t="n">
        <v>18.8</v>
      </c>
      <c r="Q566" s="7" t="inlineStr">
        <is>
          <t>yes</t>
        </is>
      </c>
      <c r="R566" s="7" t="inlineStr">
        <is>
          <t>whole</t>
        </is>
      </c>
      <c r="S566" s="7" t="inlineStr">
        <is>
          <t>FG1</t>
        </is>
      </c>
      <c r="T566" s="7" t="inlineStr">
        <is>
          <t>Fish &amp; shellfish</t>
        </is>
      </c>
      <c r="U566" s="7" t="inlineStr">
        <is>
          <t>animal</t>
        </is>
      </c>
      <c r="V566" s="7" t="n"/>
      <c r="W566" s="7" t="n"/>
      <c r="X566" s="55" t="n">
        <v>1</v>
      </c>
      <c r="Y566" s="50" t="n">
        <v>0.25</v>
      </c>
      <c r="Z566" s="7" t="inlineStr">
        <is>
          <t>declared</t>
        </is>
      </c>
      <c r="AA566" s="19">
        <f>IF(ISBLANK(Welcome!D592),"",Welcome!D592)</f>
        <v/>
      </c>
      <c r="AB566" s="29">
        <f>IF(ISBLANK(Welcome!E592),"",Welcome!E592)</f>
        <v/>
      </c>
      <c r="AC566" s="29">
        <f>IF(N(AB566)&gt;0,N(AB566),N(AA566)*Y566)</f>
        <v/>
      </c>
      <c r="AD566" s="29">
        <f>IF(H566="yes",AC566,0)</f>
        <v/>
      </c>
      <c r="AE566" s="29">
        <f>AD566*N(M566)/100</f>
        <v/>
      </c>
      <c r="AF566" s="29">
        <f>AD566*N(O566)/100</f>
        <v/>
      </c>
      <c r="AG566" s="29">
        <f>AD566*N(P566)/100</f>
        <v/>
      </c>
      <c r="AH566" s="50">
        <f>IF(Q566="yes",AD566/1000,0)</f>
        <v/>
      </c>
      <c r="AI566" s="50">
        <f>IF(S566="FG2",AH566*X566,AH566)</f>
        <v/>
      </c>
    </row>
    <row r="567">
      <c r="A567" s="7" t="inlineStr">
        <is>
          <t>HM00361</t>
        </is>
      </c>
      <c r="B567" s="16" t="inlineStr">
        <is>
          <t>5012345854199</t>
        </is>
      </c>
      <c r="C567" s="7" t="inlineStr">
        <is>
          <t>DIGESTIVE BISCUITS 400G BRAMBLECOTE</t>
        </is>
      </c>
      <c r="D567" s="7" t="inlineStr">
        <is>
          <t>Digestive biscuits, 400g</t>
        </is>
      </c>
      <c r="E567" s="7" t="inlineStr">
        <is>
          <t>Bramblecote</t>
        </is>
      </c>
      <c r="F567" s="7" t="inlineStr">
        <is>
          <t>Breakfast &amp; Snacks</t>
        </is>
      </c>
      <c r="G567" s="7" t="inlineStr">
        <is>
          <t>Biscuits</t>
        </is>
      </c>
      <c r="H567" s="7" t="inlineStr">
        <is>
          <t>yes</t>
        </is>
      </c>
      <c r="I567" s="7" t="inlineStr">
        <is>
          <t>Plant-based non-core</t>
        </is>
      </c>
      <c r="J567" s="7" t="inlineStr">
        <is>
          <t>Discretionary products</t>
        </is>
      </c>
      <c r="K567" s="7" t="inlineStr">
        <is>
          <t>B</t>
        </is>
      </c>
      <c r="L567" s="7" t="inlineStr">
        <is>
          <t>Follows the class</t>
        </is>
      </c>
      <c r="M567" s="51" t="n">
        <v>6.6</v>
      </c>
      <c r="N567" s="7" t="inlineStr">
        <is>
          <t>Declared by the retailer</t>
        </is>
      </c>
      <c r="O567" s="54" t="n">
        <v>6.6</v>
      </c>
      <c r="P567" s="54" t="n">
        <v>0</v>
      </c>
      <c r="Q567" s="7" t="inlineStr">
        <is>
          <t>yes</t>
        </is>
      </c>
      <c r="R567" s="7" t="inlineStr">
        <is>
          <t>whole</t>
        </is>
      </c>
      <c r="S567" s="7" t="inlineStr">
        <is>
          <t>FG7</t>
        </is>
      </c>
      <c r="T567" s="7" t="n"/>
      <c r="U567" s="7" t="inlineStr">
        <is>
          <t>plant</t>
        </is>
      </c>
      <c r="V567" s="7" t="n"/>
      <c r="W567" s="7" t="n"/>
      <c r="X567" s="55" t="n">
        <v>1</v>
      </c>
      <c r="Y567" s="50" t="n">
        <v>0.4</v>
      </c>
      <c r="Z567" s="7" t="inlineStr">
        <is>
          <t>declared</t>
        </is>
      </c>
      <c r="AA567" s="19">
        <f>IF(ISBLANK(Welcome!D593),"",Welcome!D593)</f>
        <v/>
      </c>
      <c r="AB567" s="29">
        <f>IF(ISBLANK(Welcome!E593),"",Welcome!E593)</f>
        <v/>
      </c>
      <c r="AC567" s="29">
        <f>IF(N(AB567)&gt;0,N(AB567),N(AA567)*Y567)</f>
        <v/>
      </c>
      <c r="AD567" s="29">
        <f>IF(H567="yes",AC567,0)</f>
        <v/>
      </c>
      <c r="AE567" s="29">
        <f>AD567*N(M567)/100</f>
        <v/>
      </c>
      <c r="AF567" s="29">
        <f>AD567*N(O567)/100</f>
        <v/>
      </c>
      <c r="AG567" s="29">
        <f>AD567*N(P567)/100</f>
        <v/>
      </c>
      <c r="AH567" s="50">
        <f>IF(Q567="yes",AD567/1000,0)</f>
        <v/>
      </c>
      <c r="AI567" s="50">
        <f>IF(S567="FG2",AH567*X567,AH567)</f>
        <v/>
      </c>
    </row>
    <row r="568">
      <c r="A568" s="7" t="inlineStr">
        <is>
          <t>HM00167</t>
        </is>
      </c>
      <c r="B568" s="16" t="inlineStr">
        <is>
          <t>5012345519098</t>
        </is>
      </c>
      <c r="C568" s="7" t="inlineStr">
        <is>
          <t>HM CHERRY YOG 4X125G</t>
        </is>
      </c>
      <c r="D568" s="7" t="inlineStr">
        <is>
          <t>Cherry yoghurt, 4x125g</t>
        </is>
      </c>
      <c r="E568" s="7" t="inlineStr">
        <is>
          <t>Harbour Market</t>
        </is>
      </c>
      <c r="F568" s="7" t="inlineStr">
        <is>
          <t>Dairy &amp; Eggs</t>
        </is>
      </c>
      <c r="G568" s="7" t="inlineStr">
        <is>
          <t>Yoghurt</t>
        </is>
      </c>
      <c r="H568" s="7" t="inlineStr">
        <is>
          <t>yes</t>
        </is>
      </c>
      <c r="I568" s="7" t="inlineStr">
        <is>
          <t>Animal core</t>
        </is>
      </c>
      <c r="J568" s="7" t="inlineStr">
        <is>
          <t>Milk, yoghurt and cream</t>
        </is>
      </c>
      <c r="K568" s="7" t="inlineStr">
        <is>
          <t>B</t>
        </is>
      </c>
      <c r="L568" s="7" t="inlineStr">
        <is>
          <t>First ingredient</t>
        </is>
      </c>
      <c r="M568" s="51" t="n">
        <v>3.8</v>
      </c>
      <c r="N568" s="7" t="inlineStr">
        <is>
          <t>Declared by the retailer</t>
        </is>
      </c>
      <c r="O568" s="54" t="n">
        <v>0</v>
      </c>
      <c r="P568" s="54" t="n">
        <v>3.8</v>
      </c>
      <c r="Q568" s="7" t="inlineStr">
        <is>
          <t>yes</t>
        </is>
      </c>
      <c r="R568" s="7" t="inlineStr">
        <is>
          <t>whole</t>
        </is>
      </c>
      <c r="S568" s="7" t="inlineStr">
        <is>
          <t>FG2</t>
        </is>
      </c>
      <c r="T568" s="7" t="inlineStr">
        <is>
          <t>Dairy</t>
        </is>
      </c>
      <c r="U568" s="7" t="inlineStr">
        <is>
          <t>animal</t>
        </is>
      </c>
      <c r="V568" s="7" t="n"/>
      <c r="W568" s="7" t="n"/>
      <c r="X568" s="55" t="n">
        <v>1</v>
      </c>
      <c r="Y568" s="50" t="n">
        <v>0.5</v>
      </c>
      <c r="Z568" s="7" t="inlineStr">
        <is>
          <t>declared</t>
        </is>
      </c>
      <c r="AA568" s="19">
        <f>IF(ISBLANK(Welcome!D594),"",Welcome!D594)</f>
        <v/>
      </c>
      <c r="AB568" s="29">
        <f>IF(ISBLANK(Welcome!E594),"",Welcome!E594)</f>
        <v/>
      </c>
      <c r="AC568" s="29">
        <f>IF(N(AB568)&gt;0,N(AB568),N(AA568)*Y568)</f>
        <v/>
      </c>
      <c r="AD568" s="29">
        <f>IF(H568="yes",AC568,0)</f>
        <v/>
      </c>
      <c r="AE568" s="29">
        <f>AD568*N(M568)/100</f>
        <v/>
      </c>
      <c r="AF568" s="29">
        <f>AD568*N(O568)/100</f>
        <v/>
      </c>
      <c r="AG568" s="29">
        <f>AD568*N(P568)/100</f>
        <v/>
      </c>
      <c r="AH568" s="50">
        <f>IF(Q568="yes",AD568/1000,0)</f>
        <v/>
      </c>
      <c r="AI568" s="50">
        <f>IF(S568="FG2",AH568*X568,AH568)</f>
        <v/>
      </c>
    </row>
    <row r="569">
      <c r="A569" s="7" t="inlineStr">
        <is>
          <t>HM00162</t>
        </is>
      </c>
      <c r="B569" s="16" t="inlineStr">
        <is>
          <t>3012345425421</t>
        </is>
      </c>
      <c r="C569" s="7" t="inlineStr">
        <is>
          <t>YOG CEREAL MIX 4X115G FJELDA</t>
        </is>
      </c>
      <c r="D569" s="7" t="inlineStr">
        <is>
          <t>Yoghurt with cereal topping, 4x115g</t>
        </is>
      </c>
      <c r="E569" s="7" t="inlineStr">
        <is>
          <t>Fjelda</t>
        </is>
      </c>
      <c r="F569" s="7" t="inlineStr">
        <is>
          <t>Dairy &amp; Eggs</t>
        </is>
      </c>
      <c r="G569" s="7" t="inlineStr">
        <is>
          <t>Yoghurt</t>
        </is>
      </c>
      <c r="H569" s="7" t="inlineStr">
        <is>
          <t>yes</t>
        </is>
      </c>
      <c r="I569" s="7" t="inlineStr">
        <is>
          <t>Animal &amp; plant composite</t>
        </is>
      </c>
      <c r="J569" s="7" t="inlineStr">
        <is>
          <t>Vegetarian dishes</t>
        </is>
      </c>
      <c r="K569" s="7" t="inlineStr">
        <is>
          <t>A</t>
        </is>
      </c>
      <c r="L569" s="7" t="inlineStr">
        <is>
          <t>Ingredient list</t>
        </is>
      </c>
      <c r="M569" s="51" t="n">
        <v>4.1</v>
      </c>
      <c r="N569" s="7" t="inlineStr">
        <is>
          <t>Declared by the retailer</t>
        </is>
      </c>
      <c r="O569" s="54" t="n">
        <v>0.45</v>
      </c>
      <c r="P569" s="54" t="n">
        <v>3.65</v>
      </c>
      <c r="Q569" s="7" t="inlineStr">
        <is>
          <t>yes</t>
        </is>
      </c>
      <c r="R569" s="7" t="inlineStr">
        <is>
          <t>composite</t>
        </is>
      </c>
      <c r="S569" s="7" t="n"/>
      <c r="T569" s="7" t="n"/>
      <c r="U569" s="7" t="n"/>
      <c r="V569" s="7" t="inlineStr">
        <is>
          <t>vegetarian</t>
        </is>
      </c>
      <c r="W569" s="7" t="n"/>
      <c r="X569" s="55" t="n">
        <v>1</v>
      </c>
      <c r="Y569" s="50" t="n">
        <v>0.46</v>
      </c>
      <c r="Z569" s="7" t="inlineStr">
        <is>
          <t>declared</t>
        </is>
      </c>
      <c r="AA569" s="19">
        <f>IF(ISBLANK(Welcome!D595),"",Welcome!D595)</f>
        <v/>
      </c>
      <c r="AB569" s="29">
        <f>IF(ISBLANK(Welcome!E595),"",Welcome!E595)</f>
        <v/>
      </c>
      <c r="AC569" s="29">
        <f>IF(N(AB569)&gt;0,N(AB569),N(AA569)*Y569)</f>
        <v/>
      </c>
      <c r="AD569" s="29">
        <f>IF(H569="yes",AC569,0)</f>
        <v/>
      </c>
      <c r="AE569" s="29">
        <f>AD569*N(M569)/100</f>
        <v/>
      </c>
      <c r="AF569" s="29">
        <f>AD569*N(O569)/100</f>
        <v/>
      </c>
      <c r="AG569" s="29">
        <f>AD569*N(P569)/100</f>
        <v/>
      </c>
      <c r="AH569" s="50">
        <f>IF(Q569="yes",AD569/1000,0)</f>
        <v/>
      </c>
      <c r="AI569" s="50">
        <f>IF(S569="FG2",AH569*X569,AH569)</f>
        <v/>
      </c>
    </row>
    <row r="570">
      <c r="A570" s="7" t="inlineStr">
        <is>
          <t>HM00554</t>
        </is>
      </c>
      <c r="B570" s="16" t="inlineStr">
        <is>
          <t>4012345203301</t>
        </is>
      </c>
      <c r="C570" s="7" t="inlineStr">
        <is>
          <t>CASTELNA DIJON MUSTARD 200G</t>
        </is>
      </c>
      <c r="D570" s="7" t="inlineStr">
        <is>
          <t>Dijon mustard, 200g</t>
        </is>
      </c>
      <c r="E570" s="7" t="inlineStr">
        <is>
          <t>Castelna</t>
        </is>
      </c>
      <c r="F570" s="7" t="inlineStr">
        <is>
          <t>Grocery</t>
        </is>
      </c>
      <c r="G570" s="7" t="inlineStr">
        <is>
          <t>Condiments</t>
        </is>
      </c>
      <c r="H570" s="7" t="inlineStr">
        <is>
          <t>yes</t>
        </is>
      </c>
      <c r="I570" s="7" t="inlineStr">
        <is>
          <t>Plant-based non-core</t>
        </is>
      </c>
      <c r="J570" s="7" t="inlineStr">
        <is>
          <t>Outside the WWF scope</t>
        </is>
      </c>
      <c r="K570" s="7" t="inlineStr">
        <is>
          <t>A</t>
        </is>
      </c>
      <c r="L570" s="7" t="inlineStr">
        <is>
          <t>All ingredients on one side</t>
        </is>
      </c>
      <c r="M570" s="51" t="n">
        <v>5.7</v>
      </c>
      <c r="N570" s="7" t="inlineStr">
        <is>
          <t>Declared by the retailer</t>
        </is>
      </c>
      <c r="O570" s="54" t="n">
        <v>5.7</v>
      </c>
      <c r="P570" s="54" t="n">
        <v>0</v>
      </c>
      <c r="Q570" s="7" t="inlineStr">
        <is>
          <t>no</t>
        </is>
      </c>
      <c r="R570" s="7" t="n"/>
      <c r="S570" s="7" t="n"/>
      <c r="T570" s="7" t="n"/>
      <c r="U570" s="7" t="n"/>
      <c r="V570" s="7" t="n"/>
      <c r="W570" s="7" t="inlineStr">
        <is>
          <t>condiment</t>
        </is>
      </c>
      <c r="X570" s="55" t="n">
        <v>1</v>
      </c>
      <c r="Y570" s="50" t="n">
        <v>0.2</v>
      </c>
      <c r="Z570" s="7" t="inlineStr">
        <is>
          <t>declared</t>
        </is>
      </c>
      <c r="AA570" s="19">
        <f>IF(ISBLANK(Welcome!D596),"",Welcome!D596)</f>
        <v/>
      </c>
      <c r="AB570" s="29">
        <f>IF(ISBLANK(Welcome!E596),"",Welcome!E596)</f>
        <v/>
      </c>
      <c r="AC570" s="29">
        <f>IF(N(AB570)&gt;0,N(AB570),N(AA570)*Y570)</f>
        <v/>
      </c>
      <c r="AD570" s="29">
        <f>IF(H570="yes",AC570,0)</f>
        <v/>
      </c>
      <c r="AE570" s="29">
        <f>AD570*N(M570)/100</f>
        <v/>
      </c>
      <c r="AF570" s="29">
        <f>AD570*N(O570)/100</f>
        <v/>
      </c>
      <c r="AG570" s="29">
        <f>AD570*N(P570)/100</f>
        <v/>
      </c>
      <c r="AH570" s="50">
        <f>IF(Q570="yes",AD570/1000,0)</f>
        <v/>
      </c>
      <c r="AI570" s="50">
        <f>IF(S570="FG2",AH570*X570,AH570)</f>
        <v/>
      </c>
    </row>
    <row r="571">
      <c r="A571" s="7" t="inlineStr">
        <is>
          <t>HM00128</t>
        </is>
      </c>
      <c r="B571" s="16" t="inlineStr">
        <is>
          <t>5012345203409</t>
        </is>
      </c>
      <c r="C571" s="7" t="inlineStr">
        <is>
          <t>HM CARROT CAKE 400G</t>
        </is>
      </c>
      <c r="D571" s="7" t="inlineStr">
        <is>
          <t>Carrot cake, 400g</t>
        </is>
      </c>
      <c r="E571" s="7" t="inlineStr">
        <is>
          <t>Harbour Market</t>
        </is>
      </c>
      <c r="F571" s="7" t="inlineStr">
        <is>
          <t>Bakery</t>
        </is>
      </c>
      <c r="G571" s="7" t="inlineStr">
        <is>
          <t>Cakes</t>
        </is>
      </c>
      <c r="H571" s="7" t="inlineStr">
        <is>
          <t>yes</t>
        </is>
      </c>
      <c r="I571" s="7" t="inlineStr">
        <is>
          <t>Animal &amp; plant composite</t>
        </is>
      </c>
      <c r="J571" s="7" t="inlineStr">
        <is>
          <t>Discretionary products</t>
        </is>
      </c>
      <c r="K571" s="7" t="inlineStr">
        <is>
          <t>B</t>
        </is>
      </c>
      <c r="L571" s="7" t="inlineStr">
        <is>
          <t>50/50 convention</t>
        </is>
      </c>
      <c r="M571" s="51" t="n">
        <v>5</v>
      </c>
      <c r="N571" s="7" t="inlineStr">
        <is>
          <t>Declared by the retailer</t>
        </is>
      </c>
      <c r="O571" s="54" t="n">
        <v>2.5</v>
      </c>
      <c r="P571" s="54" t="n">
        <v>2.5</v>
      </c>
      <c r="Q571" s="7" t="inlineStr">
        <is>
          <t>yes</t>
        </is>
      </c>
      <c r="R571" s="7" t="inlineStr">
        <is>
          <t>whole</t>
        </is>
      </c>
      <c r="S571" s="7" t="inlineStr">
        <is>
          <t>FG7</t>
        </is>
      </c>
      <c r="T571" s="7" t="n"/>
      <c r="U571" s="7" t="inlineStr">
        <is>
          <t>plant</t>
        </is>
      </c>
      <c r="V571" s="7" t="n"/>
      <c r="W571" s="7" t="n"/>
      <c r="X571" s="55" t="n">
        <v>1</v>
      </c>
      <c r="Y571" s="50" t="n">
        <v>0.4</v>
      </c>
      <c r="Z571" s="7" t="inlineStr">
        <is>
          <t>declared</t>
        </is>
      </c>
      <c r="AA571" s="19">
        <f>IF(ISBLANK(Welcome!D597),"",Welcome!D597)</f>
        <v/>
      </c>
      <c r="AB571" s="29">
        <f>IF(ISBLANK(Welcome!E597),"",Welcome!E597)</f>
        <v/>
      </c>
      <c r="AC571" s="29">
        <f>IF(N(AB571)&gt;0,N(AB571),N(AA571)*Y571)</f>
        <v/>
      </c>
      <c r="AD571" s="29">
        <f>IF(H571="yes",AC571,0)</f>
        <v/>
      </c>
      <c r="AE571" s="29">
        <f>AD571*N(M571)/100</f>
        <v/>
      </c>
      <c r="AF571" s="29">
        <f>AD571*N(O571)/100</f>
        <v/>
      </c>
      <c r="AG571" s="29">
        <f>AD571*N(P571)/100</f>
        <v/>
      </c>
      <c r="AH571" s="50">
        <f>IF(Q571="yes",AD571/1000,0)</f>
        <v/>
      </c>
      <c r="AI571" s="50">
        <f>IF(S571="FG2",AH571*X571,AH571)</f>
        <v/>
      </c>
    </row>
    <row r="572">
      <c r="A572" s="7" t="inlineStr">
        <is>
          <t>HM00633</t>
        </is>
      </c>
      <c r="B572" s="16" t="inlineStr">
        <is>
          <t>4012345405163</t>
        </is>
      </c>
      <c r="C572" s="7" t="inlineStr">
        <is>
          <t>HM SALTED PEANUTS 200G</t>
        </is>
      </c>
      <c r="D572" s="7" t="inlineStr">
        <is>
          <t>Salted peanuts, 200g</t>
        </is>
      </c>
      <c r="E572" s="7" t="inlineStr">
        <is>
          <t>Harbour Market</t>
        </is>
      </c>
      <c r="F572" s="7" t="inlineStr">
        <is>
          <t>Grocery</t>
        </is>
      </c>
      <c r="G572" s="7" t="inlineStr">
        <is>
          <t>Nuts &amp; Seeds</t>
        </is>
      </c>
      <c r="H572" s="7" t="inlineStr">
        <is>
          <t>yes</t>
        </is>
      </c>
      <c r="I572" s="7" t="inlineStr">
        <is>
          <t>Plant-based core</t>
        </is>
      </c>
      <c r="J572" s="7" t="inlineStr">
        <is>
          <t>Nuts</t>
        </is>
      </c>
      <c r="K572" s="7" t="inlineStr">
        <is>
          <t>A</t>
        </is>
      </c>
      <c r="L572" s="7" t="inlineStr">
        <is>
          <t>All ingredients on one side</t>
        </is>
      </c>
      <c r="M572" s="51" t="n">
        <v>26</v>
      </c>
      <c r="N572" s="7" t="inlineStr">
        <is>
          <t>Declared by the retailer</t>
        </is>
      </c>
      <c r="O572" s="54" t="n">
        <v>26</v>
      </c>
      <c r="P572" s="54" t="n">
        <v>0</v>
      </c>
      <c r="Q572" s="7" t="inlineStr">
        <is>
          <t>yes</t>
        </is>
      </c>
      <c r="R572" s="7" t="inlineStr">
        <is>
          <t>whole</t>
        </is>
      </c>
      <c r="S572" s="7" t="inlineStr">
        <is>
          <t>FG1</t>
        </is>
      </c>
      <c r="T572" s="7" t="inlineStr">
        <is>
          <t>Nuts</t>
        </is>
      </c>
      <c r="U572" s="7" t="inlineStr">
        <is>
          <t>plant</t>
        </is>
      </c>
      <c r="V572" s="7" t="n"/>
      <c r="W572" s="7" t="n"/>
      <c r="X572" s="55" t="n">
        <v>1</v>
      </c>
      <c r="Y572" s="50" t="n">
        <v>0.2</v>
      </c>
      <c r="Z572" s="7" t="inlineStr">
        <is>
          <t>declared</t>
        </is>
      </c>
      <c r="AA572" s="19">
        <f>IF(ISBLANK(Welcome!D598),"",Welcome!D598)</f>
        <v/>
      </c>
      <c r="AB572" s="29">
        <f>IF(ISBLANK(Welcome!E598),"",Welcome!E598)</f>
        <v/>
      </c>
      <c r="AC572" s="29">
        <f>IF(N(AB572)&gt;0,N(AB572),N(AA572)*Y572)</f>
        <v/>
      </c>
      <c r="AD572" s="29">
        <f>IF(H572="yes",AC572,0)</f>
        <v/>
      </c>
      <c r="AE572" s="29">
        <f>AD572*N(M572)/100</f>
        <v/>
      </c>
      <c r="AF572" s="29">
        <f>AD572*N(O572)/100</f>
        <v/>
      </c>
      <c r="AG572" s="29">
        <f>AD572*N(P572)/100</f>
        <v/>
      </c>
      <c r="AH572" s="50">
        <f>IF(Q572="yes",AD572/1000,0)</f>
        <v/>
      </c>
      <c r="AI572" s="50">
        <f>IF(S572="FG2",AH572*X572,AH572)</f>
        <v/>
      </c>
    </row>
    <row r="573">
      <c r="A573" s="7" t="inlineStr">
        <is>
          <t>HM00481</t>
        </is>
      </c>
      <c r="B573" s="16" t="inlineStr">
        <is>
          <t>5012345094673</t>
        </is>
      </c>
      <c r="C573" s="7" t="inlineStr">
        <is>
          <t>HM EGG FETTUCCINE 250G</t>
        </is>
      </c>
      <c r="D573" s="7" t="inlineStr">
        <is>
          <t>Egg fettuccine, 250g</t>
        </is>
      </c>
      <c r="E573" s="7" t="inlineStr">
        <is>
          <t>Harbour Market</t>
        </is>
      </c>
      <c r="F573" s="7" t="inlineStr">
        <is>
          <t>Grocery</t>
        </is>
      </c>
      <c r="G573" s="7" t="inlineStr">
        <is>
          <t>Fresh Pasta</t>
        </is>
      </c>
      <c r="H573" s="7" t="inlineStr">
        <is>
          <t>yes</t>
        </is>
      </c>
      <c r="I573" s="7" t="inlineStr">
        <is>
          <t>Animal &amp; plant composite</t>
        </is>
      </c>
      <c r="J573" s="7" t="inlineStr">
        <is>
          <t>Vegetarian dishes</t>
        </is>
      </c>
      <c r="K573" s="7" t="inlineStr">
        <is>
          <t>A</t>
        </is>
      </c>
      <c r="L573" s="7" t="inlineStr">
        <is>
          <t>Ingredient list</t>
        </is>
      </c>
      <c r="M573" s="51" t="n">
        <v>13.7</v>
      </c>
      <c r="N573" s="7" t="inlineStr">
        <is>
          <t>Declared by the retailer</t>
        </is>
      </c>
      <c r="O573" s="54" t="n">
        <v>10.69</v>
      </c>
      <c r="P573" s="54" t="n">
        <v>3.01</v>
      </c>
      <c r="Q573" s="7" t="inlineStr">
        <is>
          <t>yes</t>
        </is>
      </c>
      <c r="R573" s="7" t="inlineStr">
        <is>
          <t>composite</t>
        </is>
      </c>
      <c r="S573" s="7" t="n"/>
      <c r="T573" s="7" t="n"/>
      <c r="U573" s="7" t="n"/>
      <c r="V573" s="7" t="inlineStr">
        <is>
          <t>vegetarian</t>
        </is>
      </c>
      <c r="W573" s="7" t="n"/>
      <c r="X573" s="55" t="n">
        <v>1</v>
      </c>
      <c r="Y573" s="50" t="n">
        <v>0.25</v>
      </c>
      <c r="Z573" s="7" t="inlineStr">
        <is>
          <t>declared</t>
        </is>
      </c>
      <c r="AA573" s="19">
        <f>IF(ISBLANK(Welcome!D599),"",Welcome!D599)</f>
        <v/>
      </c>
      <c r="AB573" s="29">
        <f>IF(ISBLANK(Welcome!E599),"",Welcome!E599)</f>
        <v/>
      </c>
      <c r="AC573" s="29">
        <f>IF(N(AB573)&gt;0,N(AB573),N(AA573)*Y573)</f>
        <v/>
      </c>
      <c r="AD573" s="29">
        <f>IF(H573="yes",AC573,0)</f>
        <v/>
      </c>
      <c r="AE573" s="29">
        <f>AD573*N(M573)/100</f>
        <v/>
      </c>
      <c r="AF573" s="29">
        <f>AD573*N(O573)/100</f>
        <v/>
      </c>
      <c r="AG573" s="29">
        <f>AD573*N(P573)/100</f>
        <v/>
      </c>
      <c r="AH573" s="50">
        <f>IF(Q573="yes",AD573/1000,0)</f>
        <v/>
      </c>
      <c r="AI573" s="50">
        <f>IF(S573="FG2",AH573*X573,AH573)</f>
        <v/>
      </c>
    </row>
    <row r="574">
      <c r="A574" s="7" t="inlineStr">
        <is>
          <t>HM00027</t>
        </is>
      </c>
      <c r="B574" s="16" t="inlineStr">
        <is>
          <t>4012345899306</t>
        </is>
      </c>
      <c r="C574" s="7" t="inlineStr">
        <is>
          <t>HM CHICKPEAS IN WATER 400G</t>
        </is>
      </c>
      <c r="D574" s="7" t="inlineStr">
        <is>
          <t>Chickpeas in water, 400g</t>
        </is>
      </c>
      <c r="E574" s="7" t="inlineStr">
        <is>
          <t>Harbour Market</t>
        </is>
      </c>
      <c r="F574" s="7" t="inlineStr">
        <is>
          <t>Grocery</t>
        </is>
      </c>
      <c r="G574" s="7" t="inlineStr">
        <is>
          <t>Pulses</t>
        </is>
      </c>
      <c r="H574" s="7" t="inlineStr">
        <is>
          <t>yes</t>
        </is>
      </c>
      <c r="I574" s="7" t="inlineStr">
        <is>
          <t>Plant-based core</t>
        </is>
      </c>
      <c r="J574" s="7" t="inlineStr">
        <is>
          <t>Pulses</t>
        </is>
      </c>
      <c r="K574" s="7" t="inlineStr">
        <is>
          <t>B</t>
        </is>
      </c>
      <c r="L574" s="7" t="inlineStr">
        <is>
          <t>Follows the class</t>
        </is>
      </c>
      <c r="M574" s="51" t="n">
        <v>7.3</v>
      </c>
      <c r="N574" s="7" t="inlineStr">
        <is>
          <t>Declared by the retailer</t>
        </is>
      </c>
      <c r="O574" s="54" t="n">
        <v>7.3</v>
      </c>
      <c r="P574" s="54" t="n">
        <v>0</v>
      </c>
      <c r="Q574" s="7" t="inlineStr">
        <is>
          <t>yes</t>
        </is>
      </c>
      <c r="R574" s="7" t="inlineStr">
        <is>
          <t>whole</t>
        </is>
      </c>
      <c r="S574" s="7" t="inlineStr">
        <is>
          <t>FG1</t>
        </is>
      </c>
      <c r="T574" s="7" t="inlineStr">
        <is>
          <t>Pulses</t>
        </is>
      </c>
      <c r="U574" s="7" t="inlineStr">
        <is>
          <t>plant</t>
        </is>
      </c>
      <c r="V574" s="7" t="n"/>
      <c r="W574" s="7" t="n"/>
      <c r="X574" s="55" t="n">
        <v>1</v>
      </c>
      <c r="Y574" s="50" t="n">
        <v>0.4</v>
      </c>
      <c r="Z574" s="7" t="inlineStr">
        <is>
          <t>declared</t>
        </is>
      </c>
      <c r="AA574" s="19">
        <f>IF(ISBLANK(Welcome!D600),"",Welcome!D600)</f>
        <v/>
      </c>
      <c r="AB574" s="29">
        <f>IF(ISBLANK(Welcome!E600),"",Welcome!E600)</f>
        <v/>
      </c>
      <c r="AC574" s="29">
        <f>IF(N(AB574)&gt;0,N(AB574),N(AA574)*Y574)</f>
        <v/>
      </c>
      <c r="AD574" s="29">
        <f>IF(H574="yes",AC574,0)</f>
        <v/>
      </c>
      <c r="AE574" s="29">
        <f>AD574*N(M574)/100</f>
        <v/>
      </c>
      <c r="AF574" s="29">
        <f>AD574*N(O574)/100</f>
        <v/>
      </c>
      <c r="AG574" s="29">
        <f>AD574*N(P574)/100</f>
        <v/>
      </c>
      <c r="AH574" s="50">
        <f>IF(Q574="yes",AD574/1000,0)</f>
        <v/>
      </c>
      <c r="AI574" s="50">
        <f>IF(S574="FG2",AH574*X574,AH574)</f>
        <v/>
      </c>
    </row>
    <row r="575">
      <c r="A575" s="7" t="inlineStr">
        <is>
          <t>HM00555</t>
        </is>
      </c>
      <c r="B575" s="16" t="inlineStr">
        <is>
          <t>3012345155106</t>
        </is>
      </c>
      <c r="C575" s="7" t="inlineStr">
        <is>
          <t>TEST ITEM DO NOT USE</t>
        </is>
      </c>
      <c r="D575" s="7" t="inlineStr">
        <is>
          <t>Test item</t>
        </is>
      </c>
      <c r="E575" s="7" t="inlineStr">
        <is>
          <t>Harbour Market</t>
        </is>
      </c>
      <c r="F575" s="7" t="inlineStr">
        <is>
          <t>Household</t>
        </is>
      </c>
      <c r="G575" s="7" t="inlineStr">
        <is>
          <t>Household</t>
        </is>
      </c>
      <c r="H575" s="7" t="inlineStr">
        <is>
          <t>no</t>
        </is>
      </c>
      <c r="I575" s="7" t="n"/>
      <c r="J575" s="7" t="n"/>
      <c r="K575" s="7" t="n"/>
      <c r="L575" s="7" t="n"/>
      <c r="M575" s="51" t="n"/>
      <c r="N575" s="7" t="n"/>
      <c r="O575" s="54" t="n"/>
      <c r="P575" s="54" t="n"/>
      <c r="Q575" s="7" t="inlineStr">
        <is>
          <t>no</t>
        </is>
      </c>
      <c r="R575" s="7" t="n"/>
      <c r="S575" s="7" t="n"/>
      <c r="T575" s="7" t="n"/>
      <c r="U575" s="7" t="n"/>
      <c r="V575" s="7" t="n"/>
      <c r="W575" s="7" t="n"/>
      <c r="X575" s="55" t="n">
        <v>1</v>
      </c>
      <c r="Y575" s="50" t="n">
        <v>0.3</v>
      </c>
      <c r="Z575" s="7" t="inlineStr">
        <is>
          <t>declared</t>
        </is>
      </c>
      <c r="AA575" s="19">
        <f>IF(ISBLANK(Welcome!D601),"",Welcome!D601)</f>
        <v/>
      </c>
      <c r="AB575" s="29">
        <f>IF(ISBLANK(Welcome!E601),"",Welcome!E601)</f>
        <v/>
      </c>
      <c r="AC575" s="29">
        <f>IF(N(AB575)&gt;0,N(AB575),N(AA575)*Y575)</f>
        <v/>
      </c>
      <c r="AD575" s="29">
        <f>IF(H575="yes",AC575,0)</f>
        <v/>
      </c>
      <c r="AE575" s="29">
        <f>AD575*N(M575)/100</f>
        <v/>
      </c>
      <c r="AF575" s="29">
        <f>AD575*N(O575)/100</f>
        <v/>
      </c>
      <c r="AG575" s="29">
        <f>AD575*N(P575)/100</f>
        <v/>
      </c>
      <c r="AH575" s="50">
        <f>IF(Q575="yes",AD575/1000,0)</f>
        <v/>
      </c>
      <c r="AI575" s="50">
        <f>IF(S575="FG2",AH575*X575,AH575)</f>
        <v/>
      </c>
    </row>
    <row r="576">
      <c r="A576" s="7" t="inlineStr">
        <is>
          <t>HM00371</t>
        </is>
      </c>
      <c r="B576" s="16" t="inlineStr">
        <is>
          <t>5012345254128</t>
        </is>
      </c>
      <c r="C576" s="7" t="inlineStr">
        <is>
          <t>ORVALIS BROWN BASMATI 500G</t>
        </is>
      </c>
      <c r="D576" s="7" t="inlineStr">
        <is>
          <t>Brown basmati rice, 500g</t>
        </is>
      </c>
      <c r="E576" s="7" t="inlineStr">
        <is>
          <t>Orvalis</t>
        </is>
      </c>
      <c r="F576" s="7" t="inlineStr">
        <is>
          <t>Grocery</t>
        </is>
      </c>
      <c r="G576" s="7" t="inlineStr">
        <is>
          <t>Rice &amp; Grains</t>
        </is>
      </c>
      <c r="H576" s="7" t="inlineStr">
        <is>
          <t>yes</t>
        </is>
      </c>
      <c r="I576" s="7" t="inlineStr">
        <is>
          <t>Plant-based non-core</t>
        </is>
      </c>
      <c r="J576" s="7" t="inlineStr">
        <is>
          <t>Whole grains</t>
        </is>
      </c>
      <c r="K576" s="7" t="inlineStr">
        <is>
          <t>A</t>
        </is>
      </c>
      <c r="L576" s="7" t="inlineStr">
        <is>
          <t>All ingredients on one side</t>
        </is>
      </c>
      <c r="M576" s="51" t="n">
        <v>7.6</v>
      </c>
      <c r="N576" s="7" t="inlineStr">
        <is>
          <t>National food table (CIQUAL in France)</t>
        </is>
      </c>
      <c r="O576" s="54" t="n">
        <v>7.6</v>
      </c>
      <c r="P576" s="54" t="n">
        <v>0</v>
      </c>
      <c r="Q576" s="7" t="inlineStr">
        <is>
          <t>yes</t>
        </is>
      </c>
      <c r="R576" s="7" t="inlineStr">
        <is>
          <t>whole</t>
        </is>
      </c>
      <c r="S576" s="7" t="inlineStr">
        <is>
          <t>FG5</t>
        </is>
      </c>
      <c r="T576" s="7" t="inlineStr">
        <is>
          <t>Whole grain</t>
        </is>
      </c>
      <c r="U576" s="7" t="inlineStr">
        <is>
          <t>plant</t>
        </is>
      </c>
      <c r="V576" s="7" t="n"/>
      <c r="W576" s="7" t="n"/>
      <c r="X576" s="55" t="n">
        <v>1</v>
      </c>
      <c r="Y576" s="50" t="n">
        <v>0.5</v>
      </c>
      <c r="Z576" s="7" t="inlineStr">
        <is>
          <t>label</t>
        </is>
      </c>
      <c r="AA576" s="19">
        <f>IF(ISBLANK(Welcome!D602),"",Welcome!D602)</f>
        <v/>
      </c>
      <c r="AB576" s="29">
        <f>IF(ISBLANK(Welcome!E602),"",Welcome!E602)</f>
        <v/>
      </c>
      <c r="AC576" s="29">
        <f>IF(N(AB576)&gt;0,N(AB576),N(AA576)*Y576)</f>
        <v/>
      </c>
      <c r="AD576" s="29">
        <f>IF(H576="yes",AC576,0)</f>
        <v/>
      </c>
      <c r="AE576" s="29">
        <f>AD576*N(M576)/100</f>
        <v/>
      </c>
      <c r="AF576" s="29">
        <f>AD576*N(O576)/100</f>
        <v/>
      </c>
      <c r="AG576" s="29">
        <f>AD576*N(P576)/100</f>
        <v/>
      </c>
      <c r="AH576" s="50">
        <f>IF(Q576="yes",AD576/1000,0)</f>
        <v/>
      </c>
      <c r="AI576" s="50">
        <f>IF(S576="FG2",AH576*X576,AH576)</f>
        <v/>
      </c>
    </row>
    <row r="577">
      <c r="A577" s="7" t="inlineStr">
        <is>
          <t>HM00681</t>
        </is>
      </c>
      <c r="B577" s="16" t="inlineStr">
        <is>
          <t>4012345317305</t>
        </is>
      </c>
      <c r="C577" s="7" t="inlineStr">
        <is>
          <t>HM PLANT NUGGETS 6PK 270G</t>
        </is>
      </c>
      <c r="D577" s="7" t="inlineStr">
        <is>
          <t>Plant-based nuggets, 6pk 270g</t>
        </is>
      </c>
      <c r="E577" s="7" t="inlineStr">
        <is>
          <t>Harbour Market</t>
        </is>
      </c>
      <c r="F577" s="7" t="inlineStr">
        <is>
          <t>Plant-Based</t>
        </is>
      </c>
      <c r="G577" s="7" t="inlineStr">
        <is>
          <t>Meat Alternatives</t>
        </is>
      </c>
      <c r="H577" s="7" t="inlineStr">
        <is>
          <t>yes</t>
        </is>
      </c>
      <c r="I577" s="7" t="inlineStr">
        <is>
          <t>Plant-based core</t>
        </is>
      </c>
      <c r="J577" s="7" t="inlineStr">
        <is>
          <t>Plant-based meat alternatives</t>
        </is>
      </c>
      <c r="K577" s="7" t="inlineStr">
        <is>
          <t>A</t>
        </is>
      </c>
      <c r="L577" s="7" t="inlineStr">
        <is>
          <t>All ingredients on one side</t>
        </is>
      </c>
      <c r="M577" s="51" t="n">
        <v>12.6</v>
      </c>
      <c r="N577" s="7" t="inlineStr">
        <is>
          <t>Declared by the retailer</t>
        </is>
      </c>
      <c r="O577" s="54" t="n">
        <v>12.6</v>
      </c>
      <c r="P577" s="54" t="n">
        <v>0</v>
      </c>
      <c r="Q577" s="7" t="inlineStr">
        <is>
          <t>yes</t>
        </is>
      </c>
      <c r="R577" s="7" t="inlineStr">
        <is>
          <t>whole</t>
        </is>
      </c>
      <c r="S577" s="7" t="inlineStr">
        <is>
          <t>FG1</t>
        </is>
      </c>
      <c r="T577" s="7" t="inlineStr">
        <is>
          <t>Alternative products</t>
        </is>
      </c>
      <c r="U577" s="7" t="inlineStr">
        <is>
          <t>plant</t>
        </is>
      </c>
      <c r="V577" s="7" t="n"/>
      <c r="W577" s="7" t="n"/>
      <c r="X577" s="55" t="n">
        <v>1</v>
      </c>
      <c r="Y577" s="50" t="n">
        <v>0.27</v>
      </c>
      <c r="Z577" s="7" t="inlineStr">
        <is>
          <t>declared</t>
        </is>
      </c>
      <c r="AA577" s="19">
        <f>IF(ISBLANK(Welcome!D603),"",Welcome!D603)</f>
        <v/>
      </c>
      <c r="AB577" s="29">
        <f>IF(ISBLANK(Welcome!E603),"",Welcome!E603)</f>
        <v/>
      </c>
      <c r="AC577" s="29">
        <f>IF(N(AB577)&gt;0,N(AB577),N(AA577)*Y577)</f>
        <v/>
      </c>
      <c r="AD577" s="29">
        <f>IF(H577="yes",AC577,0)</f>
        <v/>
      </c>
      <c r="AE577" s="29">
        <f>AD577*N(M577)/100</f>
        <v/>
      </c>
      <c r="AF577" s="29">
        <f>AD577*N(O577)/100</f>
        <v/>
      </c>
      <c r="AG577" s="29">
        <f>AD577*N(P577)/100</f>
        <v/>
      </c>
      <c r="AH577" s="50">
        <f>IF(Q577="yes",AD577/1000,0)</f>
        <v/>
      </c>
      <c r="AI577" s="50">
        <f>IF(S577="FG2",AH577*X577,AH577)</f>
        <v/>
      </c>
    </row>
    <row r="578">
      <c r="A578" s="7" t="inlineStr">
        <is>
          <t>HM00788</t>
        </is>
      </c>
      <c r="B578" s="16" t="inlineStr">
        <is>
          <t>3012345738194</t>
        </is>
      </c>
      <c r="C578" s="7" t="inlineStr">
        <is>
          <t>HM ORG FREE RANGE EGGS 12PK</t>
        </is>
      </c>
      <c r="D578" s="7" t="inlineStr">
        <is>
          <t>Organic free-range eggs, 12pk</t>
        </is>
      </c>
      <c r="E578" s="7" t="inlineStr">
        <is>
          <t>Harbour Market</t>
        </is>
      </c>
      <c r="F578" s="7" t="inlineStr">
        <is>
          <t>Dairy &amp; Eggs</t>
        </is>
      </c>
      <c r="G578" s="7" t="inlineStr">
        <is>
          <t>Eggs</t>
        </is>
      </c>
      <c r="H578" s="7" t="inlineStr">
        <is>
          <t>yes</t>
        </is>
      </c>
      <c r="I578" s="7" t="inlineStr">
        <is>
          <t>Animal core</t>
        </is>
      </c>
      <c r="J578" s="7" t="inlineStr">
        <is>
          <t>Eggs</t>
        </is>
      </c>
      <c r="K578" s="7" t="inlineStr">
        <is>
          <t>B</t>
        </is>
      </c>
      <c r="L578" s="7" t="inlineStr">
        <is>
          <t>Follows the class</t>
        </is>
      </c>
      <c r="M578" s="51" t="n">
        <v>12.6</v>
      </c>
      <c r="N578" s="7" t="inlineStr">
        <is>
          <t>Declared by the retailer</t>
        </is>
      </c>
      <c r="O578" s="54" t="n">
        <v>0</v>
      </c>
      <c r="P578" s="54" t="n">
        <v>12.6</v>
      </c>
      <c r="Q578" s="7" t="inlineStr">
        <is>
          <t>yes</t>
        </is>
      </c>
      <c r="R578" s="7" t="inlineStr">
        <is>
          <t>whole</t>
        </is>
      </c>
      <c r="S578" s="7" t="inlineStr">
        <is>
          <t>FG1</t>
        </is>
      </c>
      <c r="T578" s="7" t="inlineStr">
        <is>
          <t>Eggs</t>
        </is>
      </c>
      <c r="U578" s="7" t="inlineStr">
        <is>
          <t>animal</t>
        </is>
      </c>
      <c r="V578" s="7" t="n"/>
      <c r="W578" s="7" t="n"/>
      <c r="X578" s="55" t="n">
        <v>1</v>
      </c>
      <c r="Y578" s="50" t="n">
        <v>0.72</v>
      </c>
      <c r="Z578" s="7" t="inlineStr">
        <is>
          <t>declared</t>
        </is>
      </c>
      <c r="AA578" s="19">
        <f>IF(ISBLANK(Welcome!D604),"",Welcome!D604)</f>
        <v/>
      </c>
      <c r="AB578" s="29">
        <f>IF(ISBLANK(Welcome!E604),"",Welcome!E604)</f>
        <v/>
      </c>
      <c r="AC578" s="29">
        <f>IF(N(AB578)&gt;0,N(AB578),N(AA578)*Y578)</f>
        <v/>
      </c>
      <c r="AD578" s="29">
        <f>IF(H578="yes",AC578,0)</f>
        <v/>
      </c>
      <c r="AE578" s="29">
        <f>AD578*N(M578)/100</f>
        <v/>
      </c>
      <c r="AF578" s="29">
        <f>AD578*N(O578)/100</f>
        <v/>
      </c>
      <c r="AG578" s="29">
        <f>AD578*N(P578)/100</f>
        <v/>
      </c>
      <c r="AH578" s="50">
        <f>IF(Q578="yes",AD578/1000,0)</f>
        <v/>
      </c>
      <c r="AI578" s="50">
        <f>IF(S578="FG2",AH578*X578,AH578)</f>
        <v/>
      </c>
    </row>
    <row r="579">
      <c r="A579" s="7" t="inlineStr">
        <is>
          <t>HM00653</t>
        </is>
      </c>
      <c r="B579" s="16" t="inlineStr">
        <is>
          <t>3012345556842</t>
        </is>
      </c>
      <c r="C579" s="7" t="inlineStr">
        <is>
          <t>HM FARFALLE 500G</t>
        </is>
      </c>
      <c r="D579" s="7" t="inlineStr">
        <is>
          <t>Farfalle, 500g</t>
        </is>
      </c>
      <c r="E579" s="7" t="inlineStr">
        <is>
          <t>Harbour Market</t>
        </is>
      </c>
      <c r="F579" s="7" t="inlineStr">
        <is>
          <t>Grocery</t>
        </is>
      </c>
      <c r="G579" s="7" t="inlineStr">
        <is>
          <t>Pasta</t>
        </is>
      </c>
      <c r="H579" s="7" t="inlineStr">
        <is>
          <t>yes</t>
        </is>
      </c>
      <c r="I579" s="7" t="inlineStr">
        <is>
          <t>Plant-based non-core</t>
        </is>
      </c>
      <c r="J579" s="7" t="inlineStr">
        <is>
          <t>Refined grains</t>
        </is>
      </c>
      <c r="K579" s="7" t="inlineStr">
        <is>
          <t>A</t>
        </is>
      </c>
      <c r="L579" s="7" t="inlineStr">
        <is>
          <t>All ingredients on one side</t>
        </is>
      </c>
      <c r="M579" s="51" t="n">
        <v>12.4</v>
      </c>
      <c r="N579" s="7" t="inlineStr">
        <is>
          <t>Open Food Facts and NEVO, by EAN</t>
        </is>
      </c>
      <c r="O579" s="54" t="n">
        <v>12.4</v>
      </c>
      <c r="P579" s="54" t="n">
        <v>0</v>
      </c>
      <c r="Q579" s="7" t="inlineStr">
        <is>
          <t>yes</t>
        </is>
      </c>
      <c r="R579" s="7" t="inlineStr">
        <is>
          <t>whole</t>
        </is>
      </c>
      <c r="S579" s="7" t="inlineStr">
        <is>
          <t>FG5</t>
        </is>
      </c>
      <c r="T579" s="7" t="inlineStr">
        <is>
          <t>Refined grain</t>
        </is>
      </c>
      <c r="U579" s="7" t="inlineStr">
        <is>
          <t>plant</t>
        </is>
      </c>
      <c r="V579" s="7" t="n"/>
      <c r="W579" s="7" t="n"/>
      <c r="X579" s="55" t="n">
        <v>1</v>
      </c>
      <c r="Y579" s="50" t="n">
        <v>0.5</v>
      </c>
      <c r="Z579" s="7" t="inlineStr">
        <is>
          <t>declared</t>
        </is>
      </c>
      <c r="AA579" s="19">
        <f>IF(ISBLANK(Welcome!D605),"",Welcome!D605)</f>
        <v/>
      </c>
      <c r="AB579" s="29">
        <f>IF(ISBLANK(Welcome!E605),"",Welcome!E605)</f>
        <v/>
      </c>
      <c r="AC579" s="29">
        <f>IF(N(AB579)&gt;0,N(AB579),N(AA579)*Y579)</f>
        <v/>
      </c>
      <c r="AD579" s="29">
        <f>IF(H579="yes",AC579,0)</f>
        <v/>
      </c>
      <c r="AE579" s="29">
        <f>AD579*N(M579)/100</f>
        <v/>
      </c>
      <c r="AF579" s="29">
        <f>AD579*N(O579)/100</f>
        <v/>
      </c>
      <c r="AG579" s="29">
        <f>AD579*N(P579)/100</f>
        <v/>
      </c>
      <c r="AH579" s="50">
        <f>IF(Q579="yes",AD579/1000,0)</f>
        <v/>
      </c>
      <c r="AI579" s="50">
        <f>IF(S579="FG2",AH579*X579,AH579)</f>
        <v/>
      </c>
    </row>
    <row r="580">
      <c r="A580" s="7" t="inlineStr">
        <is>
          <t>HM00658</t>
        </is>
      </c>
      <c r="B580" s="16" t="inlineStr">
        <is>
          <t>4012345070026</t>
        </is>
      </c>
      <c r="C580" s="7" t="inlineStr">
        <is>
          <t>PARMESAN WEDGE 800G ALDERWICK</t>
        </is>
      </c>
      <c r="D580" s="7" t="inlineStr">
        <is>
          <t>Parmesan wedge, 800g</t>
        </is>
      </c>
      <c r="E580" s="7" t="inlineStr">
        <is>
          <t>Alderwick</t>
        </is>
      </c>
      <c r="F580" s="7" t="inlineStr">
        <is>
          <t>Cheese</t>
        </is>
      </c>
      <c r="G580" s="7" t="inlineStr">
        <is>
          <t>Hard Cheese</t>
        </is>
      </c>
      <c r="H580" s="7" t="inlineStr">
        <is>
          <t>yes</t>
        </is>
      </c>
      <c r="I580" s="7" t="inlineStr">
        <is>
          <t>Animal core</t>
        </is>
      </c>
      <c r="J580" s="7" t="inlineStr">
        <is>
          <t>Cheese</t>
        </is>
      </c>
      <c r="K580" s="7" t="inlineStr">
        <is>
          <t>B</t>
        </is>
      </c>
      <c r="L580" s="7" t="inlineStr">
        <is>
          <t>Follows the class</t>
        </is>
      </c>
      <c r="M580" s="51" t="n">
        <v>31.9</v>
      </c>
      <c r="N580" s="7" t="inlineStr">
        <is>
          <t>Declared by the retailer</t>
        </is>
      </c>
      <c r="O580" s="54" t="n">
        <v>0</v>
      </c>
      <c r="P580" s="54" t="n">
        <v>31.9</v>
      </c>
      <c r="Q580" s="7" t="inlineStr">
        <is>
          <t>yes</t>
        </is>
      </c>
      <c r="R580" s="7" t="inlineStr">
        <is>
          <t>whole</t>
        </is>
      </c>
      <c r="S580" s="7" t="inlineStr">
        <is>
          <t>FG2</t>
        </is>
      </c>
      <c r="T580" s="7" t="inlineStr">
        <is>
          <t>Dairy</t>
        </is>
      </c>
      <c r="U580" s="7" t="inlineStr">
        <is>
          <t>animal</t>
        </is>
      </c>
      <c r="V580" s="7" t="n"/>
      <c r="W580" s="7" t="n"/>
      <c r="X580" s="55" t="n">
        <v>10</v>
      </c>
      <c r="Y580" s="50" t="n">
        <v>0.8</v>
      </c>
      <c r="Z580" s="7" t="inlineStr">
        <is>
          <t>declared</t>
        </is>
      </c>
      <c r="AA580" s="19">
        <f>IF(ISBLANK(Welcome!D606),"",Welcome!D606)</f>
        <v/>
      </c>
      <c r="AB580" s="29">
        <f>IF(ISBLANK(Welcome!E606),"",Welcome!E606)</f>
        <v/>
      </c>
      <c r="AC580" s="29">
        <f>IF(N(AB580)&gt;0,N(AB580),N(AA580)*Y580)</f>
        <v/>
      </c>
      <c r="AD580" s="29">
        <f>IF(H580="yes",AC580,0)</f>
        <v/>
      </c>
      <c r="AE580" s="29">
        <f>AD580*N(M580)/100</f>
        <v/>
      </c>
      <c r="AF580" s="29">
        <f>AD580*N(O580)/100</f>
        <v/>
      </c>
      <c r="AG580" s="29">
        <f>AD580*N(P580)/100</f>
        <v/>
      </c>
      <c r="AH580" s="50">
        <f>IF(Q580="yes",AD580/1000,0)</f>
        <v/>
      </c>
      <c r="AI580" s="50">
        <f>IF(S580="FG2",AH580*X580,AH580)</f>
        <v/>
      </c>
    </row>
    <row r="581">
      <c r="A581" s="7" t="inlineStr">
        <is>
          <t>HM00103</t>
        </is>
      </c>
      <c r="B581" s="16" t="inlineStr">
        <is>
          <t>5012345501673</t>
        </is>
      </c>
      <c r="C581" s="7" t="inlineStr">
        <is>
          <t>HM SPREADABLE BUTTER 500G</t>
        </is>
      </c>
      <c r="D581" s="7" t="inlineStr">
        <is>
          <t>Spreadable butter, 500g</t>
        </is>
      </c>
      <c r="E581" s="7" t="inlineStr">
        <is>
          <t>Harbour Market</t>
        </is>
      </c>
      <c r="F581" s="7" t="inlineStr">
        <is>
          <t>Dairy &amp; Eggs</t>
        </is>
      </c>
      <c r="G581" s="7" t="inlineStr">
        <is>
          <t>Butter &amp; Spreads</t>
        </is>
      </c>
      <c r="H581" s="7" t="inlineStr">
        <is>
          <t>yes</t>
        </is>
      </c>
      <c r="I581" s="7" t="inlineStr">
        <is>
          <t>Animal core</t>
        </is>
      </c>
      <c r="J581" s="7" t="inlineStr">
        <is>
          <t>Other</t>
        </is>
      </c>
      <c r="K581" s="7" t="inlineStr">
        <is>
          <t>A</t>
        </is>
      </c>
      <c r="L581" s="7" t="inlineStr">
        <is>
          <t>All ingredients on one side</t>
        </is>
      </c>
      <c r="M581" s="51" t="n">
        <v>0.57</v>
      </c>
      <c r="N581" s="7" t="inlineStr">
        <is>
          <t>Declared by the retailer</t>
        </is>
      </c>
      <c r="O581" s="54" t="n">
        <v>0</v>
      </c>
      <c r="P581" s="54" t="n">
        <v>0.57</v>
      </c>
      <c r="Q581" s="7" t="inlineStr">
        <is>
          <t>yes</t>
        </is>
      </c>
      <c r="R581" s="7" t="inlineStr">
        <is>
          <t>whole</t>
        </is>
      </c>
      <c r="S581" s="7" t="inlineStr">
        <is>
          <t>FG3</t>
        </is>
      </c>
      <c r="T581" s="7" t="inlineStr">
        <is>
          <t>Animal-based fat</t>
        </is>
      </c>
      <c r="U581" s="7" t="inlineStr">
        <is>
          <t>animal</t>
        </is>
      </c>
      <c r="V581" s="7" t="n"/>
      <c r="W581" s="7" t="n"/>
      <c r="X581" s="55" t="n">
        <v>1</v>
      </c>
      <c r="Y581" s="50" t="n">
        <v>0.5</v>
      </c>
      <c r="Z581" s="7" t="inlineStr">
        <is>
          <t>declared</t>
        </is>
      </c>
      <c r="AA581" s="19">
        <f>IF(ISBLANK(Welcome!D607),"",Welcome!D607)</f>
        <v/>
      </c>
      <c r="AB581" s="29">
        <f>IF(ISBLANK(Welcome!E607),"",Welcome!E607)</f>
        <v/>
      </c>
      <c r="AC581" s="29">
        <f>IF(N(AB581)&gt;0,N(AB581),N(AA581)*Y581)</f>
        <v/>
      </c>
      <c r="AD581" s="29">
        <f>IF(H581="yes",AC581,0)</f>
        <v/>
      </c>
      <c r="AE581" s="29">
        <f>AD581*N(M581)/100</f>
        <v/>
      </c>
      <c r="AF581" s="29">
        <f>AD581*N(O581)/100</f>
        <v/>
      </c>
      <c r="AG581" s="29">
        <f>AD581*N(P581)/100</f>
        <v/>
      </c>
      <c r="AH581" s="50">
        <f>IF(Q581="yes",AD581/1000,0)</f>
        <v/>
      </c>
      <c r="AI581" s="50">
        <f>IF(S581="FG2",AH581*X581,AH581)</f>
        <v/>
      </c>
    </row>
    <row r="582">
      <c r="A582" s="7" t="inlineStr">
        <is>
          <t>HM00446</t>
        </is>
      </c>
      <c r="B582" s="16" t="inlineStr">
        <is>
          <t>5012345039732</t>
        </is>
      </c>
      <c r="C582" s="7" t="inlineStr">
        <is>
          <t>HM RED SPLIT LENTILS 1KG</t>
        </is>
      </c>
      <c r="D582" s="7" t="inlineStr">
        <is>
          <t>Red split lentils, 1kg</t>
        </is>
      </c>
      <c r="E582" s="7" t="inlineStr">
        <is>
          <t>Harbour Market</t>
        </is>
      </c>
      <c r="F582" s="7" t="inlineStr">
        <is>
          <t>Grocery</t>
        </is>
      </c>
      <c r="G582" s="7" t="inlineStr">
        <is>
          <t>Pulses</t>
        </is>
      </c>
      <c r="H582" s="7" t="inlineStr">
        <is>
          <t>yes</t>
        </is>
      </c>
      <c r="I582" s="7" t="inlineStr">
        <is>
          <t>Plant-based core</t>
        </is>
      </c>
      <c r="J582" s="7" t="inlineStr">
        <is>
          <t>Pulses</t>
        </is>
      </c>
      <c r="K582" s="7" t="inlineStr">
        <is>
          <t>A</t>
        </is>
      </c>
      <c r="L582" s="7" t="inlineStr">
        <is>
          <t>All ingredients on one side</t>
        </is>
      </c>
      <c r="M582" s="51" t="n">
        <v>23.9</v>
      </c>
      <c r="N582" s="7" t="inlineStr">
        <is>
          <t>Declared by the retailer</t>
        </is>
      </c>
      <c r="O582" s="54" t="n">
        <v>23.9</v>
      </c>
      <c r="P582" s="54" t="n">
        <v>0</v>
      </c>
      <c r="Q582" s="7" t="inlineStr">
        <is>
          <t>yes</t>
        </is>
      </c>
      <c r="R582" s="7" t="inlineStr">
        <is>
          <t>whole</t>
        </is>
      </c>
      <c r="S582" s="7" t="inlineStr">
        <is>
          <t>FG1</t>
        </is>
      </c>
      <c r="T582" s="7" t="inlineStr">
        <is>
          <t>Pulses</t>
        </is>
      </c>
      <c r="U582" s="7" t="inlineStr">
        <is>
          <t>plant</t>
        </is>
      </c>
      <c r="V582" s="7" t="n"/>
      <c r="W582" s="7" t="n"/>
      <c r="X582" s="55" t="n">
        <v>1</v>
      </c>
      <c r="Y582" s="50" t="n">
        <v>1</v>
      </c>
      <c r="Z582" s="7" t="inlineStr">
        <is>
          <t>declared</t>
        </is>
      </c>
      <c r="AA582" s="19">
        <f>IF(ISBLANK(Welcome!D608),"",Welcome!D608)</f>
        <v/>
      </c>
      <c r="AB582" s="29">
        <f>IF(ISBLANK(Welcome!E608),"",Welcome!E608)</f>
        <v/>
      </c>
      <c r="AC582" s="29">
        <f>IF(N(AB582)&gt;0,N(AB582),N(AA582)*Y582)</f>
        <v/>
      </c>
      <c r="AD582" s="29">
        <f>IF(H582="yes",AC582,0)</f>
        <v/>
      </c>
      <c r="AE582" s="29">
        <f>AD582*N(M582)/100</f>
        <v/>
      </c>
      <c r="AF582" s="29">
        <f>AD582*N(O582)/100</f>
        <v/>
      </c>
      <c r="AG582" s="29">
        <f>AD582*N(P582)/100</f>
        <v/>
      </c>
      <c r="AH582" s="50">
        <f>IF(Q582="yes",AD582/1000,0)</f>
        <v/>
      </c>
      <c r="AI582" s="50">
        <f>IF(S582="FG2",AH582*X582,AH582)</f>
        <v/>
      </c>
    </row>
    <row r="583">
      <c r="A583" s="7" t="inlineStr">
        <is>
          <t>HM00140</t>
        </is>
      </c>
      <c r="B583" s="16" t="inlineStr">
        <is>
          <t>8712345003319</t>
        </is>
      </c>
      <c r="C583" s="7" t="inlineStr">
        <is>
          <t>HM CHEESE ONION CRISPS 6PK 150G</t>
        </is>
      </c>
      <c r="D583" s="7" t="inlineStr">
        <is>
          <t>Cheese &amp; onion crisps, 6pk 150g</t>
        </is>
      </c>
      <c r="E583" s="7" t="inlineStr">
        <is>
          <t>Harbour Market</t>
        </is>
      </c>
      <c r="F583" s="7" t="inlineStr">
        <is>
          <t>Breakfast &amp; Snacks</t>
        </is>
      </c>
      <c r="G583" s="7" t="inlineStr">
        <is>
          <t>Crisps</t>
        </is>
      </c>
      <c r="H583" s="7" t="inlineStr">
        <is>
          <t>yes</t>
        </is>
      </c>
      <c r="I583" s="7" t="inlineStr">
        <is>
          <t>Animal &amp; plant composite</t>
        </is>
      </c>
      <c r="J583" s="7" t="inlineStr">
        <is>
          <t>Discretionary products</t>
        </is>
      </c>
      <c r="K583" s="7" t="inlineStr">
        <is>
          <t>A</t>
        </is>
      </c>
      <c r="L583" s="7" t="inlineStr">
        <is>
          <t>NEVO food table (ratio only)</t>
        </is>
      </c>
      <c r="M583" s="51" t="n">
        <v>5.8</v>
      </c>
      <c r="N583" s="7" t="inlineStr">
        <is>
          <t>Median of the family</t>
        </is>
      </c>
      <c r="O583" s="54" t="n">
        <v>5.39</v>
      </c>
      <c r="P583" s="54" t="n">
        <v>0.41</v>
      </c>
      <c r="Q583" s="7" t="inlineStr">
        <is>
          <t>yes</t>
        </is>
      </c>
      <c r="R583" s="7" t="inlineStr">
        <is>
          <t>whole</t>
        </is>
      </c>
      <c r="S583" s="7" t="inlineStr">
        <is>
          <t>FG7</t>
        </is>
      </c>
      <c r="T583" s="7" t="n"/>
      <c r="U583" s="7" t="inlineStr">
        <is>
          <t>animal</t>
        </is>
      </c>
      <c r="V583" s="7" t="n"/>
      <c r="W583" s="7" t="n"/>
      <c r="X583" s="55" t="n">
        <v>1</v>
      </c>
      <c r="Y583" s="50" t="n">
        <v>0.15</v>
      </c>
      <c r="Z583" s="7" t="inlineStr">
        <is>
          <t>declared</t>
        </is>
      </c>
      <c r="AA583" s="19">
        <f>IF(ISBLANK(Welcome!D609),"",Welcome!D609)</f>
        <v/>
      </c>
      <c r="AB583" s="29">
        <f>IF(ISBLANK(Welcome!E609),"",Welcome!E609)</f>
        <v/>
      </c>
      <c r="AC583" s="29">
        <f>IF(N(AB583)&gt;0,N(AB583),N(AA583)*Y583)</f>
        <v/>
      </c>
      <c r="AD583" s="29">
        <f>IF(H583="yes",AC583,0)</f>
        <v/>
      </c>
      <c r="AE583" s="29">
        <f>AD583*N(M583)/100</f>
        <v/>
      </c>
      <c r="AF583" s="29">
        <f>AD583*N(O583)/100</f>
        <v/>
      </c>
      <c r="AG583" s="29">
        <f>AD583*N(P583)/100</f>
        <v/>
      </c>
      <c r="AH583" s="50">
        <f>IF(Q583="yes",AD583/1000,0)</f>
        <v/>
      </c>
      <c r="AI583" s="50">
        <f>IF(S583="FG2",AH583*X583,AH583)</f>
        <v/>
      </c>
    </row>
    <row r="584">
      <c r="A584" s="7" t="inlineStr">
        <is>
          <t>HM00193</t>
        </is>
      </c>
      <c r="B584" s="16" t="inlineStr">
        <is>
          <t>5012345667348</t>
        </is>
      </c>
      <c r="C584" s="7" t="inlineStr">
        <is>
          <t>HM BRIOCHE ROLLS 8PK 280G</t>
        </is>
      </c>
      <c r="D584" s="7" t="inlineStr">
        <is>
          <t>Brioche rolls, 8pk 280g</t>
        </is>
      </c>
      <c r="E584" s="7" t="inlineStr">
        <is>
          <t>Harbour Market</t>
        </is>
      </c>
      <c r="F584" s="7" t="inlineStr">
        <is>
          <t>Bakery</t>
        </is>
      </c>
      <c r="G584" s="7" t="inlineStr">
        <is>
          <t>Pastries</t>
        </is>
      </c>
      <c r="H584" s="7" t="inlineStr">
        <is>
          <t>yes</t>
        </is>
      </c>
      <c r="I584" s="7" t="inlineStr">
        <is>
          <t>Animal &amp; plant composite</t>
        </is>
      </c>
      <c r="J584" s="7" t="inlineStr">
        <is>
          <t>Discretionary products</t>
        </is>
      </c>
      <c r="K584" s="7" t="inlineStr">
        <is>
          <t>A</t>
        </is>
      </c>
      <c r="L584" s="7" t="inlineStr">
        <is>
          <t>NEVO food table (ratio only)</t>
        </is>
      </c>
      <c r="M584" s="51" t="n">
        <v>7.6</v>
      </c>
      <c r="N584" s="7" t="inlineStr">
        <is>
          <t>Open Food Facts and NEVO, by EAN</t>
        </is>
      </c>
      <c r="O584" s="54" t="n">
        <v>4.18</v>
      </c>
      <c r="P584" s="54" t="n">
        <v>3.42</v>
      </c>
      <c r="Q584" s="7" t="inlineStr">
        <is>
          <t>yes</t>
        </is>
      </c>
      <c r="R584" s="7" t="inlineStr">
        <is>
          <t>whole</t>
        </is>
      </c>
      <c r="S584" s="7" t="inlineStr">
        <is>
          <t>FG7</t>
        </is>
      </c>
      <c r="T584" s="7" t="n"/>
      <c r="U584" s="7" t="inlineStr">
        <is>
          <t>plant</t>
        </is>
      </c>
      <c r="V584" s="7" t="n"/>
      <c r="W584" s="7" t="n"/>
      <c r="X584" s="55" t="n">
        <v>1</v>
      </c>
      <c r="Y584" s="50" t="n">
        <v>0.28</v>
      </c>
      <c r="Z584" s="7" t="inlineStr">
        <is>
          <t>declared</t>
        </is>
      </c>
      <c r="AA584" s="19">
        <f>IF(ISBLANK(Welcome!D610),"",Welcome!D610)</f>
        <v/>
      </c>
      <c r="AB584" s="29">
        <f>IF(ISBLANK(Welcome!E610),"",Welcome!E610)</f>
        <v/>
      </c>
      <c r="AC584" s="29">
        <f>IF(N(AB584)&gt;0,N(AB584),N(AA584)*Y584)</f>
        <v/>
      </c>
      <c r="AD584" s="29">
        <f>IF(H584="yes",AC584,0)</f>
        <v/>
      </c>
      <c r="AE584" s="29">
        <f>AD584*N(M584)/100</f>
        <v/>
      </c>
      <c r="AF584" s="29">
        <f>AD584*N(O584)/100</f>
        <v/>
      </c>
      <c r="AG584" s="29">
        <f>AD584*N(P584)/100</f>
        <v/>
      </c>
      <c r="AH584" s="50">
        <f>IF(Q584="yes",AD584/1000,0)</f>
        <v/>
      </c>
      <c r="AI584" s="50">
        <f>IF(S584="FG2",AH584*X584,AH584)</f>
        <v/>
      </c>
    </row>
    <row r="585">
      <c r="A585" s="7" t="inlineStr">
        <is>
          <t>HM00454</t>
        </is>
      </c>
      <c r="B585" s="16" t="inlineStr">
        <is>
          <t>3012345845908</t>
        </is>
      </c>
      <c r="C585" s="7" t="inlineStr">
        <is>
          <t>HM MOZZARELLA 250G</t>
        </is>
      </c>
      <c r="D585" s="7" t="inlineStr">
        <is>
          <t>Mozzarella, 250g</t>
        </is>
      </c>
      <c r="E585" s="7" t="inlineStr">
        <is>
          <t>Harbour Market</t>
        </is>
      </c>
      <c r="F585" s="7" t="inlineStr">
        <is>
          <t>Cheese</t>
        </is>
      </c>
      <c r="G585" s="7" t="inlineStr">
        <is>
          <t>Soft Cheese</t>
        </is>
      </c>
      <c r="H585" s="7" t="inlineStr">
        <is>
          <t>yes</t>
        </is>
      </c>
      <c r="I585" s="7" t="inlineStr">
        <is>
          <t>Animal core</t>
        </is>
      </c>
      <c r="J585" s="7" t="inlineStr">
        <is>
          <t>Cheese</t>
        </is>
      </c>
      <c r="K585" s="7" t="inlineStr">
        <is>
          <t>A</t>
        </is>
      </c>
      <c r="L585" s="7" t="inlineStr">
        <is>
          <t>All ingredients on one side</t>
        </is>
      </c>
      <c r="M585" s="51" t="n">
        <v>18.1</v>
      </c>
      <c r="N585" s="7" t="inlineStr">
        <is>
          <t>Declared by the retailer</t>
        </is>
      </c>
      <c r="O585" s="54" t="n">
        <v>0</v>
      </c>
      <c r="P585" s="54" t="n">
        <v>18.1</v>
      </c>
      <c r="Q585" s="7" t="inlineStr">
        <is>
          <t>yes</t>
        </is>
      </c>
      <c r="R585" s="7" t="inlineStr">
        <is>
          <t>whole</t>
        </is>
      </c>
      <c r="S585" s="7" t="inlineStr">
        <is>
          <t>FG2</t>
        </is>
      </c>
      <c r="T585" s="7" t="inlineStr">
        <is>
          <t>Dairy</t>
        </is>
      </c>
      <c r="U585" s="7" t="inlineStr">
        <is>
          <t>animal</t>
        </is>
      </c>
      <c r="V585" s="7" t="n"/>
      <c r="W585" s="7" t="n"/>
      <c r="X585" s="55" t="n">
        <v>10</v>
      </c>
      <c r="Y585" s="50" t="n">
        <v>0.25</v>
      </c>
      <c r="Z585" s="7" t="inlineStr">
        <is>
          <t>declared</t>
        </is>
      </c>
      <c r="AA585" s="19">
        <f>IF(ISBLANK(Welcome!D611),"",Welcome!D611)</f>
        <v/>
      </c>
      <c r="AB585" s="29">
        <f>IF(ISBLANK(Welcome!E611),"",Welcome!E611)</f>
        <v/>
      </c>
      <c r="AC585" s="29">
        <f>IF(N(AB585)&gt;0,N(AB585),N(AA585)*Y585)</f>
        <v/>
      </c>
      <c r="AD585" s="29">
        <f>IF(H585="yes",AC585,0)</f>
        <v/>
      </c>
      <c r="AE585" s="29">
        <f>AD585*N(M585)/100</f>
        <v/>
      </c>
      <c r="AF585" s="29">
        <f>AD585*N(O585)/100</f>
        <v/>
      </c>
      <c r="AG585" s="29">
        <f>AD585*N(P585)/100</f>
        <v/>
      </c>
      <c r="AH585" s="50">
        <f>IF(Q585="yes",AD585/1000,0)</f>
        <v/>
      </c>
      <c r="AI585" s="50">
        <f>IF(S585="FG2",AH585*X585,AH585)</f>
        <v/>
      </c>
    </row>
    <row r="586">
      <c r="A586" s="7" t="inlineStr">
        <is>
          <t>HM00669</t>
        </is>
      </c>
      <c r="B586" s="16" t="inlineStr">
        <is>
          <t>5012345672236</t>
        </is>
      </c>
      <c r="C586" s="7" t="inlineStr">
        <is>
          <t>HM PAIN AU CHOCOLAT 6PK 270G</t>
        </is>
      </c>
      <c r="D586" s="7" t="inlineStr">
        <is>
          <t>Pains au chocolat, 6pk 270g</t>
        </is>
      </c>
      <c r="E586" s="7" t="inlineStr">
        <is>
          <t>Harbour Market</t>
        </is>
      </c>
      <c r="F586" s="7" t="inlineStr">
        <is>
          <t>Bakery</t>
        </is>
      </c>
      <c r="G586" s="7" t="inlineStr">
        <is>
          <t>Pastries</t>
        </is>
      </c>
      <c r="H586" s="7" t="inlineStr">
        <is>
          <t>yes</t>
        </is>
      </c>
      <c r="I586" s="7" t="inlineStr">
        <is>
          <t>Animal &amp; plant composite</t>
        </is>
      </c>
      <c r="J586" s="7" t="inlineStr">
        <is>
          <t>Discretionary products</t>
        </is>
      </c>
      <c r="K586" s="7" t="inlineStr">
        <is>
          <t>A</t>
        </is>
      </c>
      <c r="L586" s="7" t="inlineStr">
        <is>
          <t>NEVO food table (ratio only)</t>
        </is>
      </c>
      <c r="M586" s="51" t="n">
        <v>8.1</v>
      </c>
      <c r="N586" s="7" t="inlineStr">
        <is>
          <t>Declared by the retailer</t>
        </is>
      </c>
      <c r="O586" s="54" t="n">
        <v>5.83</v>
      </c>
      <c r="P586" s="54" t="n">
        <v>2.27</v>
      </c>
      <c r="Q586" s="7" t="inlineStr">
        <is>
          <t>yes</t>
        </is>
      </c>
      <c r="R586" s="7" t="inlineStr">
        <is>
          <t>whole</t>
        </is>
      </c>
      <c r="S586" s="7" t="inlineStr">
        <is>
          <t>FG7</t>
        </is>
      </c>
      <c r="T586" s="7" t="n"/>
      <c r="U586" s="7" t="inlineStr">
        <is>
          <t>plant</t>
        </is>
      </c>
      <c r="V586" s="7" t="n"/>
      <c r="W586" s="7" t="n"/>
      <c r="X586" s="55" t="n">
        <v>1</v>
      </c>
      <c r="Y586" s="50" t="n">
        <v>0.27</v>
      </c>
      <c r="Z586" s="7" t="inlineStr">
        <is>
          <t>declared</t>
        </is>
      </c>
      <c r="AA586" s="19">
        <f>IF(ISBLANK(Welcome!D612),"",Welcome!D612)</f>
        <v/>
      </c>
      <c r="AB586" s="29">
        <f>IF(ISBLANK(Welcome!E612),"",Welcome!E612)</f>
        <v/>
      </c>
      <c r="AC586" s="29">
        <f>IF(N(AB586)&gt;0,N(AB586),N(AA586)*Y586)</f>
        <v/>
      </c>
      <c r="AD586" s="29">
        <f>IF(H586="yes",AC586,0)</f>
        <v/>
      </c>
      <c r="AE586" s="29">
        <f>AD586*N(M586)/100</f>
        <v/>
      </c>
      <c r="AF586" s="29">
        <f>AD586*N(O586)/100</f>
        <v/>
      </c>
      <c r="AG586" s="29">
        <f>AD586*N(P586)/100</f>
        <v/>
      </c>
      <c r="AH586" s="50">
        <f>IF(Q586="yes",AD586/1000,0)</f>
        <v/>
      </c>
      <c r="AI586" s="50">
        <f>IF(S586="FG2",AH586*X586,AH586)</f>
        <v/>
      </c>
    </row>
    <row r="587">
      <c r="A587" s="7" t="inlineStr">
        <is>
          <t>HM00483</t>
        </is>
      </c>
      <c r="B587" s="16" t="inlineStr">
        <is>
          <t>3012345600378</t>
        </is>
      </c>
      <c r="C587" s="7" t="inlineStr">
        <is>
          <t>HM LEEKS EACH</t>
        </is>
      </c>
      <c r="D587" s="7" t="inlineStr">
        <is>
          <t>Leeks</t>
        </is>
      </c>
      <c r="E587" s="7" t="inlineStr">
        <is>
          <t>Harbour Market</t>
        </is>
      </c>
      <c r="F587" s="7" t="inlineStr">
        <is>
          <t>Fruit &amp; Vegetables</t>
        </is>
      </c>
      <c r="G587" s="7" t="inlineStr">
        <is>
          <t>Vegetables</t>
        </is>
      </c>
      <c r="H587" s="7" t="inlineStr">
        <is>
          <t>yes</t>
        </is>
      </c>
      <c r="I587" s="7" t="inlineStr">
        <is>
          <t>Plant-based non-core</t>
        </is>
      </c>
      <c r="J587" s="7" t="inlineStr">
        <is>
          <t>Fruit and vegetables</t>
        </is>
      </c>
      <c r="K587" s="7" t="inlineStr">
        <is>
          <t>B</t>
        </is>
      </c>
      <c r="L587" s="7" t="inlineStr">
        <is>
          <t>Follows the class</t>
        </is>
      </c>
      <c r="M587" s="51" t="n">
        <v>1.4</v>
      </c>
      <c r="N587" s="7" t="inlineStr">
        <is>
          <t>Declared by the retailer</t>
        </is>
      </c>
      <c r="O587" s="54" t="n">
        <v>1.4</v>
      </c>
      <c r="P587" s="54" t="n">
        <v>0</v>
      </c>
      <c r="Q587" s="7" t="inlineStr">
        <is>
          <t>yes</t>
        </is>
      </c>
      <c r="R587" s="7" t="inlineStr">
        <is>
          <t>whole</t>
        </is>
      </c>
      <c r="S587" s="7" t="inlineStr">
        <is>
          <t>FG4</t>
        </is>
      </c>
      <c r="T587" s="7" t="n"/>
      <c r="U587" s="7" t="inlineStr">
        <is>
          <t>plant</t>
        </is>
      </c>
      <c r="V587" s="7" t="n"/>
      <c r="W587" s="7" t="n"/>
      <c r="X587" s="55" t="n">
        <v>1</v>
      </c>
      <c r="Y587" s="50" t="n">
        <v>0.3</v>
      </c>
      <c r="Z587" s="7" t="inlineStr">
        <is>
          <t>typical_piece</t>
        </is>
      </c>
      <c r="AA587" s="19">
        <f>IF(ISBLANK(Welcome!D613),"",Welcome!D613)</f>
        <v/>
      </c>
      <c r="AB587" s="29">
        <f>IF(ISBLANK(Welcome!E613),"",Welcome!E613)</f>
        <v/>
      </c>
      <c r="AC587" s="29">
        <f>IF(N(AB587)&gt;0,N(AB587),N(AA587)*Y587)</f>
        <v/>
      </c>
      <c r="AD587" s="29">
        <f>IF(H587="yes",AC587,0)</f>
        <v/>
      </c>
      <c r="AE587" s="29">
        <f>AD587*N(M587)/100</f>
        <v/>
      </c>
      <c r="AF587" s="29">
        <f>AD587*N(O587)/100</f>
        <v/>
      </c>
      <c r="AG587" s="29">
        <f>AD587*N(P587)/100</f>
        <v/>
      </c>
      <c r="AH587" s="50">
        <f>IF(Q587="yes",AD587/1000,0)</f>
        <v/>
      </c>
      <c r="AI587" s="50">
        <f>IF(S587="FG2",AH587*X587,AH587)</f>
        <v/>
      </c>
    </row>
    <row r="588">
      <c r="A588" s="7" t="inlineStr">
        <is>
          <t>HM00558</t>
        </is>
      </c>
      <c r="B588" s="16" t="inlineStr">
        <is>
          <t>4012345286496</t>
        </is>
      </c>
      <c r="C588" s="7" t="inlineStr">
        <is>
          <t>HM CHEESE ONION QUICHE 2X400G</t>
        </is>
      </c>
      <c r="D588" s="7" t="inlineStr">
        <is>
          <t>Cheese &amp; onion quiche, 2x400g</t>
        </is>
      </c>
      <c r="E588" s="7" t="inlineStr">
        <is>
          <t>Harbour Market</t>
        </is>
      </c>
      <c r="F588" s="7" t="inlineStr">
        <is>
          <t>Ready Meals</t>
        </is>
      </c>
      <c r="G588" s="7" t="inlineStr">
        <is>
          <t>Ready Meals</t>
        </is>
      </c>
      <c r="H588" s="7" t="inlineStr">
        <is>
          <t>yes</t>
        </is>
      </c>
      <c r="I588" s="7" t="inlineStr">
        <is>
          <t>Animal &amp; plant composite</t>
        </is>
      </c>
      <c r="J588" s="7" t="inlineStr">
        <is>
          <t>Vegetarian dishes</t>
        </is>
      </c>
      <c r="K588" s="7" t="inlineStr">
        <is>
          <t>B</t>
        </is>
      </c>
      <c r="L588" s="7" t="inlineStr">
        <is>
          <t>50/50 convention</t>
        </is>
      </c>
      <c r="M588" s="51" t="n">
        <v>7.8</v>
      </c>
      <c r="N588" s="7" t="inlineStr">
        <is>
          <t>Declared by the retailer</t>
        </is>
      </c>
      <c r="O588" s="54" t="n">
        <v>3.9</v>
      </c>
      <c r="P588" s="54" t="n">
        <v>3.9</v>
      </c>
      <c r="Q588" s="7" t="inlineStr">
        <is>
          <t>yes</t>
        </is>
      </c>
      <c r="R588" s="7" t="inlineStr">
        <is>
          <t>composite</t>
        </is>
      </c>
      <c r="S588" s="7" t="n"/>
      <c r="T588" s="7" t="n"/>
      <c r="U588" s="7" t="n"/>
      <c r="V588" s="7" t="inlineStr">
        <is>
          <t>vegetarian</t>
        </is>
      </c>
      <c r="W588" s="7" t="n"/>
      <c r="X588" s="55" t="n">
        <v>1</v>
      </c>
      <c r="Y588" s="50" t="n">
        <v>0.8</v>
      </c>
      <c r="Z588" s="7" t="inlineStr">
        <is>
          <t>declared</t>
        </is>
      </c>
      <c r="AA588" s="19">
        <f>IF(ISBLANK(Welcome!D614),"",Welcome!D614)</f>
        <v/>
      </c>
      <c r="AB588" s="29">
        <f>IF(ISBLANK(Welcome!E614),"",Welcome!E614)</f>
        <v/>
      </c>
      <c r="AC588" s="29">
        <f>IF(N(AB588)&gt;0,N(AB588),N(AA588)*Y588)</f>
        <v/>
      </c>
      <c r="AD588" s="29">
        <f>IF(H588="yes",AC588,0)</f>
        <v/>
      </c>
      <c r="AE588" s="29">
        <f>AD588*N(M588)/100</f>
        <v/>
      </c>
      <c r="AF588" s="29">
        <f>AD588*N(O588)/100</f>
        <v/>
      </c>
      <c r="AG588" s="29">
        <f>AD588*N(P588)/100</f>
        <v/>
      </c>
      <c r="AH588" s="50">
        <f>IF(Q588="yes",AD588/1000,0)</f>
        <v/>
      </c>
      <c r="AI588" s="50">
        <f>IF(S588="FG2",AH588*X588,AH588)</f>
        <v/>
      </c>
    </row>
    <row r="589">
      <c r="A589" s="7" t="inlineStr">
        <is>
          <t>HM00617</t>
        </is>
      </c>
      <c r="B589" s="16" t="inlineStr">
        <is>
          <t>3012345412360</t>
        </is>
      </c>
      <c r="C589" s="7" t="inlineStr">
        <is>
          <t>EXTRA VIRGIN OLIVE OIL 500ML CASTELNA</t>
        </is>
      </c>
      <c r="D589" s="7" t="inlineStr">
        <is>
          <t>Extra virgin olive oil, 500ml</t>
        </is>
      </c>
      <c r="E589" s="7" t="inlineStr">
        <is>
          <t>Castelna</t>
        </is>
      </c>
      <c r="F589" s="7" t="inlineStr">
        <is>
          <t>Grocery</t>
        </is>
      </c>
      <c r="G589" s="7" t="inlineStr">
        <is>
          <t>Oils</t>
        </is>
      </c>
      <c r="H589" s="7" t="inlineStr">
        <is>
          <t>yes</t>
        </is>
      </c>
      <c r="I589" s="7" t="inlineStr">
        <is>
          <t>Plant-based non-core</t>
        </is>
      </c>
      <c r="J589" s="7" t="inlineStr">
        <is>
          <t>Other</t>
        </is>
      </c>
      <c r="K589" s="7" t="inlineStr">
        <is>
          <t>B</t>
        </is>
      </c>
      <c r="L589" s="7" t="inlineStr">
        <is>
          <t>Follows the class</t>
        </is>
      </c>
      <c r="M589" s="51" t="n">
        <v>0</v>
      </c>
      <c r="N589" s="7" t="inlineStr">
        <is>
          <t>Declared by the retailer</t>
        </is>
      </c>
      <c r="O589" s="54" t="n">
        <v>0</v>
      </c>
      <c r="P589" s="54" t="n">
        <v>0</v>
      </c>
      <c r="Q589" s="7" t="inlineStr">
        <is>
          <t>yes</t>
        </is>
      </c>
      <c r="R589" s="7" t="inlineStr">
        <is>
          <t>whole</t>
        </is>
      </c>
      <c r="S589" s="7" t="inlineStr">
        <is>
          <t>FG3</t>
        </is>
      </c>
      <c r="T589" s="7" t="inlineStr">
        <is>
          <t>Plant-based fat</t>
        </is>
      </c>
      <c r="U589" s="7" t="inlineStr">
        <is>
          <t>plant</t>
        </is>
      </c>
      <c r="V589" s="7" t="n"/>
      <c r="W589" s="7" t="n"/>
      <c r="X589" s="55" t="n">
        <v>1</v>
      </c>
      <c r="Y589" s="50" t="n">
        <v>0.46</v>
      </c>
      <c r="Z589" s="7" t="inlineStr">
        <is>
          <t>declared</t>
        </is>
      </c>
      <c r="AA589" s="19">
        <f>IF(ISBLANK(Welcome!D615),"",Welcome!D615)</f>
        <v/>
      </c>
      <c r="AB589" s="29">
        <f>IF(ISBLANK(Welcome!E615),"",Welcome!E615)</f>
        <v/>
      </c>
      <c r="AC589" s="29">
        <f>IF(N(AB589)&gt;0,N(AB589),N(AA589)*Y589)</f>
        <v/>
      </c>
      <c r="AD589" s="29">
        <f>IF(H589="yes",AC589,0)</f>
        <v/>
      </c>
      <c r="AE589" s="29">
        <f>AD589*N(M589)/100</f>
        <v/>
      </c>
      <c r="AF589" s="29">
        <f>AD589*N(O589)/100</f>
        <v/>
      </c>
      <c r="AG589" s="29">
        <f>AD589*N(P589)/100</f>
        <v/>
      </c>
      <c r="AH589" s="50">
        <f>IF(Q589="yes",AD589/1000,0)</f>
        <v/>
      </c>
      <c r="AI589" s="50">
        <f>IF(S589="FG2",AH589*X589,AH589)</f>
        <v/>
      </c>
    </row>
    <row r="590">
      <c r="A590" s="7" t="inlineStr">
        <is>
          <t>HM00748</t>
        </is>
      </c>
      <c r="B590" s="16" t="inlineStr">
        <is>
          <t>4012345597295</t>
        </is>
      </c>
      <c r="C590" s="7" t="inlineStr">
        <is>
          <t>HM AVOCADO RIPE EACH</t>
        </is>
      </c>
      <c r="D590" s="7" t="inlineStr">
        <is>
          <t>Ripe avocado</t>
        </is>
      </c>
      <c r="E590" s="7" t="inlineStr">
        <is>
          <t>Harbour Market</t>
        </is>
      </c>
      <c r="F590" s="7" t="inlineStr">
        <is>
          <t>Fruit &amp; Vegetables</t>
        </is>
      </c>
      <c r="G590" s="7" t="inlineStr">
        <is>
          <t>Exotic Fruit</t>
        </is>
      </c>
      <c r="H590" s="7" t="inlineStr">
        <is>
          <t>yes</t>
        </is>
      </c>
      <c r="I590" s="7" t="inlineStr">
        <is>
          <t>Plant-based non-core</t>
        </is>
      </c>
      <c r="J590" s="7" t="inlineStr">
        <is>
          <t>Fruit and vegetables</t>
        </is>
      </c>
      <c r="K590" s="7" t="inlineStr">
        <is>
          <t>B</t>
        </is>
      </c>
      <c r="L590" s="7" t="inlineStr">
        <is>
          <t>Follows the class</t>
        </is>
      </c>
      <c r="M590" s="51" t="n">
        <v>1.9</v>
      </c>
      <c r="N590" s="7" t="inlineStr">
        <is>
          <t>Declared by the retailer</t>
        </is>
      </c>
      <c r="O590" s="54" t="n">
        <v>1.9</v>
      </c>
      <c r="P590" s="54" t="n">
        <v>0</v>
      </c>
      <c r="Q590" s="7" t="inlineStr">
        <is>
          <t>yes</t>
        </is>
      </c>
      <c r="R590" s="7" t="inlineStr">
        <is>
          <t>whole</t>
        </is>
      </c>
      <c r="S590" s="7" t="inlineStr">
        <is>
          <t>FG4</t>
        </is>
      </c>
      <c r="T590" s="7" t="n"/>
      <c r="U590" s="7" t="inlineStr">
        <is>
          <t>plant</t>
        </is>
      </c>
      <c r="V590" s="7" t="n"/>
      <c r="W590" s="7" t="n"/>
      <c r="X590" s="55" t="n">
        <v>1</v>
      </c>
      <c r="Y590" s="50" t="n">
        <v>0.2</v>
      </c>
      <c r="Z590" s="7" t="inlineStr">
        <is>
          <t>typical_piece</t>
        </is>
      </c>
      <c r="AA590" s="19">
        <f>IF(ISBLANK(Welcome!D616),"",Welcome!D616)</f>
        <v/>
      </c>
      <c r="AB590" s="29">
        <f>IF(ISBLANK(Welcome!E616),"",Welcome!E616)</f>
        <v/>
      </c>
      <c r="AC590" s="29">
        <f>IF(N(AB590)&gt;0,N(AB590),N(AA590)*Y590)</f>
        <v/>
      </c>
      <c r="AD590" s="29">
        <f>IF(H590="yes",AC590,0)</f>
        <v/>
      </c>
      <c r="AE590" s="29">
        <f>AD590*N(M590)/100</f>
        <v/>
      </c>
      <c r="AF590" s="29">
        <f>AD590*N(O590)/100</f>
        <v/>
      </c>
      <c r="AG590" s="29">
        <f>AD590*N(P590)/100</f>
        <v/>
      </c>
      <c r="AH590" s="50">
        <f>IF(Q590="yes",AD590/1000,0)</f>
        <v/>
      </c>
      <c r="AI590" s="50">
        <f>IF(S590="FG2",AH590*X590,AH590)</f>
        <v/>
      </c>
    </row>
    <row r="591">
      <c r="A591" s="7" t="inlineStr">
        <is>
          <t>HM00792</t>
        </is>
      </c>
      <c r="B591" s="16" t="inlineStr">
        <is>
          <t>5012345483115</t>
        </is>
      </c>
      <c r="C591" s="7" t="inlineStr">
        <is>
          <t>HM CHEESE PICKLE SANDWICH 170G</t>
        </is>
      </c>
      <c r="D591" s="7" t="inlineStr">
        <is>
          <t>Cheese &amp; pickle sandwich, 170g</t>
        </is>
      </c>
      <c r="E591" s="7" t="inlineStr">
        <is>
          <t>Harbour Market</t>
        </is>
      </c>
      <c r="F591" s="7" t="inlineStr">
        <is>
          <t>Ready Meals</t>
        </is>
      </c>
      <c r="G591" s="7" t="inlineStr">
        <is>
          <t>Sandwiches</t>
        </is>
      </c>
      <c r="H591" s="7" t="inlineStr">
        <is>
          <t>yes</t>
        </is>
      </c>
      <c r="I591" s="7" t="inlineStr">
        <is>
          <t>Animal &amp; plant composite</t>
        </is>
      </c>
      <c r="J591" s="7" t="inlineStr">
        <is>
          <t>Vegetarian dishes</t>
        </is>
      </c>
      <c r="K591" s="7" t="inlineStr">
        <is>
          <t>B</t>
        </is>
      </c>
      <c r="L591" s="7" t="inlineStr">
        <is>
          <t>50/50 convention</t>
        </is>
      </c>
      <c r="M591" s="51" t="n">
        <v>11.6</v>
      </c>
      <c r="N591" s="7" t="inlineStr">
        <is>
          <t>Declared by the retailer</t>
        </is>
      </c>
      <c r="O591" s="54" t="n">
        <v>5.8</v>
      </c>
      <c r="P591" s="54" t="n">
        <v>5.8</v>
      </c>
      <c r="Q591" s="7" t="inlineStr">
        <is>
          <t>yes</t>
        </is>
      </c>
      <c r="R591" s="7" t="inlineStr">
        <is>
          <t>composite</t>
        </is>
      </c>
      <c r="S591" s="7" t="n"/>
      <c r="T591" s="7" t="n"/>
      <c r="U591" s="7" t="n"/>
      <c r="V591" s="7" t="inlineStr">
        <is>
          <t>vegetarian</t>
        </is>
      </c>
      <c r="W591" s="7" t="n"/>
      <c r="X591" s="55" t="n">
        <v>1</v>
      </c>
      <c r="Y591" s="50" t="n">
        <v>0.17</v>
      </c>
      <c r="Z591" s="7" t="inlineStr">
        <is>
          <t>declared</t>
        </is>
      </c>
      <c r="AA591" s="19">
        <f>IF(ISBLANK(Welcome!D617),"",Welcome!D617)</f>
        <v/>
      </c>
      <c r="AB591" s="29">
        <f>IF(ISBLANK(Welcome!E617),"",Welcome!E617)</f>
        <v/>
      </c>
      <c r="AC591" s="29">
        <f>IF(N(AB591)&gt;0,N(AB591),N(AA591)*Y591)</f>
        <v/>
      </c>
      <c r="AD591" s="29">
        <f>IF(H591="yes",AC591,0)</f>
        <v/>
      </c>
      <c r="AE591" s="29">
        <f>AD591*N(M591)/100</f>
        <v/>
      </c>
      <c r="AF591" s="29">
        <f>AD591*N(O591)/100</f>
        <v/>
      </c>
      <c r="AG591" s="29">
        <f>AD591*N(P591)/100</f>
        <v/>
      </c>
      <c r="AH591" s="50">
        <f>IF(Q591="yes",AD591/1000,0)</f>
        <v/>
      </c>
      <c r="AI591" s="50">
        <f>IF(S591="FG2",AH591*X591,AH591)</f>
        <v/>
      </c>
    </row>
    <row r="592">
      <c r="A592" s="7" t="inlineStr">
        <is>
          <t>HM00348</t>
        </is>
      </c>
      <c r="B592" s="16" t="inlineStr">
        <is>
          <t>3012345455800</t>
        </is>
      </c>
      <c r="C592" s="7" t="inlineStr">
        <is>
          <t>NUT CHOC BARS 4X30G PENROCK</t>
        </is>
      </c>
      <c r="D592" s="7" t="inlineStr">
        <is>
          <t>Nut &amp; dark chocolate bars, 4x30g</t>
        </is>
      </c>
      <c r="E592" s="7" t="inlineStr">
        <is>
          <t>Penrock</t>
        </is>
      </c>
      <c r="F592" s="7" t="inlineStr">
        <is>
          <t>Breakfast &amp; Snacks</t>
        </is>
      </c>
      <c r="G592" s="7" t="inlineStr">
        <is>
          <t>Cereal Bars</t>
        </is>
      </c>
      <c r="H592" s="7" t="inlineStr">
        <is>
          <t>yes</t>
        </is>
      </c>
      <c r="I592" s="7" t="inlineStr">
        <is>
          <t>Plant-based non-core</t>
        </is>
      </c>
      <c r="J592" s="7" t="inlineStr">
        <is>
          <t>Discretionary products</t>
        </is>
      </c>
      <c r="K592" s="7" t="inlineStr">
        <is>
          <t>A</t>
        </is>
      </c>
      <c r="L592" s="7" t="inlineStr">
        <is>
          <t>All ingredients on one side</t>
        </is>
      </c>
      <c r="M592" s="51" t="n">
        <v>6.2</v>
      </c>
      <c r="N592" s="7" t="inlineStr">
        <is>
          <t>Declared by the retailer</t>
        </is>
      </c>
      <c r="O592" s="54" t="n">
        <v>6.2</v>
      </c>
      <c r="P592" s="54" t="n">
        <v>0</v>
      </c>
      <c r="Q592" s="7" t="inlineStr">
        <is>
          <t>yes</t>
        </is>
      </c>
      <c r="R592" s="7" t="inlineStr">
        <is>
          <t>whole</t>
        </is>
      </c>
      <c r="S592" s="7" t="inlineStr">
        <is>
          <t>FG7</t>
        </is>
      </c>
      <c r="T592" s="7" t="n"/>
      <c r="U592" s="7" t="inlineStr">
        <is>
          <t>plant</t>
        </is>
      </c>
      <c r="V592" s="7" t="n"/>
      <c r="W592" s="7" t="n"/>
      <c r="X592" s="55" t="n">
        <v>1</v>
      </c>
      <c r="Y592" s="50" t="n">
        <v>0.12</v>
      </c>
      <c r="Z592" s="7" t="inlineStr">
        <is>
          <t>declared</t>
        </is>
      </c>
      <c r="AA592" s="19">
        <f>IF(ISBLANK(Welcome!D618),"",Welcome!D618)</f>
        <v/>
      </c>
      <c r="AB592" s="29">
        <f>IF(ISBLANK(Welcome!E618),"",Welcome!E618)</f>
        <v/>
      </c>
      <c r="AC592" s="29">
        <f>IF(N(AB592)&gt;0,N(AB592),N(AA592)*Y592)</f>
        <v/>
      </c>
      <c r="AD592" s="29">
        <f>IF(H592="yes",AC592,0)</f>
        <v/>
      </c>
      <c r="AE592" s="29">
        <f>AD592*N(M592)/100</f>
        <v/>
      </c>
      <c r="AF592" s="29">
        <f>AD592*N(O592)/100</f>
        <v/>
      </c>
      <c r="AG592" s="29">
        <f>AD592*N(P592)/100</f>
        <v/>
      </c>
      <c r="AH592" s="50">
        <f>IF(Q592="yes",AD592/1000,0)</f>
        <v/>
      </c>
      <c r="AI592" s="50">
        <f>IF(S592="FG2",AH592*X592,AH592)</f>
        <v/>
      </c>
    </row>
    <row r="593">
      <c r="A593" s="7" t="inlineStr">
        <is>
          <t>HM00300</t>
        </is>
      </c>
      <c r="B593" s="16" t="inlineStr">
        <is>
          <t>8712345180218</t>
        </is>
      </c>
      <c r="C593" s="7" t="inlineStr">
        <is>
          <t>HM SKYR STRAWB 4X125G</t>
        </is>
      </c>
      <c r="D593" s="7" t="inlineStr">
        <is>
          <t>Strawberry skyr, 4x125g</t>
        </is>
      </c>
      <c r="E593" s="7" t="inlineStr">
        <is>
          <t>Harbour Market</t>
        </is>
      </c>
      <c r="F593" s="7" t="inlineStr">
        <is>
          <t>Dairy &amp; Eggs</t>
        </is>
      </c>
      <c r="G593" s="7" t="inlineStr">
        <is>
          <t>Yoghurt</t>
        </is>
      </c>
      <c r="H593" s="7" t="inlineStr">
        <is>
          <t>yes</t>
        </is>
      </c>
      <c r="I593" s="7" t="inlineStr">
        <is>
          <t>Animal core</t>
        </is>
      </c>
      <c r="J593" s="7" t="inlineStr">
        <is>
          <t>Milk, yoghurt and cream</t>
        </is>
      </c>
      <c r="K593" s="7" t="inlineStr">
        <is>
          <t>B</t>
        </is>
      </c>
      <c r="L593" s="7" t="inlineStr">
        <is>
          <t>First ingredient</t>
        </is>
      </c>
      <c r="M593" s="51" t="n">
        <v>10</v>
      </c>
      <c r="N593" s="7" t="inlineStr">
        <is>
          <t>Median of the family</t>
        </is>
      </c>
      <c r="O593" s="54" t="n">
        <v>0</v>
      </c>
      <c r="P593" s="54" t="n">
        <v>10</v>
      </c>
      <c r="Q593" s="7" t="inlineStr">
        <is>
          <t>yes</t>
        </is>
      </c>
      <c r="R593" s="7" t="inlineStr">
        <is>
          <t>whole</t>
        </is>
      </c>
      <c r="S593" s="7" t="inlineStr">
        <is>
          <t>FG2</t>
        </is>
      </c>
      <c r="T593" s="7" t="inlineStr">
        <is>
          <t>Dairy</t>
        </is>
      </c>
      <c r="U593" s="7" t="inlineStr">
        <is>
          <t>animal</t>
        </is>
      </c>
      <c r="V593" s="7" t="n"/>
      <c r="W593" s="7" t="n"/>
      <c r="X593" s="55" t="n">
        <v>1</v>
      </c>
      <c r="Y593" s="50" t="n">
        <v>0.5</v>
      </c>
      <c r="Z593" s="7" t="inlineStr">
        <is>
          <t>declared</t>
        </is>
      </c>
      <c r="AA593" s="19">
        <f>IF(ISBLANK(Welcome!D619),"",Welcome!D619)</f>
        <v/>
      </c>
      <c r="AB593" s="29">
        <f>IF(ISBLANK(Welcome!E619),"",Welcome!E619)</f>
        <v/>
      </c>
      <c r="AC593" s="29">
        <f>IF(N(AB593)&gt;0,N(AB593),N(AA593)*Y593)</f>
        <v/>
      </c>
      <c r="AD593" s="29">
        <f>IF(H593="yes",AC593,0)</f>
        <v/>
      </c>
      <c r="AE593" s="29">
        <f>AD593*N(M593)/100</f>
        <v/>
      </c>
      <c r="AF593" s="29">
        <f>AD593*N(O593)/100</f>
        <v/>
      </c>
      <c r="AG593" s="29">
        <f>AD593*N(P593)/100</f>
        <v/>
      </c>
      <c r="AH593" s="50">
        <f>IF(Q593="yes",AD593/1000,0)</f>
        <v/>
      </c>
      <c r="AI593" s="50">
        <f>IF(S593="FG2",AH593*X593,AH593)</f>
        <v/>
      </c>
    </row>
    <row r="594">
      <c r="A594" s="7" t="inlineStr">
        <is>
          <t>HM00334</t>
        </is>
      </c>
      <c r="B594" s="16" t="inlineStr">
        <is>
          <t>5012345231587</t>
        </is>
      </c>
      <c r="C594" s="7" t="inlineStr">
        <is>
          <t>PENROCK READY SALTED CRISPS 6PK 150G</t>
        </is>
      </c>
      <c r="D594" s="7" t="inlineStr">
        <is>
          <t>Ready salted crisps, 6pk 150g</t>
        </is>
      </c>
      <c r="E594" s="7" t="inlineStr">
        <is>
          <t>Penrock</t>
        </is>
      </c>
      <c r="F594" s="7" t="inlineStr">
        <is>
          <t>Breakfast &amp; Snacks</t>
        </is>
      </c>
      <c r="G594" s="7" t="inlineStr">
        <is>
          <t>Crisps</t>
        </is>
      </c>
      <c r="H594" s="7" t="inlineStr">
        <is>
          <t>yes</t>
        </is>
      </c>
      <c r="I594" s="7" t="inlineStr">
        <is>
          <t>Plant-based non-core</t>
        </is>
      </c>
      <c r="J594" s="7" t="inlineStr">
        <is>
          <t>Discretionary products</t>
        </is>
      </c>
      <c r="K594" s="7" t="inlineStr">
        <is>
          <t>B</t>
        </is>
      </c>
      <c r="L594" s="7" t="inlineStr">
        <is>
          <t>Follows the class</t>
        </is>
      </c>
      <c r="M594" s="51" t="n">
        <v>5.7</v>
      </c>
      <c r="N594" s="7" t="inlineStr">
        <is>
          <t>National food table (CIQUAL in France)</t>
        </is>
      </c>
      <c r="O594" s="54" t="n">
        <v>5.7</v>
      </c>
      <c r="P594" s="54" t="n">
        <v>0</v>
      </c>
      <c r="Q594" s="7" t="inlineStr">
        <is>
          <t>yes</t>
        </is>
      </c>
      <c r="R594" s="7" t="inlineStr">
        <is>
          <t>whole</t>
        </is>
      </c>
      <c r="S594" s="7" t="inlineStr">
        <is>
          <t>FG7</t>
        </is>
      </c>
      <c r="T594" s="7" t="n"/>
      <c r="U594" s="7" t="inlineStr">
        <is>
          <t>plant</t>
        </is>
      </c>
      <c r="V594" s="7" t="n"/>
      <c r="W594" s="7" t="n"/>
      <c r="X594" s="55" t="n">
        <v>1</v>
      </c>
      <c r="Y594" s="50" t="n">
        <v>0.15</v>
      </c>
      <c r="Z594" s="7" t="inlineStr">
        <is>
          <t>declared</t>
        </is>
      </c>
      <c r="AA594" s="19">
        <f>IF(ISBLANK(Welcome!D620),"",Welcome!D620)</f>
        <v/>
      </c>
      <c r="AB594" s="29">
        <f>IF(ISBLANK(Welcome!E620),"",Welcome!E620)</f>
        <v/>
      </c>
      <c r="AC594" s="29">
        <f>IF(N(AB594)&gt;0,N(AB594),N(AA594)*Y594)</f>
        <v/>
      </c>
      <c r="AD594" s="29">
        <f>IF(H594="yes",AC594,0)</f>
        <v/>
      </c>
      <c r="AE594" s="29">
        <f>AD594*N(M594)/100</f>
        <v/>
      </c>
      <c r="AF594" s="29">
        <f>AD594*N(O594)/100</f>
        <v/>
      </c>
      <c r="AG594" s="29">
        <f>AD594*N(P594)/100</f>
        <v/>
      </c>
      <c r="AH594" s="50">
        <f>IF(Q594="yes",AD594/1000,0)</f>
        <v/>
      </c>
      <c r="AI594" s="50">
        <f>IF(S594="FG2",AH594*X594,AH594)</f>
        <v/>
      </c>
    </row>
    <row r="595">
      <c r="A595" s="7" t="inlineStr">
        <is>
          <t>HM00329</t>
        </is>
      </c>
      <c r="B595" s="16" t="inlineStr">
        <is>
          <t>5012345612966</t>
        </is>
      </c>
      <c r="C595" s="7" t="inlineStr">
        <is>
          <t>HM TOFU FIRM 280G</t>
        </is>
      </c>
      <c r="D595" s="7" t="inlineStr">
        <is>
          <t>Firm tofu, 280g</t>
        </is>
      </c>
      <c r="E595" s="7" t="inlineStr">
        <is>
          <t>Harbour Market</t>
        </is>
      </c>
      <c r="F595" s="7" t="inlineStr">
        <is>
          <t>Plant-Based</t>
        </is>
      </c>
      <c r="G595" s="7" t="inlineStr">
        <is>
          <t>Tofu &amp; Tempeh</t>
        </is>
      </c>
      <c r="H595" s="7" t="inlineStr">
        <is>
          <t>yes</t>
        </is>
      </c>
      <c r="I595" s="7" t="inlineStr">
        <is>
          <t>Plant-based core</t>
        </is>
      </c>
      <c r="J595" s="7" t="inlineStr">
        <is>
          <t>Tofu, tempeh, seitan</t>
        </is>
      </c>
      <c r="K595" s="7" t="inlineStr">
        <is>
          <t>A</t>
        </is>
      </c>
      <c r="L595" s="7" t="inlineStr">
        <is>
          <t>All ingredients on one side</t>
        </is>
      </c>
      <c r="M595" s="51" t="n">
        <v>13.6</v>
      </c>
      <c r="N595" s="7" t="inlineStr">
        <is>
          <t>National food table (CIQUAL in France)</t>
        </is>
      </c>
      <c r="O595" s="54" t="n">
        <v>13.6</v>
      </c>
      <c r="P595" s="54" t="n">
        <v>0</v>
      </c>
      <c r="Q595" s="7" t="inlineStr">
        <is>
          <t>yes</t>
        </is>
      </c>
      <c r="R595" s="7" t="inlineStr">
        <is>
          <t>whole</t>
        </is>
      </c>
      <c r="S595" s="7" t="inlineStr">
        <is>
          <t>FG1</t>
        </is>
      </c>
      <c r="T595" s="7" t="inlineStr">
        <is>
          <t>Tofu, tempeh &amp; seitan</t>
        </is>
      </c>
      <c r="U595" s="7" t="inlineStr">
        <is>
          <t>plant</t>
        </is>
      </c>
      <c r="V595" s="7" t="n"/>
      <c r="W595" s="7" t="n"/>
      <c r="X595" s="55" t="n">
        <v>1</v>
      </c>
      <c r="Y595" s="50" t="n">
        <v>0.28</v>
      </c>
      <c r="Z595" s="7" t="inlineStr">
        <is>
          <t>label</t>
        </is>
      </c>
      <c r="AA595" s="19">
        <f>IF(ISBLANK(Welcome!D621),"",Welcome!D621)</f>
        <v/>
      </c>
      <c r="AB595" s="29">
        <f>IF(ISBLANK(Welcome!E621),"",Welcome!E621)</f>
        <v/>
      </c>
      <c r="AC595" s="29">
        <f>IF(N(AB595)&gt;0,N(AB595),N(AA595)*Y595)</f>
        <v/>
      </c>
      <c r="AD595" s="29">
        <f>IF(H595="yes",AC595,0)</f>
        <v/>
      </c>
      <c r="AE595" s="29">
        <f>AD595*N(M595)/100</f>
        <v/>
      </c>
      <c r="AF595" s="29">
        <f>AD595*N(O595)/100</f>
        <v/>
      </c>
      <c r="AG595" s="29">
        <f>AD595*N(P595)/100</f>
        <v/>
      </c>
      <c r="AH595" s="50">
        <f>IF(Q595="yes",AD595/1000,0)</f>
        <v/>
      </c>
      <c r="AI595" s="50">
        <f>IF(S595="FG2",AH595*X595,AH595)</f>
        <v/>
      </c>
    </row>
    <row r="596">
      <c r="A596" s="7" t="inlineStr">
        <is>
          <t>HM00307</t>
        </is>
      </c>
      <c r="B596" s="16" t="inlineStr">
        <is>
          <t>8712345081546</t>
        </is>
      </c>
      <c r="C596" s="7" t="inlineStr">
        <is>
          <t>HM TUNA CHUNKS BRINE 160G</t>
        </is>
      </c>
      <c r="D596" s="7" t="inlineStr">
        <is>
          <t>Tuna chunks in brine, 160g</t>
        </is>
      </c>
      <c r="E596" s="7" t="inlineStr">
        <is>
          <t>Harbour Market</t>
        </is>
      </c>
      <c r="F596" s="7" t="inlineStr">
        <is>
          <t>Fish &amp; Seafood</t>
        </is>
      </c>
      <c r="G596" s="7" t="inlineStr">
        <is>
          <t>Canned Fish</t>
        </is>
      </c>
      <c r="H596" s="7" t="inlineStr">
        <is>
          <t>yes</t>
        </is>
      </c>
      <c r="I596" s="7" t="inlineStr">
        <is>
          <t>Animal core</t>
        </is>
      </c>
      <c r="J596" s="7" t="inlineStr">
        <is>
          <t>Fish and seafood</t>
        </is>
      </c>
      <c r="K596" s="7" t="inlineStr">
        <is>
          <t>A</t>
        </is>
      </c>
      <c r="L596" s="7" t="inlineStr">
        <is>
          <t>All ingredients on one side</t>
        </is>
      </c>
      <c r="M596" s="51" t="n">
        <v>24.3</v>
      </c>
      <c r="N596" s="7" t="inlineStr">
        <is>
          <t>National food table (CIQUAL in France)</t>
        </is>
      </c>
      <c r="O596" s="54" t="n">
        <v>0</v>
      </c>
      <c r="P596" s="54" t="n">
        <v>24.3</v>
      </c>
      <c r="Q596" s="7" t="inlineStr">
        <is>
          <t>yes</t>
        </is>
      </c>
      <c r="R596" s="7" t="inlineStr">
        <is>
          <t>whole</t>
        </is>
      </c>
      <c r="S596" s="7" t="inlineStr">
        <is>
          <t>FG1</t>
        </is>
      </c>
      <c r="T596" s="7" t="inlineStr">
        <is>
          <t>Fish &amp; shellfish</t>
        </is>
      </c>
      <c r="U596" s="7" t="inlineStr">
        <is>
          <t>animal</t>
        </is>
      </c>
      <c r="V596" s="7" t="n"/>
      <c r="W596" s="7" t="n"/>
      <c r="X596" s="55" t="n">
        <v>1</v>
      </c>
      <c r="Y596" s="50" t="n">
        <v>0.16</v>
      </c>
      <c r="Z596" s="7" t="inlineStr">
        <is>
          <t>declared</t>
        </is>
      </c>
      <c r="AA596" s="19">
        <f>IF(ISBLANK(Welcome!D622),"",Welcome!D622)</f>
        <v/>
      </c>
      <c r="AB596" s="29">
        <f>IF(ISBLANK(Welcome!E622),"",Welcome!E622)</f>
        <v/>
      </c>
      <c r="AC596" s="29">
        <f>IF(N(AB596)&gt;0,N(AB596),N(AA596)*Y596)</f>
        <v/>
      </c>
      <c r="AD596" s="29">
        <f>IF(H596="yes",AC596,0)</f>
        <v/>
      </c>
      <c r="AE596" s="29">
        <f>AD596*N(M596)/100</f>
        <v/>
      </c>
      <c r="AF596" s="29">
        <f>AD596*N(O596)/100</f>
        <v/>
      </c>
      <c r="AG596" s="29">
        <f>AD596*N(P596)/100</f>
        <v/>
      </c>
      <c r="AH596" s="50">
        <f>IF(Q596="yes",AD596/1000,0)</f>
        <v/>
      </c>
      <c r="AI596" s="50">
        <f>IF(S596="FG2",AH596*X596,AH596)</f>
        <v/>
      </c>
    </row>
    <row r="597">
      <c r="A597" s="7" t="inlineStr">
        <is>
          <t>HM00518</t>
        </is>
      </c>
      <c r="B597" s="16" t="inlineStr">
        <is>
          <t>5012345297163</t>
        </is>
      </c>
      <c r="C597" s="7" t="inlineStr">
        <is>
          <t>HM STRAWB YOG 6X125G</t>
        </is>
      </c>
      <c r="D597" s="7" t="inlineStr">
        <is>
          <t>Strawberry yoghurt, 6x125g</t>
        </is>
      </c>
      <c r="E597" s="7" t="inlineStr">
        <is>
          <t>Harbour Market</t>
        </is>
      </c>
      <c r="F597" s="7" t="inlineStr">
        <is>
          <t>Dairy &amp; Eggs</t>
        </is>
      </c>
      <c r="G597" s="7" t="inlineStr">
        <is>
          <t>Yoghurt</t>
        </is>
      </c>
      <c r="H597" s="7" t="inlineStr">
        <is>
          <t>yes</t>
        </is>
      </c>
      <c r="I597" s="7" t="inlineStr">
        <is>
          <t>Animal core</t>
        </is>
      </c>
      <c r="J597" s="7" t="inlineStr">
        <is>
          <t>Milk, yoghurt and cream</t>
        </is>
      </c>
      <c r="K597" s="7" t="inlineStr">
        <is>
          <t>B</t>
        </is>
      </c>
      <c r="L597" s="7" t="inlineStr">
        <is>
          <t>First ingredient</t>
        </is>
      </c>
      <c r="M597" s="51" t="n">
        <v>3.6</v>
      </c>
      <c r="N597" s="7" t="inlineStr">
        <is>
          <t>Declared by the retailer</t>
        </is>
      </c>
      <c r="O597" s="54" t="n">
        <v>0</v>
      </c>
      <c r="P597" s="54" t="n">
        <v>3.6</v>
      </c>
      <c r="Q597" s="7" t="inlineStr">
        <is>
          <t>yes</t>
        </is>
      </c>
      <c r="R597" s="7" t="inlineStr">
        <is>
          <t>whole</t>
        </is>
      </c>
      <c r="S597" s="7" t="inlineStr">
        <is>
          <t>FG2</t>
        </is>
      </c>
      <c r="T597" s="7" t="inlineStr">
        <is>
          <t>Dairy</t>
        </is>
      </c>
      <c r="U597" s="7" t="inlineStr">
        <is>
          <t>animal</t>
        </is>
      </c>
      <c r="V597" s="7" t="n"/>
      <c r="W597" s="7" t="n"/>
      <c r="X597" s="55" t="n">
        <v>1</v>
      </c>
      <c r="Y597" s="50" t="n">
        <v>0.75</v>
      </c>
      <c r="Z597" s="7" t="inlineStr">
        <is>
          <t>declared</t>
        </is>
      </c>
      <c r="AA597" s="19">
        <f>IF(ISBLANK(Welcome!D623),"",Welcome!D623)</f>
        <v/>
      </c>
      <c r="AB597" s="29">
        <f>IF(ISBLANK(Welcome!E623),"",Welcome!E623)</f>
        <v/>
      </c>
      <c r="AC597" s="29">
        <f>IF(N(AB597)&gt;0,N(AB597),N(AA597)*Y597)</f>
        <v/>
      </c>
      <c r="AD597" s="29">
        <f>IF(H597="yes",AC597,0)</f>
        <v/>
      </c>
      <c r="AE597" s="29">
        <f>AD597*N(M597)/100</f>
        <v/>
      </c>
      <c r="AF597" s="29">
        <f>AD597*N(O597)/100</f>
        <v/>
      </c>
      <c r="AG597" s="29">
        <f>AD597*N(P597)/100</f>
        <v/>
      </c>
      <c r="AH597" s="50">
        <f>IF(Q597="yes",AD597/1000,0)</f>
        <v/>
      </c>
      <c r="AI597" s="50">
        <f>IF(S597="FG2",AH597*X597,AH597)</f>
        <v/>
      </c>
    </row>
    <row r="598">
      <c r="A598" s="7" t="inlineStr">
        <is>
          <t>HM00618</t>
        </is>
      </c>
      <c r="B598" s="16" t="inlineStr">
        <is>
          <t>8712345624866</t>
        </is>
      </c>
      <c r="C598" s="7" t="inlineStr">
        <is>
          <t>GROUND COFFEE MEDIUM 80PK 250G VELOCE</t>
        </is>
      </c>
      <c r="D598" s="7" t="inlineStr">
        <is>
          <t>Medium roast ground coffee, 80pk 250g</t>
        </is>
      </c>
      <c r="E598" s="7" t="inlineStr">
        <is>
          <t>Veloce</t>
        </is>
      </c>
      <c r="F598" s="7" t="inlineStr">
        <is>
          <t>Grocery</t>
        </is>
      </c>
      <c r="G598" s="7" t="inlineStr">
        <is>
          <t>Tea &amp; Coffee</t>
        </is>
      </c>
      <c r="H598" s="7" t="inlineStr">
        <is>
          <t>yes</t>
        </is>
      </c>
      <c r="I598" s="7" t="inlineStr">
        <is>
          <t>Plant-based non-core</t>
        </is>
      </c>
      <c r="J598" s="7" t="inlineStr">
        <is>
          <t>Outside the WWF scope</t>
        </is>
      </c>
      <c r="K598" s="7" t="inlineStr">
        <is>
          <t>A</t>
        </is>
      </c>
      <c r="L598" s="7" t="inlineStr">
        <is>
          <t>All ingredients on one side</t>
        </is>
      </c>
      <c r="M598" s="51" t="n">
        <v>13.3</v>
      </c>
      <c r="N598" s="7" t="inlineStr">
        <is>
          <t>Declared by the retailer</t>
        </is>
      </c>
      <c r="O598" s="54" t="n">
        <v>13.3</v>
      </c>
      <c r="P598" s="54" t="n">
        <v>0</v>
      </c>
      <c r="Q598" s="7" t="inlineStr">
        <is>
          <t>no</t>
        </is>
      </c>
      <c r="R598" s="7" t="n"/>
      <c r="S598" s="7" t="n"/>
      <c r="T598" s="7" t="n"/>
      <c r="U598" s="7" t="n"/>
      <c r="V598" s="7" t="n"/>
      <c r="W598" s="7" t="inlineStr">
        <is>
          <t>coffee tea</t>
        </is>
      </c>
      <c r="X598" s="55" t="n">
        <v>1</v>
      </c>
      <c r="Y598" s="50" t="n">
        <v>0.25</v>
      </c>
      <c r="Z598" s="7" t="inlineStr">
        <is>
          <t>declared</t>
        </is>
      </c>
      <c r="AA598" s="19">
        <f>IF(ISBLANK(Welcome!D624),"",Welcome!D624)</f>
        <v/>
      </c>
      <c r="AB598" s="29">
        <f>IF(ISBLANK(Welcome!E624),"",Welcome!E624)</f>
        <v/>
      </c>
      <c r="AC598" s="29">
        <f>IF(N(AB598)&gt;0,N(AB598),N(AA598)*Y598)</f>
        <v/>
      </c>
      <c r="AD598" s="29">
        <f>IF(H598="yes",AC598,0)</f>
        <v/>
      </c>
      <c r="AE598" s="29">
        <f>AD598*N(M598)/100</f>
        <v/>
      </c>
      <c r="AF598" s="29">
        <f>AD598*N(O598)/100</f>
        <v/>
      </c>
      <c r="AG598" s="29">
        <f>AD598*N(P598)/100</f>
        <v/>
      </c>
      <c r="AH598" s="50">
        <f>IF(Q598="yes",AD598/1000,0)</f>
        <v/>
      </c>
      <c r="AI598" s="50">
        <f>IF(S598="FG2",AH598*X598,AH598)</f>
        <v/>
      </c>
    </row>
    <row r="599">
      <c r="A599" s="7" t="inlineStr">
        <is>
          <t>HM00534</t>
        </is>
      </c>
      <c r="B599" s="16" t="inlineStr">
        <is>
          <t>8712345180911</t>
        </is>
      </c>
      <c r="C599" s="7" t="inlineStr">
        <is>
          <t>CAMEMBERT 250G ALDERWICK</t>
        </is>
      </c>
      <c r="D599" s="7" t="inlineStr">
        <is>
          <t>Camembert, 250g</t>
        </is>
      </c>
      <c r="E599" s="7" t="inlineStr">
        <is>
          <t>Alderwick</t>
        </is>
      </c>
      <c r="F599" s="7" t="inlineStr">
        <is>
          <t>Cheese</t>
        </is>
      </c>
      <c r="G599" s="7" t="inlineStr">
        <is>
          <t>Soft Cheese</t>
        </is>
      </c>
      <c r="H599" s="7" t="inlineStr">
        <is>
          <t>yes</t>
        </is>
      </c>
      <c r="I599" s="7" t="inlineStr">
        <is>
          <t>Animal core</t>
        </is>
      </c>
      <c r="J599" s="7" t="inlineStr">
        <is>
          <t>Cheese</t>
        </is>
      </c>
      <c r="K599" s="7" t="inlineStr">
        <is>
          <t>A</t>
        </is>
      </c>
      <c r="L599" s="7" t="inlineStr">
        <is>
          <t>All ingredients on one side</t>
        </is>
      </c>
      <c r="M599" s="51" t="n">
        <v>21.1</v>
      </c>
      <c r="N599" s="7" t="inlineStr">
        <is>
          <t>National food table (CIQUAL in France)</t>
        </is>
      </c>
      <c r="O599" s="54" t="n">
        <v>0</v>
      </c>
      <c r="P599" s="54" t="n">
        <v>21.1</v>
      </c>
      <c r="Q599" s="7" t="inlineStr">
        <is>
          <t>yes</t>
        </is>
      </c>
      <c r="R599" s="7" t="inlineStr">
        <is>
          <t>whole</t>
        </is>
      </c>
      <c r="S599" s="7" t="inlineStr">
        <is>
          <t>FG2</t>
        </is>
      </c>
      <c r="T599" s="7" t="inlineStr">
        <is>
          <t>Dairy</t>
        </is>
      </c>
      <c r="U599" s="7" t="inlineStr">
        <is>
          <t>animal</t>
        </is>
      </c>
      <c r="V599" s="7" t="n"/>
      <c r="W599" s="7" t="n"/>
      <c r="X599" s="55" t="n">
        <v>10</v>
      </c>
      <c r="Y599" s="50" t="n">
        <v>0.25</v>
      </c>
      <c r="Z599" s="7" t="inlineStr">
        <is>
          <t>declared</t>
        </is>
      </c>
      <c r="AA599" s="19">
        <f>IF(ISBLANK(Welcome!D625),"",Welcome!D625)</f>
        <v/>
      </c>
      <c r="AB599" s="29">
        <f>IF(ISBLANK(Welcome!E625),"",Welcome!E625)</f>
        <v/>
      </c>
      <c r="AC599" s="29">
        <f>IF(N(AB599)&gt;0,N(AB599),N(AA599)*Y599)</f>
        <v/>
      </c>
      <c r="AD599" s="29">
        <f>IF(H599="yes",AC599,0)</f>
        <v/>
      </c>
      <c r="AE599" s="29">
        <f>AD599*N(M599)/100</f>
        <v/>
      </c>
      <c r="AF599" s="29">
        <f>AD599*N(O599)/100</f>
        <v/>
      </c>
      <c r="AG599" s="29">
        <f>AD599*N(P599)/100</f>
        <v/>
      </c>
      <c r="AH599" s="50">
        <f>IF(Q599="yes",AD599/1000,0)</f>
        <v/>
      </c>
      <c r="AI599" s="50">
        <f>IF(S599="FG2",AH599*X599,AH599)</f>
        <v/>
      </c>
    </row>
    <row r="600">
      <c r="A600" s="7" t="inlineStr">
        <is>
          <t>HM00735</t>
        </is>
      </c>
      <c r="B600" s="16" t="inlineStr">
        <is>
          <t>5012345479392</t>
        </is>
      </c>
      <c r="C600" s="7" t="inlineStr">
        <is>
          <t>TARROW HONEY MUSTARD PORK 700G</t>
        </is>
      </c>
      <c r="D600" s="7" t="inlineStr">
        <is>
          <t>Honey &amp; mustard pork steaks, 700g</t>
        </is>
      </c>
      <c r="E600" s="7" t="inlineStr">
        <is>
          <t>Tarrow Farm</t>
        </is>
      </c>
      <c r="F600" s="7" t="inlineStr">
        <is>
          <t>Fresh Meat &amp; Poultry</t>
        </is>
      </c>
      <c r="G600" s="7" t="inlineStr">
        <is>
          <t>BBQ &amp; Marinated</t>
        </is>
      </c>
      <c r="H600" s="7" t="inlineStr">
        <is>
          <t>yes</t>
        </is>
      </c>
      <c r="I600" s="7" t="inlineStr">
        <is>
          <t>Animal core</t>
        </is>
      </c>
      <c r="J600" s="7" t="inlineStr">
        <is>
          <t>Red meat</t>
        </is>
      </c>
      <c r="K600" s="7" t="inlineStr">
        <is>
          <t>B</t>
        </is>
      </c>
      <c r="L600" s="7" t="inlineStr">
        <is>
          <t>First ingredient</t>
        </is>
      </c>
      <c r="M600" s="51" t="n">
        <v>15.5</v>
      </c>
      <c r="N600" s="7" t="inlineStr">
        <is>
          <t>Declared by the retailer</t>
        </is>
      </c>
      <c r="O600" s="54" t="n">
        <v>0</v>
      </c>
      <c r="P600" s="54" t="n">
        <v>15.5</v>
      </c>
      <c r="Q600" s="7" t="inlineStr">
        <is>
          <t>yes</t>
        </is>
      </c>
      <c r="R600" s="7" t="inlineStr">
        <is>
          <t>whole</t>
        </is>
      </c>
      <c r="S600" s="7" t="inlineStr">
        <is>
          <t>FG1</t>
        </is>
      </c>
      <c r="T600" s="7" t="inlineStr">
        <is>
          <t>Red meat</t>
        </is>
      </c>
      <c r="U600" s="7" t="inlineStr">
        <is>
          <t>animal</t>
        </is>
      </c>
      <c r="V600" s="7" t="n"/>
      <c r="W600" s="7" t="n"/>
      <c r="X600" s="55" t="n">
        <v>1</v>
      </c>
      <c r="Y600" s="50" t="n">
        <v>0.7</v>
      </c>
      <c r="Z600" s="7" t="inlineStr">
        <is>
          <t>declared</t>
        </is>
      </c>
      <c r="AA600" s="19">
        <f>IF(ISBLANK(Welcome!D626),"",Welcome!D626)</f>
        <v/>
      </c>
      <c r="AB600" s="29">
        <f>IF(ISBLANK(Welcome!E626),"",Welcome!E626)</f>
        <v/>
      </c>
      <c r="AC600" s="29">
        <f>IF(N(AB600)&gt;0,N(AB600),N(AA600)*Y600)</f>
        <v/>
      </c>
      <c r="AD600" s="29">
        <f>IF(H600="yes",AC600,0)</f>
        <v/>
      </c>
      <c r="AE600" s="29">
        <f>AD600*N(M600)/100</f>
        <v/>
      </c>
      <c r="AF600" s="29">
        <f>AD600*N(O600)/100</f>
        <v/>
      </c>
      <c r="AG600" s="29">
        <f>AD600*N(P600)/100</f>
        <v/>
      </c>
      <c r="AH600" s="50">
        <f>IF(Q600="yes",AD600/1000,0)</f>
        <v/>
      </c>
      <c r="AI600" s="50">
        <f>IF(S600="FG2",AH600*X600,AH600)</f>
        <v/>
      </c>
    </row>
    <row r="601">
      <c r="A601" s="7" t="inlineStr">
        <is>
          <t>HM00084</t>
        </is>
      </c>
      <c r="B601" s="16" t="inlineStr">
        <is>
          <t>0012345047107</t>
        </is>
      </c>
      <c r="C601" s="7" t="inlineStr">
        <is>
          <t>CHOC RICE POPS 500G ORVALIS</t>
        </is>
      </c>
      <c r="D601" s="7" t="inlineStr">
        <is>
          <t>Chocolate rice pops, 500g</t>
        </is>
      </c>
      <c r="E601" s="7" t="inlineStr">
        <is>
          <t>Orvalis</t>
        </is>
      </c>
      <c r="F601" s="7" t="inlineStr">
        <is>
          <t>Breakfast &amp; Snacks</t>
        </is>
      </c>
      <c r="G601" s="7" t="inlineStr">
        <is>
          <t>Cereals</t>
        </is>
      </c>
      <c r="H601" s="7" t="inlineStr">
        <is>
          <t>yes</t>
        </is>
      </c>
      <c r="I601" s="7" t="inlineStr">
        <is>
          <t>Plant-based non-core</t>
        </is>
      </c>
      <c r="J601" s="7" t="inlineStr">
        <is>
          <t>Refined grains</t>
        </is>
      </c>
      <c r="K601" s="7" t="inlineStr">
        <is>
          <t>A</t>
        </is>
      </c>
      <c r="L601" s="7" t="inlineStr">
        <is>
          <t>All ingredients on one side</t>
        </is>
      </c>
      <c r="M601" s="51" t="n">
        <v>4.9</v>
      </c>
      <c r="N601" s="7" t="inlineStr">
        <is>
          <t>Declared by the retailer</t>
        </is>
      </c>
      <c r="O601" s="54" t="n">
        <v>4.9</v>
      </c>
      <c r="P601" s="54" t="n">
        <v>0</v>
      </c>
      <c r="Q601" s="7" t="inlineStr">
        <is>
          <t>yes</t>
        </is>
      </c>
      <c r="R601" s="7" t="inlineStr">
        <is>
          <t>whole</t>
        </is>
      </c>
      <c r="S601" s="7" t="inlineStr">
        <is>
          <t>FG5</t>
        </is>
      </c>
      <c r="T601" s="7" t="inlineStr">
        <is>
          <t>Refined grain</t>
        </is>
      </c>
      <c r="U601" s="7" t="inlineStr">
        <is>
          <t>plant</t>
        </is>
      </c>
      <c r="V601" s="7" t="n"/>
      <c r="W601" s="7" t="n"/>
      <c r="X601" s="55" t="n">
        <v>1</v>
      </c>
      <c r="Y601" s="50" t="n">
        <v>0.5</v>
      </c>
      <c r="Z601" s="7" t="inlineStr">
        <is>
          <t>declared</t>
        </is>
      </c>
      <c r="AA601" s="19">
        <f>IF(ISBLANK(Welcome!D627),"",Welcome!D627)</f>
        <v/>
      </c>
      <c r="AB601" s="29">
        <f>IF(ISBLANK(Welcome!E627),"",Welcome!E627)</f>
        <v/>
      </c>
      <c r="AC601" s="29">
        <f>IF(N(AB601)&gt;0,N(AB601),N(AA601)*Y601)</f>
        <v/>
      </c>
      <c r="AD601" s="29">
        <f>IF(H601="yes",AC601,0)</f>
        <v/>
      </c>
      <c r="AE601" s="29">
        <f>AD601*N(M601)/100</f>
        <v/>
      </c>
      <c r="AF601" s="29">
        <f>AD601*N(O601)/100</f>
        <v/>
      </c>
      <c r="AG601" s="29">
        <f>AD601*N(P601)/100</f>
        <v/>
      </c>
      <c r="AH601" s="50">
        <f>IF(Q601="yes",AD601/1000,0)</f>
        <v/>
      </c>
      <c r="AI601" s="50">
        <f>IF(S601="FG2",AH601*X601,AH601)</f>
        <v/>
      </c>
    </row>
    <row r="602">
      <c r="A602" s="7" t="inlineStr">
        <is>
          <t>HM00330</t>
        </is>
      </c>
      <c r="B602" s="16" t="inlineStr">
        <is>
          <t>3012345840330</t>
        </is>
      </c>
      <c r="C602" s="7" t="inlineStr">
        <is>
          <t>HM CHOC FUDGE CAKE 400G</t>
        </is>
      </c>
      <c r="D602" s="7" t="inlineStr">
        <is>
          <t>Chocolate fudge cake, 400g</t>
        </is>
      </c>
      <c r="E602" s="7" t="inlineStr">
        <is>
          <t>Harbour Market</t>
        </is>
      </c>
      <c r="F602" s="7" t="inlineStr">
        <is>
          <t>Bakery</t>
        </is>
      </c>
      <c r="G602" s="7" t="inlineStr">
        <is>
          <t>Cakes</t>
        </is>
      </c>
      <c r="H602" s="7" t="inlineStr">
        <is>
          <t>yes</t>
        </is>
      </c>
      <c r="I602" s="7" t="inlineStr">
        <is>
          <t>Animal &amp; plant composite</t>
        </is>
      </c>
      <c r="J602" s="7" t="inlineStr">
        <is>
          <t>Discretionary products</t>
        </is>
      </c>
      <c r="K602" s="7" t="inlineStr">
        <is>
          <t>B</t>
        </is>
      </c>
      <c r="L602" s="7" t="inlineStr">
        <is>
          <t>50/50 convention</t>
        </is>
      </c>
      <c r="M602" s="51" t="n">
        <v>4.9</v>
      </c>
      <c r="N602" s="7" t="inlineStr">
        <is>
          <t>Declared by the retailer</t>
        </is>
      </c>
      <c r="O602" s="54" t="n">
        <v>2.45</v>
      </c>
      <c r="P602" s="54" t="n">
        <v>2.45</v>
      </c>
      <c r="Q602" s="7" t="inlineStr">
        <is>
          <t>yes</t>
        </is>
      </c>
      <c r="R602" s="7" t="inlineStr">
        <is>
          <t>whole</t>
        </is>
      </c>
      <c r="S602" s="7" t="inlineStr">
        <is>
          <t>FG7</t>
        </is>
      </c>
      <c r="T602" s="7" t="n"/>
      <c r="U602" s="7" t="inlineStr">
        <is>
          <t>plant</t>
        </is>
      </c>
      <c r="V602" s="7" t="n"/>
      <c r="W602" s="7" t="n"/>
      <c r="X602" s="55" t="n">
        <v>1</v>
      </c>
      <c r="Y602" s="50" t="n">
        <v>0.4</v>
      </c>
      <c r="Z602" s="7" t="inlineStr">
        <is>
          <t>declared</t>
        </is>
      </c>
      <c r="AA602" s="19">
        <f>IF(ISBLANK(Welcome!D628),"",Welcome!D628)</f>
        <v/>
      </c>
      <c r="AB602" s="29">
        <f>IF(ISBLANK(Welcome!E628),"",Welcome!E628)</f>
        <v/>
      </c>
      <c r="AC602" s="29">
        <f>IF(N(AB602)&gt;0,N(AB602),N(AA602)*Y602)</f>
        <v/>
      </c>
      <c r="AD602" s="29">
        <f>IF(H602="yes",AC602,0)</f>
        <v/>
      </c>
      <c r="AE602" s="29">
        <f>AD602*N(M602)/100</f>
        <v/>
      </c>
      <c r="AF602" s="29">
        <f>AD602*N(O602)/100</f>
        <v/>
      </c>
      <c r="AG602" s="29">
        <f>AD602*N(P602)/100</f>
        <v/>
      </c>
      <c r="AH602" s="50">
        <f>IF(Q602="yes",AD602/1000,0)</f>
        <v/>
      </c>
      <c r="AI602" s="50">
        <f>IF(S602="FG2",AH602*X602,AH602)</f>
        <v/>
      </c>
    </row>
    <row r="603">
      <c r="A603" s="7" t="inlineStr">
        <is>
          <t>HM00117</t>
        </is>
      </c>
      <c r="B603" s="16" t="inlineStr">
        <is>
          <t>5012345720333</t>
        </is>
      </c>
      <c r="C603" s="7" t="inlineStr">
        <is>
          <t>SOLVANE SEITAN PIECES 200G</t>
        </is>
      </c>
      <c r="D603" s="7" t="inlineStr">
        <is>
          <t>Seitan pieces, 200g</t>
        </is>
      </c>
      <c r="E603" s="7" t="inlineStr">
        <is>
          <t>Solvane</t>
        </is>
      </c>
      <c r="F603" s="7" t="inlineStr">
        <is>
          <t>Plant-Based</t>
        </is>
      </c>
      <c r="G603" s="7" t="inlineStr">
        <is>
          <t>Tofu &amp; Tempeh</t>
        </is>
      </c>
      <c r="H603" s="7" t="inlineStr">
        <is>
          <t>yes</t>
        </is>
      </c>
      <c r="I603" s="7" t="inlineStr">
        <is>
          <t>Plant-based core</t>
        </is>
      </c>
      <c r="J603" s="7" t="inlineStr">
        <is>
          <t>Tofu, tempeh, seitan</t>
        </is>
      </c>
      <c r="K603" s="7" t="inlineStr">
        <is>
          <t>B</t>
        </is>
      </c>
      <c r="L603" s="7" t="inlineStr">
        <is>
          <t>Follows the class</t>
        </is>
      </c>
      <c r="M603" s="51" t="n">
        <v>24.7</v>
      </c>
      <c r="N603" s="7" t="inlineStr">
        <is>
          <t>Declared by the retailer</t>
        </is>
      </c>
      <c r="O603" s="54" t="n">
        <v>24.7</v>
      </c>
      <c r="P603" s="54" t="n">
        <v>0</v>
      </c>
      <c r="Q603" s="7" t="inlineStr">
        <is>
          <t>yes</t>
        </is>
      </c>
      <c r="R603" s="7" t="inlineStr">
        <is>
          <t>whole</t>
        </is>
      </c>
      <c r="S603" s="7" t="inlineStr">
        <is>
          <t>FG1</t>
        </is>
      </c>
      <c r="T603" s="7" t="inlineStr">
        <is>
          <t>Tofu, tempeh &amp; seitan</t>
        </is>
      </c>
      <c r="U603" s="7" t="inlineStr">
        <is>
          <t>plant</t>
        </is>
      </c>
      <c r="V603" s="7" t="n"/>
      <c r="W603" s="7" t="n"/>
      <c r="X603" s="55" t="n">
        <v>1</v>
      </c>
      <c r="Y603" s="50" t="n">
        <v>0.2</v>
      </c>
      <c r="Z603" s="7" t="inlineStr">
        <is>
          <t>declared</t>
        </is>
      </c>
      <c r="AA603" s="19">
        <f>IF(ISBLANK(Welcome!D629),"",Welcome!D629)</f>
        <v/>
      </c>
      <c r="AB603" s="29">
        <f>IF(ISBLANK(Welcome!E629),"",Welcome!E629)</f>
        <v/>
      </c>
      <c r="AC603" s="29">
        <f>IF(N(AB603)&gt;0,N(AB603),N(AA603)*Y603)</f>
        <v/>
      </c>
      <c r="AD603" s="29">
        <f>IF(H603="yes",AC603,0)</f>
        <v/>
      </c>
      <c r="AE603" s="29">
        <f>AD603*N(M603)/100</f>
        <v/>
      </c>
      <c r="AF603" s="29">
        <f>AD603*N(O603)/100</f>
        <v/>
      </c>
      <c r="AG603" s="29">
        <f>AD603*N(P603)/100</f>
        <v/>
      </c>
      <c r="AH603" s="50">
        <f>IF(Q603="yes",AD603/1000,0)</f>
        <v/>
      </c>
      <c r="AI603" s="50">
        <f>IF(S603="FG2",AH603*X603,AH603)</f>
        <v/>
      </c>
    </row>
    <row r="604">
      <c r="A604" s="7" t="inlineStr">
        <is>
          <t>HM00214</t>
        </is>
      </c>
      <c r="B604" s="16" t="inlineStr">
        <is>
          <t>3012345025911</t>
        </is>
      </c>
      <c r="C604" s="7" t="inlineStr">
        <is>
          <t>HM SALTED BUTTER 250G</t>
        </is>
      </c>
      <c r="D604" s="7" t="inlineStr">
        <is>
          <t>Salted butter, 250g</t>
        </is>
      </c>
      <c r="E604" s="7" t="inlineStr">
        <is>
          <t>Harbour Market</t>
        </is>
      </c>
      <c r="F604" s="7" t="inlineStr">
        <is>
          <t>Dairy &amp; Eggs</t>
        </is>
      </c>
      <c r="G604" s="7" t="inlineStr">
        <is>
          <t>Butter &amp; Spreads</t>
        </is>
      </c>
      <c r="H604" s="7" t="inlineStr">
        <is>
          <t>yes</t>
        </is>
      </c>
      <c r="I604" s="7" t="inlineStr">
        <is>
          <t>Animal core</t>
        </is>
      </c>
      <c r="J604" s="7" t="inlineStr">
        <is>
          <t>Other</t>
        </is>
      </c>
      <c r="K604" s="7" t="inlineStr">
        <is>
          <t>B</t>
        </is>
      </c>
      <c r="L604" s="7" t="inlineStr">
        <is>
          <t>Follows the class</t>
        </is>
      </c>
      <c r="M604" s="51" t="n">
        <v>0.61</v>
      </c>
      <c r="N604" s="7" t="inlineStr">
        <is>
          <t>Declared by the retailer</t>
        </is>
      </c>
      <c r="O604" s="54" t="n">
        <v>0</v>
      </c>
      <c r="P604" s="54" t="n">
        <v>0.61</v>
      </c>
      <c r="Q604" s="7" t="inlineStr">
        <is>
          <t>yes</t>
        </is>
      </c>
      <c r="R604" s="7" t="inlineStr">
        <is>
          <t>whole</t>
        </is>
      </c>
      <c r="S604" s="7" t="inlineStr">
        <is>
          <t>FG3</t>
        </is>
      </c>
      <c r="T604" s="7" t="inlineStr">
        <is>
          <t>Animal-based fat</t>
        </is>
      </c>
      <c r="U604" s="7" t="inlineStr">
        <is>
          <t>animal</t>
        </is>
      </c>
      <c r="V604" s="7" t="n"/>
      <c r="W604" s="7" t="n"/>
      <c r="X604" s="55" t="n">
        <v>1</v>
      </c>
      <c r="Y604" s="50" t="n">
        <v>0.25</v>
      </c>
      <c r="Z604" s="7" t="inlineStr">
        <is>
          <t>declared</t>
        </is>
      </c>
      <c r="AA604" s="19">
        <f>IF(ISBLANK(Welcome!D630),"",Welcome!D630)</f>
        <v/>
      </c>
      <c r="AB604" s="29">
        <f>IF(ISBLANK(Welcome!E630),"",Welcome!E630)</f>
        <v/>
      </c>
      <c r="AC604" s="29">
        <f>IF(N(AB604)&gt;0,N(AB604),N(AA604)*Y604)</f>
        <v/>
      </c>
      <c r="AD604" s="29">
        <f>IF(H604="yes",AC604,0)</f>
        <v/>
      </c>
      <c r="AE604" s="29">
        <f>AD604*N(M604)/100</f>
        <v/>
      </c>
      <c r="AF604" s="29">
        <f>AD604*N(O604)/100</f>
        <v/>
      </c>
      <c r="AG604" s="29">
        <f>AD604*N(P604)/100</f>
        <v/>
      </c>
      <c r="AH604" s="50">
        <f>IF(Q604="yes",AD604/1000,0)</f>
        <v/>
      </c>
      <c r="AI604" s="50">
        <f>IF(S604="FG2",AH604*X604,AH604)</f>
        <v/>
      </c>
    </row>
    <row r="605">
      <c r="A605" s="7" t="inlineStr">
        <is>
          <t>HM00484</t>
        </is>
      </c>
      <c r="B605" s="16" t="inlineStr">
        <is>
          <t>3012345741279</t>
        </is>
      </c>
      <c r="C605" s="7" t="inlineStr">
        <is>
          <t>CASTELNA RED WINE MERLOT 75CL</t>
        </is>
      </c>
      <c r="D605" s="7" t="inlineStr">
        <is>
          <t>Merlot red wine, 75cl</t>
        </is>
      </c>
      <c r="E605" s="7" t="inlineStr">
        <is>
          <t>Castelna</t>
        </is>
      </c>
      <c r="F605" s="7" t="inlineStr">
        <is>
          <t>Beer, Wine &amp; Spirits</t>
        </is>
      </c>
      <c r="G605" s="7" t="inlineStr">
        <is>
          <t>Wine</t>
        </is>
      </c>
      <c r="H605" s="7" t="inlineStr">
        <is>
          <t>yes</t>
        </is>
      </c>
      <c r="I605" s="7" t="inlineStr">
        <is>
          <t>Plant-based non-core</t>
        </is>
      </c>
      <c r="J605" s="7" t="inlineStr">
        <is>
          <t>Outside the WWF scope</t>
        </is>
      </c>
      <c r="K605" s="7" t="inlineStr">
        <is>
          <t>A</t>
        </is>
      </c>
      <c r="L605" s="7" t="inlineStr">
        <is>
          <t>All ingredients on one side</t>
        </is>
      </c>
      <c r="M605" s="51" t="n">
        <v>0.1</v>
      </c>
      <c r="N605" s="7" t="inlineStr">
        <is>
          <t>Median of the family</t>
        </is>
      </c>
      <c r="O605" s="54" t="n">
        <v>0.1</v>
      </c>
      <c r="P605" s="54" t="n">
        <v>0</v>
      </c>
      <c r="Q605" s="7" t="inlineStr">
        <is>
          <t>no</t>
        </is>
      </c>
      <c r="R605" s="7" t="n"/>
      <c r="S605" s="7" t="n"/>
      <c r="T605" s="7" t="n"/>
      <c r="U605" s="7" t="n"/>
      <c r="V605" s="7" t="n"/>
      <c r="W605" s="7" t="inlineStr">
        <is>
          <t>alcohol</t>
        </is>
      </c>
      <c r="X605" s="55" t="n">
        <v>1</v>
      </c>
      <c r="Y605" s="50" t="n">
        <v>0.75</v>
      </c>
      <c r="Z605" s="7" t="inlineStr">
        <is>
          <t>declared</t>
        </is>
      </c>
      <c r="AA605" s="19">
        <f>IF(ISBLANK(Welcome!D631),"",Welcome!D631)</f>
        <v/>
      </c>
      <c r="AB605" s="29">
        <f>IF(ISBLANK(Welcome!E631),"",Welcome!E631)</f>
        <v/>
      </c>
      <c r="AC605" s="29">
        <f>IF(N(AB605)&gt;0,N(AB605),N(AA605)*Y605)</f>
        <v/>
      </c>
      <c r="AD605" s="29">
        <f>IF(H605="yes",AC605,0)</f>
        <v/>
      </c>
      <c r="AE605" s="29">
        <f>AD605*N(M605)/100</f>
        <v/>
      </c>
      <c r="AF605" s="29">
        <f>AD605*N(O605)/100</f>
        <v/>
      </c>
      <c r="AG605" s="29">
        <f>AD605*N(P605)/100</f>
        <v/>
      </c>
      <c r="AH605" s="50">
        <f>IF(Q605="yes",AD605/1000,0)</f>
        <v/>
      </c>
      <c r="AI605" s="50">
        <f>IF(S605="FG2",AH605*X605,AH605)</f>
        <v/>
      </c>
    </row>
    <row r="606">
      <c r="A606" s="7" t="inlineStr">
        <is>
          <t>HM00474</t>
        </is>
      </c>
      <c r="B606" s="16" t="inlineStr">
        <is>
          <t>4012345667530</t>
        </is>
      </c>
      <c r="C606" s="7" t="inlineStr">
        <is>
          <t>HM COD LOIN 240G</t>
        </is>
      </c>
      <c r="D606" s="7" t="inlineStr">
        <is>
          <t>Cod loins, 240g</t>
        </is>
      </c>
      <c r="E606" s="7" t="inlineStr">
        <is>
          <t>Harbour Market</t>
        </is>
      </c>
      <c r="F606" s="7" t="inlineStr">
        <is>
          <t>Fish &amp; Seafood</t>
        </is>
      </c>
      <c r="G606" s="7" t="inlineStr">
        <is>
          <t>Fresh Fish</t>
        </is>
      </c>
      <c r="H606" s="7" t="inlineStr">
        <is>
          <t>yes</t>
        </is>
      </c>
      <c r="I606" s="7" t="inlineStr">
        <is>
          <t>Animal core</t>
        </is>
      </c>
      <c r="J606" s="7" t="inlineStr">
        <is>
          <t>Fish and seafood</t>
        </is>
      </c>
      <c r="K606" s="7" t="inlineStr">
        <is>
          <t>B</t>
        </is>
      </c>
      <c r="L606" s="7" t="inlineStr">
        <is>
          <t>Follows the class</t>
        </is>
      </c>
      <c r="M606" s="51" t="n">
        <v>17.3</v>
      </c>
      <c r="N606" s="7" t="inlineStr">
        <is>
          <t>Declared by the retailer</t>
        </is>
      </c>
      <c r="O606" s="54" t="n">
        <v>0</v>
      </c>
      <c r="P606" s="54" t="n">
        <v>17.3</v>
      </c>
      <c r="Q606" s="7" t="inlineStr">
        <is>
          <t>yes</t>
        </is>
      </c>
      <c r="R606" s="7" t="inlineStr">
        <is>
          <t>whole</t>
        </is>
      </c>
      <c r="S606" s="7" t="inlineStr">
        <is>
          <t>FG1</t>
        </is>
      </c>
      <c r="T606" s="7" t="inlineStr">
        <is>
          <t>Fish &amp; shellfish</t>
        </is>
      </c>
      <c r="U606" s="7" t="inlineStr">
        <is>
          <t>animal</t>
        </is>
      </c>
      <c r="V606" s="7" t="n"/>
      <c r="W606" s="7" t="n"/>
      <c r="X606" s="55" t="n">
        <v>1</v>
      </c>
      <c r="Y606" s="50" t="n">
        <v>0.24</v>
      </c>
      <c r="Z606" s="7" t="inlineStr">
        <is>
          <t>declared</t>
        </is>
      </c>
      <c r="AA606" s="19">
        <f>IF(ISBLANK(Welcome!D632),"",Welcome!D632)</f>
        <v/>
      </c>
      <c r="AB606" s="29">
        <f>IF(ISBLANK(Welcome!E632),"",Welcome!E632)</f>
        <v/>
      </c>
      <c r="AC606" s="29">
        <f>IF(N(AB606)&gt;0,N(AB606),N(AA606)*Y606)</f>
        <v/>
      </c>
      <c r="AD606" s="29">
        <f>IF(H606="yes",AC606,0)</f>
        <v/>
      </c>
      <c r="AE606" s="29">
        <f>AD606*N(M606)/100</f>
        <v/>
      </c>
      <c r="AF606" s="29">
        <f>AD606*N(O606)/100</f>
        <v/>
      </c>
      <c r="AG606" s="29">
        <f>AD606*N(P606)/100</f>
        <v/>
      </c>
      <c r="AH606" s="50">
        <f>IF(Q606="yes",AD606/1000,0)</f>
        <v/>
      </c>
      <c r="AI606" s="50">
        <f>IF(S606="FG2",AH606*X606,AH606)</f>
        <v/>
      </c>
    </row>
    <row r="607">
      <c r="A607" s="7" t="inlineStr">
        <is>
          <t>HM00686</t>
        </is>
      </c>
      <c r="B607" s="16" t="inlineStr">
        <is>
          <t>5012345278599</t>
        </is>
      </c>
      <c r="C607" s="7" t="inlineStr">
        <is>
          <t>MAC CHEESE 2X400G QUILLAN</t>
        </is>
      </c>
      <c r="D607" s="7" t="inlineStr">
        <is>
          <t>Macaroni cheese, 2x400g</t>
        </is>
      </c>
      <c r="E607" s="7" t="inlineStr">
        <is>
          <t>Quillan</t>
        </is>
      </c>
      <c r="F607" s="7" t="inlineStr">
        <is>
          <t>Ready Meals</t>
        </is>
      </c>
      <c r="G607" s="7" t="inlineStr">
        <is>
          <t>Ready Meals</t>
        </is>
      </c>
      <c r="H607" s="7" t="inlineStr">
        <is>
          <t>yes</t>
        </is>
      </c>
      <c r="I607" s="7" t="inlineStr">
        <is>
          <t>Animal &amp; plant composite</t>
        </is>
      </c>
      <c r="J607" s="7" t="inlineStr">
        <is>
          <t>Vegetarian dishes</t>
        </is>
      </c>
      <c r="K607" s="7" t="inlineStr">
        <is>
          <t>B</t>
        </is>
      </c>
      <c r="L607" s="7" t="inlineStr">
        <is>
          <t>50/50 convention</t>
        </is>
      </c>
      <c r="M607" s="51" t="n">
        <v>8</v>
      </c>
      <c r="N607" s="7" t="inlineStr">
        <is>
          <t>National food table (CIQUAL in France)</t>
        </is>
      </c>
      <c r="O607" s="54" t="n">
        <v>4</v>
      </c>
      <c r="P607" s="54" t="n">
        <v>4</v>
      </c>
      <c r="Q607" s="7" t="inlineStr">
        <is>
          <t>yes</t>
        </is>
      </c>
      <c r="R607" s="7" t="inlineStr">
        <is>
          <t>composite</t>
        </is>
      </c>
      <c r="S607" s="7" t="n"/>
      <c r="T607" s="7" t="n"/>
      <c r="U607" s="7" t="n"/>
      <c r="V607" s="7" t="inlineStr">
        <is>
          <t>vegetarian</t>
        </is>
      </c>
      <c r="W607" s="7" t="n"/>
      <c r="X607" s="55" t="n">
        <v>1</v>
      </c>
      <c r="Y607" s="50" t="n">
        <v>0.8</v>
      </c>
      <c r="Z607" s="7" t="inlineStr">
        <is>
          <t>declared</t>
        </is>
      </c>
      <c r="AA607" s="19">
        <f>IF(ISBLANK(Welcome!D633),"",Welcome!D633)</f>
        <v/>
      </c>
      <c r="AB607" s="29">
        <f>IF(ISBLANK(Welcome!E633),"",Welcome!E633)</f>
        <v/>
      </c>
      <c r="AC607" s="29">
        <f>IF(N(AB607)&gt;0,N(AB607),N(AA607)*Y607)</f>
        <v/>
      </c>
      <c r="AD607" s="29">
        <f>IF(H607="yes",AC607,0)</f>
        <v/>
      </c>
      <c r="AE607" s="29">
        <f>AD607*N(M607)/100</f>
        <v/>
      </c>
      <c r="AF607" s="29">
        <f>AD607*N(O607)/100</f>
        <v/>
      </c>
      <c r="AG607" s="29">
        <f>AD607*N(P607)/100</f>
        <v/>
      </c>
      <c r="AH607" s="50">
        <f>IF(Q607="yes",AD607/1000,0)</f>
        <v/>
      </c>
      <c r="AI607" s="50">
        <f>IF(S607="FG2",AH607*X607,AH607)</f>
        <v/>
      </c>
    </row>
    <row r="608">
      <c r="A608" s="7" t="inlineStr">
        <is>
          <t>HM00179</t>
        </is>
      </c>
      <c r="B608" s="16" t="inlineStr">
        <is>
          <t>3012345367073</t>
        </is>
      </c>
      <c r="C608" s="7" t="inlineStr">
        <is>
          <t>HM PLANT CHKN PIECES 400G</t>
        </is>
      </c>
      <c r="D608" s="7" t="inlineStr">
        <is>
          <t>Plant-based chicken-style pieces, 400g</t>
        </is>
      </c>
      <c r="E608" s="7" t="inlineStr">
        <is>
          <t>Harbour Market</t>
        </is>
      </c>
      <c r="F608" s="7" t="inlineStr">
        <is>
          <t>Plant-Based</t>
        </is>
      </c>
      <c r="G608" s="7" t="inlineStr">
        <is>
          <t>Meat Alternatives</t>
        </is>
      </c>
      <c r="H608" s="7" t="inlineStr">
        <is>
          <t>yes</t>
        </is>
      </c>
      <c r="I608" s="7" t="inlineStr">
        <is>
          <t>Plant-based core</t>
        </is>
      </c>
      <c r="J608" s="7" t="inlineStr">
        <is>
          <t>Plant-based meat alternatives</t>
        </is>
      </c>
      <c r="K608" s="7" t="inlineStr">
        <is>
          <t>B</t>
        </is>
      </c>
      <c r="L608" s="7" t="inlineStr">
        <is>
          <t>Follows the class</t>
        </is>
      </c>
      <c r="M608" s="51" t="n">
        <v>18.3</v>
      </c>
      <c r="N608" s="7" t="inlineStr">
        <is>
          <t>Declared by the retailer</t>
        </is>
      </c>
      <c r="O608" s="54" t="n">
        <v>18.3</v>
      </c>
      <c r="P608" s="54" t="n">
        <v>0</v>
      </c>
      <c r="Q608" s="7" t="inlineStr">
        <is>
          <t>yes</t>
        </is>
      </c>
      <c r="R608" s="7" t="inlineStr">
        <is>
          <t>whole</t>
        </is>
      </c>
      <c r="S608" s="7" t="inlineStr">
        <is>
          <t>FG1</t>
        </is>
      </c>
      <c r="T608" s="7" t="inlineStr">
        <is>
          <t>Alternative products</t>
        </is>
      </c>
      <c r="U608" s="7" t="inlineStr">
        <is>
          <t>plant</t>
        </is>
      </c>
      <c r="V608" s="7" t="n"/>
      <c r="W608" s="7" t="n"/>
      <c r="X608" s="55" t="n">
        <v>1</v>
      </c>
      <c r="Y608" s="50" t="n">
        <v>0.4</v>
      </c>
      <c r="Z608" s="7" t="inlineStr">
        <is>
          <t>declared</t>
        </is>
      </c>
      <c r="AA608" s="19">
        <f>IF(ISBLANK(Welcome!D634),"",Welcome!D634)</f>
        <v/>
      </c>
      <c r="AB608" s="29">
        <f>IF(ISBLANK(Welcome!E634),"",Welcome!E634)</f>
        <v/>
      </c>
      <c r="AC608" s="29">
        <f>IF(N(AB608)&gt;0,N(AB608),N(AA608)*Y608)</f>
        <v/>
      </c>
      <c r="AD608" s="29">
        <f>IF(H608="yes",AC608,0)</f>
        <v/>
      </c>
      <c r="AE608" s="29">
        <f>AD608*N(M608)/100</f>
        <v/>
      </c>
      <c r="AF608" s="29">
        <f>AD608*N(O608)/100</f>
        <v/>
      </c>
      <c r="AG608" s="29">
        <f>AD608*N(P608)/100</f>
        <v/>
      </c>
      <c r="AH608" s="50">
        <f>IF(Q608="yes",AD608/1000,0)</f>
        <v/>
      </c>
      <c r="AI608" s="50">
        <f>IF(S608="FG2",AH608*X608,AH608)</f>
        <v/>
      </c>
    </row>
    <row r="609">
      <c r="A609" s="7" t="inlineStr">
        <is>
          <t>HM00661</t>
        </is>
      </c>
      <c r="B609" s="16" t="inlineStr">
        <is>
          <t>4012345634723</t>
        </is>
      </c>
      <c r="C609" s="7" t="inlineStr">
        <is>
          <t>TARROW HONEY MUSTARD PORK 400G</t>
        </is>
      </c>
      <c r="D609" s="7" t="inlineStr">
        <is>
          <t>Honey &amp; mustard pork steaks, 400g</t>
        </is>
      </c>
      <c r="E609" s="7" t="inlineStr">
        <is>
          <t>Tarrow Farm</t>
        </is>
      </c>
      <c r="F609" s="7" t="inlineStr">
        <is>
          <t>Fresh Meat &amp; Poultry</t>
        </is>
      </c>
      <c r="G609" s="7" t="inlineStr">
        <is>
          <t>BBQ &amp; Marinated</t>
        </is>
      </c>
      <c r="H609" s="7" t="inlineStr">
        <is>
          <t>yes</t>
        </is>
      </c>
      <c r="I609" s="7" t="inlineStr">
        <is>
          <t>Animal core</t>
        </is>
      </c>
      <c r="J609" s="7" t="inlineStr">
        <is>
          <t>Red meat</t>
        </is>
      </c>
      <c r="K609" s="7" t="inlineStr">
        <is>
          <t>B</t>
        </is>
      </c>
      <c r="L609" s="7" t="inlineStr">
        <is>
          <t>First ingredient</t>
        </is>
      </c>
      <c r="M609" s="51" t="n">
        <v>16.8</v>
      </c>
      <c r="N609" s="7" t="inlineStr">
        <is>
          <t>Altera reference base</t>
        </is>
      </c>
      <c r="O609" s="54" t="n">
        <v>0</v>
      </c>
      <c r="P609" s="54" t="n">
        <v>16.8</v>
      </c>
      <c r="Q609" s="7" t="inlineStr">
        <is>
          <t>yes</t>
        </is>
      </c>
      <c r="R609" s="7" t="inlineStr">
        <is>
          <t>whole</t>
        </is>
      </c>
      <c r="S609" s="7" t="inlineStr">
        <is>
          <t>FG1</t>
        </is>
      </c>
      <c r="T609" s="7" t="inlineStr">
        <is>
          <t>Red meat</t>
        </is>
      </c>
      <c r="U609" s="7" t="inlineStr">
        <is>
          <t>animal</t>
        </is>
      </c>
      <c r="V609" s="7" t="n"/>
      <c r="W609" s="7" t="n"/>
      <c r="X609" s="55" t="n">
        <v>1</v>
      </c>
      <c r="Y609" s="50" t="n">
        <v>0.4</v>
      </c>
      <c r="Z609" s="7" t="inlineStr">
        <is>
          <t>declared</t>
        </is>
      </c>
      <c r="AA609" s="19">
        <f>IF(ISBLANK(Welcome!D635),"",Welcome!D635)</f>
        <v/>
      </c>
      <c r="AB609" s="29">
        <f>IF(ISBLANK(Welcome!E635),"",Welcome!E635)</f>
        <v/>
      </c>
      <c r="AC609" s="29">
        <f>IF(N(AB609)&gt;0,N(AB609),N(AA609)*Y609)</f>
        <v/>
      </c>
      <c r="AD609" s="29">
        <f>IF(H609="yes",AC609,0)</f>
        <v/>
      </c>
      <c r="AE609" s="29">
        <f>AD609*N(M609)/100</f>
        <v/>
      </c>
      <c r="AF609" s="29">
        <f>AD609*N(O609)/100</f>
        <v/>
      </c>
      <c r="AG609" s="29">
        <f>AD609*N(P609)/100</f>
        <v/>
      </c>
      <c r="AH609" s="50">
        <f>IF(Q609="yes",AD609/1000,0)</f>
        <v/>
      </c>
      <c r="AI609" s="50">
        <f>IF(S609="FG2",AH609*X609,AH609)</f>
        <v/>
      </c>
    </row>
    <row r="610">
      <c r="A610" s="7" t="inlineStr">
        <is>
          <t>HM00765</t>
        </is>
      </c>
      <c r="B610" s="16" t="inlineStr">
        <is>
          <t>3012345062206</t>
        </is>
      </c>
      <c r="C610" s="7" t="inlineStr">
        <is>
          <t>CASTELNA SUNFLOWER OIL 500ML</t>
        </is>
      </c>
      <c r="D610" s="7" t="inlineStr">
        <is>
          <t>Sunflower oil, 500ml</t>
        </is>
      </c>
      <c r="E610" s="7" t="inlineStr">
        <is>
          <t>Castelna</t>
        </is>
      </c>
      <c r="F610" s="7" t="inlineStr">
        <is>
          <t>Grocery</t>
        </is>
      </c>
      <c r="G610" s="7" t="inlineStr">
        <is>
          <t>Oils</t>
        </is>
      </c>
      <c r="H610" s="7" t="inlineStr">
        <is>
          <t>yes</t>
        </is>
      </c>
      <c r="I610" s="7" t="inlineStr">
        <is>
          <t>Plant-based non-core</t>
        </is>
      </c>
      <c r="J610" s="7" t="inlineStr">
        <is>
          <t>Other</t>
        </is>
      </c>
      <c r="K610" s="7" t="inlineStr">
        <is>
          <t>A</t>
        </is>
      </c>
      <c r="L610" s="7" t="inlineStr">
        <is>
          <t>All ingredients on one side</t>
        </is>
      </c>
      <c r="M610" s="51" t="n">
        <v>0</v>
      </c>
      <c r="N610" s="7" t="inlineStr">
        <is>
          <t>Open Food Facts and NEVO, by EAN</t>
        </is>
      </c>
      <c r="O610" s="54" t="n">
        <v>0</v>
      </c>
      <c r="P610" s="54" t="n">
        <v>0</v>
      </c>
      <c r="Q610" s="7" t="inlineStr">
        <is>
          <t>yes</t>
        </is>
      </c>
      <c r="R610" s="7" t="inlineStr">
        <is>
          <t>whole</t>
        </is>
      </c>
      <c r="S610" s="7" t="inlineStr">
        <is>
          <t>FG3</t>
        </is>
      </c>
      <c r="T610" s="7" t="inlineStr">
        <is>
          <t>Plant-based fat</t>
        </is>
      </c>
      <c r="U610" s="7" t="inlineStr">
        <is>
          <t>plant</t>
        </is>
      </c>
      <c r="V610" s="7" t="n"/>
      <c r="W610" s="7" t="n"/>
      <c r="X610" s="55" t="n">
        <v>1</v>
      </c>
      <c r="Y610" s="50" t="n">
        <v>0.46</v>
      </c>
      <c r="Z610" s="7" t="inlineStr">
        <is>
          <t>declared</t>
        </is>
      </c>
      <c r="AA610" s="19">
        <f>IF(ISBLANK(Welcome!D636),"",Welcome!D636)</f>
        <v/>
      </c>
      <c r="AB610" s="29">
        <f>IF(ISBLANK(Welcome!E636),"",Welcome!E636)</f>
        <v/>
      </c>
      <c r="AC610" s="29">
        <f>IF(N(AB610)&gt;0,N(AB610),N(AA610)*Y610)</f>
        <v/>
      </c>
      <c r="AD610" s="29">
        <f>IF(H610="yes",AC610,0)</f>
        <v/>
      </c>
      <c r="AE610" s="29">
        <f>AD610*N(M610)/100</f>
        <v/>
      </c>
      <c r="AF610" s="29">
        <f>AD610*N(O610)/100</f>
        <v/>
      </c>
      <c r="AG610" s="29">
        <f>AD610*N(P610)/100</f>
        <v/>
      </c>
      <c r="AH610" s="50">
        <f>IF(Q610="yes",AD610/1000,0)</f>
        <v/>
      </c>
      <c r="AI610" s="50">
        <f>IF(S610="FG2",AH610*X610,AH610)</f>
        <v/>
      </c>
    </row>
    <row r="611">
      <c r="A611" s="7" t="inlineStr">
        <is>
          <t>HM00724</t>
        </is>
      </c>
      <c r="B611" s="16" t="inlineStr">
        <is>
          <t>4012345341256</t>
        </is>
      </c>
      <c r="C611" s="7" t="inlineStr">
        <is>
          <t>HM COURGETTES 300G</t>
        </is>
      </c>
      <c r="D611" s="7" t="inlineStr">
        <is>
          <t>Courgettes, 300g</t>
        </is>
      </c>
      <c r="E611" s="7" t="inlineStr">
        <is>
          <t>Harbour Market</t>
        </is>
      </c>
      <c r="F611" s="7" t="inlineStr">
        <is>
          <t>Fruit &amp; Vegetables</t>
        </is>
      </c>
      <c r="G611" s="7" t="inlineStr">
        <is>
          <t>Vegetables</t>
        </is>
      </c>
      <c r="H611" s="7" t="inlineStr">
        <is>
          <t>yes</t>
        </is>
      </c>
      <c r="I611" s="7" t="inlineStr">
        <is>
          <t>Plant-based non-core</t>
        </is>
      </c>
      <c r="J611" s="7" t="inlineStr">
        <is>
          <t>Fruit and vegetables</t>
        </is>
      </c>
      <c r="K611" s="7" t="inlineStr">
        <is>
          <t>B</t>
        </is>
      </c>
      <c r="L611" s="7" t="inlineStr">
        <is>
          <t>Follows the class</t>
        </is>
      </c>
      <c r="M611" s="51" t="n">
        <v>1.9</v>
      </c>
      <c r="N611" s="7" t="inlineStr">
        <is>
          <t>Altera reference base</t>
        </is>
      </c>
      <c r="O611" s="54" t="n">
        <v>1.9</v>
      </c>
      <c r="P611" s="54" t="n">
        <v>0</v>
      </c>
      <c r="Q611" s="7" t="inlineStr">
        <is>
          <t>yes</t>
        </is>
      </c>
      <c r="R611" s="7" t="inlineStr">
        <is>
          <t>whole</t>
        </is>
      </c>
      <c r="S611" s="7" t="inlineStr">
        <is>
          <t>FG4</t>
        </is>
      </c>
      <c r="T611" s="7" t="n"/>
      <c r="U611" s="7" t="inlineStr">
        <is>
          <t>plant</t>
        </is>
      </c>
      <c r="V611" s="7" t="n"/>
      <c r="W611" s="7" t="n"/>
      <c r="X611" s="55" t="n">
        <v>1</v>
      </c>
      <c r="Y611" s="50" t="n">
        <v>0.3</v>
      </c>
      <c r="Z611" s="7" t="inlineStr">
        <is>
          <t>declared</t>
        </is>
      </c>
      <c r="AA611" s="19">
        <f>IF(ISBLANK(Welcome!D637),"",Welcome!D637)</f>
        <v/>
      </c>
      <c r="AB611" s="29">
        <f>IF(ISBLANK(Welcome!E637),"",Welcome!E637)</f>
        <v/>
      </c>
      <c r="AC611" s="29">
        <f>IF(N(AB611)&gt;0,N(AB611),N(AA611)*Y611)</f>
        <v/>
      </c>
      <c r="AD611" s="29">
        <f>IF(H611="yes",AC611,0)</f>
        <v/>
      </c>
      <c r="AE611" s="29">
        <f>AD611*N(M611)/100</f>
        <v/>
      </c>
      <c r="AF611" s="29">
        <f>AD611*N(O611)/100</f>
        <v/>
      </c>
      <c r="AG611" s="29">
        <f>AD611*N(P611)/100</f>
        <v/>
      </c>
      <c r="AH611" s="50">
        <f>IF(Q611="yes",AD611/1000,0)</f>
        <v/>
      </c>
      <c r="AI611" s="50">
        <f>IF(S611="FG2",AH611*X611,AH611)</f>
        <v/>
      </c>
    </row>
    <row r="612">
      <c r="A612" s="7" t="inlineStr">
        <is>
          <t>HM00296</t>
        </is>
      </c>
      <c r="B612" s="16" t="inlineStr">
        <is>
          <t>5012345551005</t>
        </is>
      </c>
      <c r="C612" s="7" t="inlineStr">
        <is>
          <t>SALMON SUSHI BOX 12PC 300G QUILLAN</t>
        </is>
      </c>
      <c r="D612" s="7" t="inlineStr">
        <is>
          <t>Salmon sushi selection, 12pc 300g</t>
        </is>
      </c>
      <c r="E612" s="7" t="inlineStr">
        <is>
          <t>Quillan</t>
        </is>
      </c>
      <c r="F612" s="7" t="inlineStr">
        <is>
          <t>Ready Meals</t>
        </is>
      </c>
      <c r="G612" s="7" t="inlineStr">
        <is>
          <t>Sushi</t>
        </is>
      </c>
      <c r="H612" s="7" t="inlineStr">
        <is>
          <t>yes</t>
        </is>
      </c>
      <c r="I612" s="7" t="inlineStr">
        <is>
          <t>Animal &amp; plant composite</t>
        </is>
      </c>
      <c r="J612" s="7" t="inlineStr">
        <is>
          <t>Fish-based dishes</t>
        </is>
      </c>
      <c r="K612" s="7" t="inlineStr">
        <is>
          <t>A</t>
        </is>
      </c>
      <c r="L612" s="7" t="inlineStr">
        <is>
          <t>NEVO food table (ratio only)</t>
        </is>
      </c>
      <c r="M612" s="51" t="n">
        <v>7.3</v>
      </c>
      <c r="N612" s="7" t="inlineStr">
        <is>
          <t>Declared by the retailer</t>
        </is>
      </c>
      <c r="O612" s="54" t="n">
        <v>3.29</v>
      </c>
      <c r="P612" s="54" t="n">
        <v>4.01</v>
      </c>
      <c r="Q612" s="7" t="inlineStr">
        <is>
          <t>yes</t>
        </is>
      </c>
      <c r="R612" s="7" t="inlineStr">
        <is>
          <t>composite</t>
        </is>
      </c>
      <c r="S612" s="7" t="n"/>
      <c r="T612" s="7" t="n"/>
      <c r="U612" s="7" t="n"/>
      <c r="V612" s="7" t="inlineStr">
        <is>
          <t>seafood-based</t>
        </is>
      </c>
      <c r="W612" s="7" t="n"/>
      <c r="X612" s="55" t="n">
        <v>1</v>
      </c>
      <c r="Y612" s="50" t="n">
        <v>0.3</v>
      </c>
      <c r="Z612" s="7" t="inlineStr">
        <is>
          <t>declared</t>
        </is>
      </c>
      <c r="AA612" s="19">
        <f>IF(ISBLANK(Welcome!D638),"",Welcome!D638)</f>
        <v/>
      </c>
      <c r="AB612" s="29">
        <f>IF(ISBLANK(Welcome!E638),"",Welcome!E638)</f>
        <v/>
      </c>
      <c r="AC612" s="29">
        <f>IF(N(AB612)&gt;0,N(AB612),N(AA612)*Y612)</f>
        <v/>
      </c>
      <c r="AD612" s="29">
        <f>IF(H612="yes",AC612,0)</f>
        <v/>
      </c>
      <c r="AE612" s="29">
        <f>AD612*N(M612)/100</f>
        <v/>
      </c>
      <c r="AF612" s="29">
        <f>AD612*N(O612)/100</f>
        <v/>
      </c>
      <c r="AG612" s="29">
        <f>AD612*N(P612)/100</f>
        <v/>
      </c>
      <c r="AH612" s="50">
        <f>IF(Q612="yes",AD612/1000,0)</f>
        <v/>
      </c>
      <c r="AI612" s="50">
        <f>IF(S612="FG2",AH612*X612,AH612)</f>
        <v/>
      </c>
    </row>
    <row r="613">
      <c r="A613" s="7" t="inlineStr">
        <is>
          <t>HM00168</t>
        </is>
      </c>
      <c r="B613" s="16" t="inlineStr">
        <is>
          <t>4012345067194</t>
        </is>
      </c>
      <c r="C613" s="7" t="inlineStr">
        <is>
          <t>COTTAGE PIE 2X400G QUILLAN</t>
        </is>
      </c>
      <c r="D613" s="7" t="inlineStr">
        <is>
          <t>Cottage pie, 2x400g</t>
        </is>
      </c>
      <c r="E613" s="7" t="inlineStr">
        <is>
          <t>Quillan</t>
        </is>
      </c>
      <c r="F613" s="7" t="inlineStr">
        <is>
          <t>Ready Meals</t>
        </is>
      </c>
      <c r="G613" s="7" t="inlineStr">
        <is>
          <t>Ready Meals</t>
        </is>
      </c>
      <c r="H613" s="7" t="inlineStr">
        <is>
          <t>yes</t>
        </is>
      </c>
      <c r="I613" s="7" t="inlineStr">
        <is>
          <t>Animal &amp; plant composite</t>
        </is>
      </c>
      <c r="J613" s="7" t="inlineStr">
        <is>
          <t>Meat-based dishes</t>
        </is>
      </c>
      <c r="K613" s="7" t="inlineStr">
        <is>
          <t>B</t>
        </is>
      </c>
      <c r="L613" s="7" t="inlineStr">
        <is>
          <t>50/50 convention</t>
        </is>
      </c>
      <c r="M613" s="51" t="n">
        <v>6.7</v>
      </c>
      <c r="N613" s="7" t="inlineStr">
        <is>
          <t>Median of the family</t>
        </is>
      </c>
      <c r="O613" s="54" t="n">
        <v>3.35</v>
      </c>
      <c r="P613" s="54" t="n">
        <v>3.35</v>
      </c>
      <c r="Q613" s="7" t="inlineStr">
        <is>
          <t>yes</t>
        </is>
      </c>
      <c r="R613" s="7" t="inlineStr">
        <is>
          <t>composite</t>
        </is>
      </c>
      <c r="S613" s="7" t="n"/>
      <c r="T613" s="7" t="n"/>
      <c r="U613" s="7" t="n"/>
      <c r="V613" s="7" t="inlineStr">
        <is>
          <t>meat-based</t>
        </is>
      </c>
      <c r="W613" s="7" t="n"/>
      <c r="X613" s="55" t="n">
        <v>1</v>
      </c>
      <c r="Y613" s="50" t="n">
        <v>0.8</v>
      </c>
      <c r="Z613" s="7" t="inlineStr">
        <is>
          <t>declared</t>
        </is>
      </c>
      <c r="AA613" s="19">
        <f>IF(ISBLANK(Welcome!D639),"",Welcome!D639)</f>
        <v/>
      </c>
      <c r="AB613" s="29">
        <f>IF(ISBLANK(Welcome!E639),"",Welcome!E639)</f>
        <v/>
      </c>
      <c r="AC613" s="29">
        <f>IF(N(AB613)&gt;0,N(AB613),N(AA613)*Y613)</f>
        <v/>
      </c>
      <c r="AD613" s="29">
        <f>IF(H613="yes",AC613,0)</f>
        <v/>
      </c>
      <c r="AE613" s="29">
        <f>AD613*N(M613)/100</f>
        <v/>
      </c>
      <c r="AF613" s="29">
        <f>AD613*N(O613)/100</f>
        <v/>
      </c>
      <c r="AG613" s="29">
        <f>AD613*N(P613)/100</f>
        <v/>
      </c>
      <c r="AH613" s="50">
        <f>IF(Q613="yes",AD613/1000,0)</f>
        <v/>
      </c>
      <c r="AI613" s="50">
        <f>IF(S613="FG2",AH613*X613,AH613)</f>
        <v/>
      </c>
    </row>
    <row r="614">
      <c r="A614" s="7" t="inlineStr">
        <is>
          <t>HM00505</t>
        </is>
      </c>
      <c r="B614" s="16" t="inlineStr">
        <is>
          <t>4012345664935</t>
        </is>
      </c>
      <c r="C614" s="7" t="inlineStr">
        <is>
          <t>VEG CURRY RICE 400G QUILLAN</t>
        </is>
      </c>
      <c r="D614" s="7" t="inlineStr">
        <is>
          <t>Vegetable curry with rice, 400g</t>
        </is>
      </c>
      <c r="E614" s="7" t="inlineStr">
        <is>
          <t>Quillan</t>
        </is>
      </c>
      <c r="F614" s="7" t="inlineStr">
        <is>
          <t>Ready Meals</t>
        </is>
      </c>
      <c r="G614" s="7" t="inlineStr">
        <is>
          <t>Ready Meals</t>
        </is>
      </c>
      <c r="H614" s="7" t="inlineStr">
        <is>
          <t>yes</t>
        </is>
      </c>
      <c r="I614" s="7" t="inlineStr">
        <is>
          <t>Plant-based non-core</t>
        </is>
      </c>
      <c r="J614" s="7" t="inlineStr">
        <is>
          <t>Other</t>
        </is>
      </c>
      <c r="K614" s="7" t="inlineStr">
        <is>
          <t>A</t>
        </is>
      </c>
      <c r="L614" s="7" t="inlineStr">
        <is>
          <t>All ingredients on one side</t>
        </is>
      </c>
      <c r="M614" s="51" t="n">
        <v>4.2</v>
      </c>
      <c r="N614" s="7" t="inlineStr">
        <is>
          <t>Declared by the retailer</t>
        </is>
      </c>
      <c r="O614" s="54" t="n">
        <v>4.2</v>
      </c>
      <c r="P614" s="54" t="n">
        <v>0</v>
      </c>
      <c r="Q614" s="7" t="inlineStr">
        <is>
          <t>yes</t>
        </is>
      </c>
      <c r="R614" s="7" t="inlineStr">
        <is>
          <t>composite</t>
        </is>
      </c>
      <c r="S614" s="7" t="n"/>
      <c r="T614" s="7" t="n"/>
      <c r="U614" s="7" t="n"/>
      <c r="V614" s="7" t="inlineStr">
        <is>
          <t>vegan</t>
        </is>
      </c>
      <c r="W614" s="7" t="n"/>
      <c r="X614" s="55" t="n">
        <v>1</v>
      </c>
      <c r="Y614" s="50" t="n">
        <v>0.4</v>
      </c>
      <c r="Z614" s="7" t="inlineStr">
        <is>
          <t>declared</t>
        </is>
      </c>
      <c r="AA614" s="19">
        <f>IF(ISBLANK(Welcome!D640),"",Welcome!D640)</f>
        <v/>
      </c>
      <c r="AB614" s="29">
        <f>IF(ISBLANK(Welcome!E640),"",Welcome!E640)</f>
        <v/>
      </c>
      <c r="AC614" s="29">
        <f>IF(N(AB614)&gt;0,N(AB614),N(AA614)*Y614)</f>
        <v/>
      </c>
      <c r="AD614" s="29">
        <f>IF(H614="yes",AC614,0)</f>
        <v/>
      </c>
      <c r="AE614" s="29">
        <f>AD614*N(M614)/100</f>
        <v/>
      </c>
      <c r="AF614" s="29">
        <f>AD614*N(O614)/100</f>
        <v/>
      </c>
      <c r="AG614" s="29">
        <f>AD614*N(P614)/100</f>
        <v/>
      </c>
      <c r="AH614" s="50">
        <f>IF(Q614="yes",AD614/1000,0)</f>
        <v/>
      </c>
      <c r="AI614" s="50">
        <f>IF(S614="FG2",AH614*X614,AH614)</f>
        <v/>
      </c>
    </row>
    <row r="615">
      <c r="A615" s="7" t="inlineStr">
        <is>
          <t>HM00666</t>
        </is>
      </c>
      <c r="B615" s="16" t="inlineStr">
        <is>
          <t>5012345329888</t>
        </is>
      </c>
      <c r="C615" s="7" t="inlineStr">
        <is>
          <t>MARLOWE VANILLA ICE CREAM 900ML</t>
        </is>
      </c>
      <c r="D615" s="7" t="inlineStr">
        <is>
          <t>Vanilla ice cream, 900ml</t>
        </is>
      </c>
      <c r="E615" s="7" t="inlineStr">
        <is>
          <t>Marlowe</t>
        </is>
      </c>
      <c r="F615" s="7" t="inlineStr">
        <is>
          <t>Frozen</t>
        </is>
      </c>
      <c r="G615" s="7" t="inlineStr">
        <is>
          <t>Ice Cream</t>
        </is>
      </c>
      <c r="H615" s="7" t="inlineStr">
        <is>
          <t>yes</t>
        </is>
      </c>
      <c r="I615" s="7" t="inlineStr">
        <is>
          <t>Animal core</t>
        </is>
      </c>
      <c r="J615" s="7" t="inlineStr">
        <is>
          <t>Discretionary products</t>
        </is>
      </c>
      <c r="K615" s="7" t="inlineStr">
        <is>
          <t>B</t>
        </is>
      </c>
      <c r="L615" s="7" t="inlineStr">
        <is>
          <t>First ingredient</t>
        </is>
      </c>
      <c r="M615" s="51" t="n">
        <v>3.4</v>
      </c>
      <c r="N615" s="7" t="inlineStr">
        <is>
          <t>Declared by the retailer</t>
        </is>
      </c>
      <c r="O615" s="54" t="n">
        <v>0</v>
      </c>
      <c r="P615" s="54" t="n">
        <v>3.4</v>
      </c>
      <c r="Q615" s="7" t="inlineStr">
        <is>
          <t>yes</t>
        </is>
      </c>
      <c r="R615" s="7" t="inlineStr">
        <is>
          <t>whole</t>
        </is>
      </c>
      <c r="S615" s="7" t="inlineStr">
        <is>
          <t>FG7</t>
        </is>
      </c>
      <c r="T615" s="7" t="n"/>
      <c r="U615" s="7" t="inlineStr">
        <is>
          <t>animal</t>
        </is>
      </c>
      <c r="V615" s="7" t="n"/>
      <c r="W615" s="7" t="n"/>
      <c r="X615" s="55" t="n">
        <v>1</v>
      </c>
      <c r="Y615" s="50" t="n">
        <v>0.5</v>
      </c>
      <c r="Z615" s="7" t="inlineStr">
        <is>
          <t>declared</t>
        </is>
      </c>
      <c r="AA615" s="19">
        <f>IF(ISBLANK(Welcome!D641),"",Welcome!D641)</f>
        <v/>
      </c>
      <c r="AB615" s="29">
        <f>IF(ISBLANK(Welcome!E641),"",Welcome!E641)</f>
        <v/>
      </c>
      <c r="AC615" s="29">
        <f>IF(N(AB615)&gt;0,N(AB615),N(AA615)*Y615)</f>
        <v/>
      </c>
      <c r="AD615" s="29">
        <f>IF(H615="yes",AC615,0)</f>
        <v/>
      </c>
      <c r="AE615" s="29">
        <f>AD615*N(M615)/100</f>
        <v/>
      </c>
      <c r="AF615" s="29">
        <f>AD615*N(O615)/100</f>
        <v/>
      </c>
      <c r="AG615" s="29">
        <f>AD615*N(P615)/100</f>
        <v/>
      </c>
      <c r="AH615" s="50">
        <f>IF(Q615="yes",AD615/1000,0)</f>
        <v/>
      </c>
      <c r="AI615" s="50">
        <f>IF(S615="FG2",AH615*X615,AH615)</f>
        <v/>
      </c>
    </row>
    <row r="616">
      <c r="A616" s="7" t="inlineStr">
        <is>
          <t>HM00023</t>
        </is>
      </c>
      <c r="B616" s="16" t="inlineStr">
        <is>
          <t>8712345602871</t>
        </is>
      </c>
      <c r="C616" s="7" t="inlineStr">
        <is>
          <t>WHLWHT PENNE 1KG ORVALIS</t>
        </is>
      </c>
      <c r="D616" s="7" t="inlineStr">
        <is>
          <t>Wholewheat penne, 1kg</t>
        </is>
      </c>
      <c r="E616" s="7" t="inlineStr">
        <is>
          <t>Orvalis</t>
        </is>
      </c>
      <c r="F616" s="7" t="inlineStr">
        <is>
          <t>Grocery</t>
        </is>
      </c>
      <c r="G616" s="7" t="inlineStr">
        <is>
          <t>Pasta</t>
        </is>
      </c>
      <c r="H616" s="7" t="inlineStr">
        <is>
          <t>yes</t>
        </is>
      </c>
      <c r="I616" s="7" t="inlineStr">
        <is>
          <t>Plant-based non-core</t>
        </is>
      </c>
      <c r="J616" s="7" t="inlineStr">
        <is>
          <t>Whole grains</t>
        </is>
      </c>
      <c r="K616" s="7" t="inlineStr">
        <is>
          <t>A</t>
        </is>
      </c>
      <c r="L616" s="7" t="inlineStr">
        <is>
          <t>All ingredients on one side</t>
        </is>
      </c>
      <c r="M616" s="51" t="n">
        <v>13.7</v>
      </c>
      <c r="N616" s="7" t="inlineStr">
        <is>
          <t>Declared by the retailer</t>
        </is>
      </c>
      <c r="O616" s="54" t="n">
        <v>13.7</v>
      </c>
      <c r="P616" s="54" t="n">
        <v>0</v>
      </c>
      <c r="Q616" s="7" t="inlineStr">
        <is>
          <t>yes</t>
        </is>
      </c>
      <c r="R616" s="7" t="inlineStr">
        <is>
          <t>whole</t>
        </is>
      </c>
      <c r="S616" s="7" t="inlineStr">
        <is>
          <t>FG5</t>
        </is>
      </c>
      <c r="T616" s="7" t="inlineStr">
        <is>
          <t>Whole grain</t>
        </is>
      </c>
      <c r="U616" s="7" t="inlineStr">
        <is>
          <t>plant</t>
        </is>
      </c>
      <c r="V616" s="7" t="n"/>
      <c r="W616" s="7" t="n"/>
      <c r="X616" s="55" t="n">
        <v>1</v>
      </c>
      <c r="Y616" s="50" t="n">
        <v>1</v>
      </c>
      <c r="Z616" s="7" t="inlineStr">
        <is>
          <t>declared</t>
        </is>
      </c>
      <c r="AA616" s="19">
        <f>IF(ISBLANK(Welcome!D642),"",Welcome!D642)</f>
        <v/>
      </c>
      <c r="AB616" s="29">
        <f>IF(ISBLANK(Welcome!E642),"",Welcome!E642)</f>
        <v/>
      </c>
      <c r="AC616" s="29">
        <f>IF(N(AB616)&gt;0,N(AB616),N(AA616)*Y616)</f>
        <v/>
      </c>
      <c r="AD616" s="29">
        <f>IF(H616="yes",AC616,0)</f>
        <v/>
      </c>
      <c r="AE616" s="29">
        <f>AD616*N(M616)/100</f>
        <v/>
      </c>
      <c r="AF616" s="29">
        <f>AD616*N(O616)/100</f>
        <v/>
      </c>
      <c r="AG616" s="29">
        <f>AD616*N(P616)/100</f>
        <v/>
      </c>
      <c r="AH616" s="50">
        <f>IF(Q616="yes",AD616/1000,0)</f>
        <v/>
      </c>
      <c r="AI616" s="50">
        <f>IF(S616="FG2",AH616*X616,AH616)</f>
        <v/>
      </c>
    </row>
    <row r="617">
      <c r="A617" s="7" t="inlineStr">
        <is>
          <t>HM00221</t>
        </is>
      </c>
      <c r="B617" s="16" t="inlineStr">
        <is>
          <t>8712345611101</t>
        </is>
      </c>
      <c r="C617" s="7" t="inlineStr">
        <is>
          <t>HM PIZZA MARGHERITA 335G</t>
        </is>
      </c>
      <c r="D617" s="7" t="inlineStr">
        <is>
          <t>Margherita pizza, 335g</t>
        </is>
      </c>
      <c r="E617" s="7" t="inlineStr">
        <is>
          <t>Harbour Market</t>
        </is>
      </c>
      <c r="F617" s="7" t="inlineStr">
        <is>
          <t>Frozen</t>
        </is>
      </c>
      <c r="G617" s="7" t="inlineStr">
        <is>
          <t>Pizza</t>
        </is>
      </c>
      <c r="H617" s="7" t="inlineStr">
        <is>
          <t>yes</t>
        </is>
      </c>
      <c r="I617" s="7" t="inlineStr">
        <is>
          <t>Animal &amp; plant composite</t>
        </is>
      </c>
      <c r="J617" s="7" t="inlineStr">
        <is>
          <t>Vegetarian dishes</t>
        </is>
      </c>
      <c r="K617" s="7" t="inlineStr">
        <is>
          <t>B</t>
        </is>
      </c>
      <c r="L617" s="7" t="inlineStr">
        <is>
          <t>50/50 convention</t>
        </is>
      </c>
      <c r="M617" s="51" t="n">
        <v>10.4</v>
      </c>
      <c r="N617" s="7" t="inlineStr">
        <is>
          <t>Open Food Facts and NEVO, by EAN</t>
        </is>
      </c>
      <c r="O617" s="54" t="n">
        <v>5.2</v>
      </c>
      <c r="P617" s="54" t="n">
        <v>5.2</v>
      </c>
      <c r="Q617" s="7" t="inlineStr">
        <is>
          <t>yes</t>
        </is>
      </c>
      <c r="R617" s="7" t="inlineStr">
        <is>
          <t>composite</t>
        </is>
      </c>
      <c r="S617" s="7" t="n"/>
      <c r="T617" s="7" t="n"/>
      <c r="U617" s="7" t="n"/>
      <c r="V617" s="7" t="inlineStr">
        <is>
          <t>vegetarian</t>
        </is>
      </c>
      <c r="W617" s="7" t="n"/>
      <c r="X617" s="55" t="n">
        <v>1</v>
      </c>
      <c r="Y617" s="50" t="n">
        <v>0.335</v>
      </c>
      <c r="Z617" s="7" t="inlineStr">
        <is>
          <t>declared</t>
        </is>
      </c>
      <c r="AA617" s="19">
        <f>IF(ISBLANK(Welcome!D643),"",Welcome!D643)</f>
        <v/>
      </c>
      <c r="AB617" s="29">
        <f>IF(ISBLANK(Welcome!E643),"",Welcome!E643)</f>
        <v/>
      </c>
      <c r="AC617" s="29">
        <f>IF(N(AB617)&gt;0,N(AB617),N(AA617)*Y617)</f>
        <v/>
      </c>
      <c r="AD617" s="29">
        <f>IF(H617="yes",AC617,0)</f>
        <v/>
      </c>
      <c r="AE617" s="29">
        <f>AD617*N(M617)/100</f>
        <v/>
      </c>
      <c r="AF617" s="29">
        <f>AD617*N(O617)/100</f>
        <v/>
      </c>
      <c r="AG617" s="29">
        <f>AD617*N(P617)/100</f>
        <v/>
      </c>
      <c r="AH617" s="50">
        <f>IF(Q617="yes",AD617/1000,0)</f>
        <v/>
      </c>
      <c r="AI617" s="50">
        <f>IF(S617="FG2",AH617*X617,AH617)</f>
        <v/>
      </c>
    </row>
    <row r="618">
      <c r="A618" s="7" t="inlineStr">
        <is>
          <t>HM00414</t>
        </is>
      </c>
      <c r="B618" s="16" t="inlineStr">
        <is>
          <t>4012345447200</t>
        </is>
      </c>
      <c r="C618" s="7" t="inlineStr">
        <is>
          <t>HM PORK LOIN CHOPS 400G</t>
        </is>
      </c>
      <c r="D618" s="7" t="inlineStr">
        <is>
          <t>Pork loin chops, 400g</t>
        </is>
      </c>
      <c r="E618" s="7" t="inlineStr">
        <is>
          <t>Harbour Market</t>
        </is>
      </c>
      <c r="F618" s="7" t="inlineStr">
        <is>
          <t>Fresh Meat &amp; Poultry</t>
        </is>
      </c>
      <c r="G618" s="7" t="inlineStr">
        <is>
          <t>Pork</t>
        </is>
      </c>
      <c r="H618" s="7" t="inlineStr">
        <is>
          <t>yes</t>
        </is>
      </c>
      <c r="I618" s="7" t="inlineStr">
        <is>
          <t>Animal core</t>
        </is>
      </c>
      <c r="J618" s="7" t="inlineStr">
        <is>
          <t>Red meat</t>
        </is>
      </c>
      <c r="K618" s="7" t="inlineStr">
        <is>
          <t>B</t>
        </is>
      </c>
      <c r="L618" s="7" t="inlineStr">
        <is>
          <t>Follows the class</t>
        </is>
      </c>
      <c r="M618" s="51" t="n">
        <v>19.5</v>
      </c>
      <c r="N618" s="7" t="inlineStr">
        <is>
          <t>Open Food Facts and NEVO, by EAN</t>
        </is>
      </c>
      <c r="O618" s="54" t="n">
        <v>0</v>
      </c>
      <c r="P618" s="54" t="n">
        <v>19.5</v>
      </c>
      <c r="Q618" s="7" t="inlineStr">
        <is>
          <t>yes</t>
        </is>
      </c>
      <c r="R618" s="7" t="inlineStr">
        <is>
          <t>whole</t>
        </is>
      </c>
      <c r="S618" s="7" t="inlineStr">
        <is>
          <t>FG1</t>
        </is>
      </c>
      <c r="T618" s="7" t="inlineStr">
        <is>
          <t>Red meat</t>
        </is>
      </c>
      <c r="U618" s="7" t="inlineStr">
        <is>
          <t>animal</t>
        </is>
      </c>
      <c r="V618" s="7" t="n"/>
      <c r="W618" s="7" t="n"/>
      <c r="X618" s="55" t="n">
        <v>1</v>
      </c>
      <c r="Y618" s="50" t="n">
        <v>0.4</v>
      </c>
      <c r="Z618" s="7" t="inlineStr">
        <is>
          <t>declared</t>
        </is>
      </c>
      <c r="AA618" s="19">
        <f>IF(ISBLANK(Welcome!D644),"",Welcome!D644)</f>
        <v/>
      </c>
      <c r="AB618" s="29">
        <f>IF(ISBLANK(Welcome!E644),"",Welcome!E644)</f>
        <v/>
      </c>
      <c r="AC618" s="29">
        <f>IF(N(AB618)&gt;0,N(AB618),N(AA618)*Y618)</f>
        <v/>
      </c>
      <c r="AD618" s="29">
        <f>IF(H618="yes",AC618,0)</f>
        <v/>
      </c>
      <c r="AE618" s="29">
        <f>AD618*N(M618)/100</f>
        <v/>
      </c>
      <c r="AF618" s="29">
        <f>AD618*N(O618)/100</f>
        <v/>
      </c>
      <c r="AG618" s="29">
        <f>AD618*N(P618)/100</f>
        <v/>
      </c>
      <c r="AH618" s="50">
        <f>IF(Q618="yes",AD618/1000,0)</f>
        <v/>
      </c>
      <c r="AI618" s="50">
        <f>IF(S618="FG2",AH618*X618,AH618)</f>
        <v/>
      </c>
    </row>
    <row r="619">
      <c r="A619" s="7" t="inlineStr">
        <is>
          <t>HM00739</t>
        </is>
      </c>
      <c r="B619" s="16" t="inlineStr">
        <is>
          <t>3012345733748</t>
        </is>
      </c>
      <c r="C619" s="7" t="inlineStr">
        <is>
          <t>HM ROAST CHKN SLICES 180G</t>
        </is>
      </c>
      <c r="D619" s="7" t="inlineStr">
        <is>
          <t>Roast chicken slices, 180g</t>
        </is>
      </c>
      <c r="E619" s="7" t="inlineStr">
        <is>
          <t>Harbour Market</t>
        </is>
      </c>
      <c r="F619" s="7" t="inlineStr">
        <is>
          <t>Deli</t>
        </is>
      </c>
      <c r="G619" s="7" t="inlineStr">
        <is>
          <t>Cooked Meats</t>
        </is>
      </c>
      <c r="H619" s="7" t="inlineStr">
        <is>
          <t>yes</t>
        </is>
      </c>
      <c r="I619" s="7" t="inlineStr">
        <is>
          <t>Animal core</t>
        </is>
      </c>
      <c r="J619" s="7" t="inlineStr">
        <is>
          <t>Dishes and processed products</t>
        </is>
      </c>
      <c r="K619" s="7" t="inlineStr">
        <is>
          <t>B</t>
        </is>
      </c>
      <c r="L619" s="7" t="inlineStr">
        <is>
          <t>Follows the class</t>
        </is>
      </c>
      <c r="M619" s="51" t="n">
        <v>21.1</v>
      </c>
      <c r="N619" s="7" t="inlineStr">
        <is>
          <t>Altera reference base</t>
        </is>
      </c>
      <c r="O619" s="54" t="n">
        <v>0</v>
      </c>
      <c r="P619" s="54" t="n">
        <v>21.1</v>
      </c>
      <c r="Q619" s="7" t="inlineStr">
        <is>
          <t>yes</t>
        </is>
      </c>
      <c r="R619" s="7" t="inlineStr">
        <is>
          <t>whole</t>
        </is>
      </c>
      <c r="S619" s="7" t="inlineStr">
        <is>
          <t>FG1</t>
        </is>
      </c>
      <c r="T619" s="7" t="inlineStr">
        <is>
          <t>Poultry</t>
        </is>
      </c>
      <c r="U619" s="7" t="inlineStr">
        <is>
          <t>animal</t>
        </is>
      </c>
      <c r="V619" s="7" t="n"/>
      <c r="W619" s="7" t="n"/>
      <c r="X619" s="55" t="n">
        <v>1</v>
      </c>
      <c r="Y619" s="50" t="n">
        <v>0.18</v>
      </c>
      <c r="Z619" s="7" t="inlineStr">
        <is>
          <t>declared</t>
        </is>
      </c>
      <c r="AA619" s="19">
        <f>IF(ISBLANK(Welcome!D645),"",Welcome!D645)</f>
        <v/>
      </c>
      <c r="AB619" s="29">
        <f>IF(ISBLANK(Welcome!E645),"",Welcome!E645)</f>
        <v/>
      </c>
      <c r="AC619" s="29">
        <f>IF(N(AB619)&gt;0,N(AB619),N(AA619)*Y619)</f>
        <v/>
      </c>
      <c r="AD619" s="29">
        <f>IF(H619="yes",AC619,0)</f>
        <v/>
      </c>
      <c r="AE619" s="29">
        <f>AD619*N(M619)/100</f>
        <v/>
      </c>
      <c r="AF619" s="29">
        <f>AD619*N(O619)/100</f>
        <v/>
      </c>
      <c r="AG619" s="29">
        <f>AD619*N(P619)/100</f>
        <v/>
      </c>
      <c r="AH619" s="50">
        <f>IF(Q619="yes",AD619/1000,0)</f>
        <v/>
      </c>
      <c r="AI619" s="50">
        <f>IF(S619="FG2",AH619*X619,AH619)</f>
        <v/>
      </c>
    </row>
    <row r="620">
      <c r="A620" s="7" t="inlineStr">
        <is>
          <t>HM00726</t>
        </is>
      </c>
      <c r="B620" s="16" t="inlineStr">
        <is>
          <t>8712345899516</t>
        </is>
      </c>
      <c r="C620" s="7" t="inlineStr">
        <is>
          <t>HM SALT VINEGAR CRISPS 6PK 150G</t>
        </is>
      </c>
      <c r="D620" s="7" t="inlineStr">
        <is>
          <t>Salt &amp; vinegar crisps, 6pk 150g</t>
        </is>
      </c>
      <c r="E620" s="7" t="inlineStr">
        <is>
          <t>Harbour Market</t>
        </is>
      </c>
      <c r="F620" s="7" t="inlineStr">
        <is>
          <t>Breakfast &amp; Snacks</t>
        </is>
      </c>
      <c r="G620" s="7" t="inlineStr">
        <is>
          <t>Crisps</t>
        </is>
      </c>
      <c r="H620" s="7" t="inlineStr">
        <is>
          <t>yes</t>
        </is>
      </c>
      <c r="I620" s="7" t="inlineStr">
        <is>
          <t>Plant-based non-core</t>
        </is>
      </c>
      <c r="J620" s="7" t="inlineStr">
        <is>
          <t>Discretionary products</t>
        </is>
      </c>
      <c r="K620" s="7" t="inlineStr">
        <is>
          <t>A</t>
        </is>
      </c>
      <c r="L620" s="7" t="inlineStr">
        <is>
          <t>All ingredients on one side</t>
        </is>
      </c>
      <c r="M620" s="51" t="n">
        <v>6.1</v>
      </c>
      <c r="N620" s="7" t="inlineStr">
        <is>
          <t>Declared by the retailer</t>
        </is>
      </c>
      <c r="O620" s="54" t="n">
        <v>6.1</v>
      </c>
      <c r="P620" s="54" t="n">
        <v>0</v>
      </c>
      <c r="Q620" s="7" t="inlineStr">
        <is>
          <t>yes</t>
        </is>
      </c>
      <c r="R620" s="7" t="inlineStr">
        <is>
          <t>whole</t>
        </is>
      </c>
      <c r="S620" s="7" t="inlineStr">
        <is>
          <t>FG7</t>
        </is>
      </c>
      <c r="T620" s="7" t="n"/>
      <c r="U620" s="7" t="inlineStr">
        <is>
          <t>plant</t>
        </is>
      </c>
      <c r="V620" s="7" t="n"/>
      <c r="W620" s="7" t="n"/>
      <c r="X620" s="55" t="n">
        <v>1</v>
      </c>
      <c r="Y620" s="50" t="n">
        <v>0.15</v>
      </c>
      <c r="Z620" s="7" t="inlineStr">
        <is>
          <t>declared</t>
        </is>
      </c>
      <c r="AA620" s="19">
        <f>IF(ISBLANK(Welcome!D646),"",Welcome!D646)</f>
        <v/>
      </c>
      <c r="AB620" s="29">
        <f>IF(ISBLANK(Welcome!E646),"",Welcome!E646)</f>
        <v/>
      </c>
      <c r="AC620" s="29">
        <f>IF(N(AB620)&gt;0,N(AB620),N(AA620)*Y620)</f>
        <v/>
      </c>
      <c r="AD620" s="29">
        <f>IF(H620="yes",AC620,0)</f>
        <v/>
      </c>
      <c r="AE620" s="29">
        <f>AD620*N(M620)/100</f>
        <v/>
      </c>
      <c r="AF620" s="29">
        <f>AD620*N(O620)/100</f>
        <v/>
      </c>
      <c r="AG620" s="29">
        <f>AD620*N(P620)/100</f>
        <v/>
      </c>
      <c r="AH620" s="50">
        <f>IF(Q620="yes",AD620/1000,0)</f>
        <v/>
      </c>
      <c r="AI620" s="50">
        <f>IF(S620="FG2",AH620*X620,AH620)</f>
        <v/>
      </c>
    </row>
    <row r="621">
      <c r="A621" s="7" t="inlineStr">
        <is>
          <t>HM00056</t>
        </is>
      </c>
      <c r="B621" s="16" t="inlineStr">
        <is>
          <t>5012345131153</t>
        </is>
      </c>
      <c r="C621" s="7" t="inlineStr">
        <is>
          <t>PENROCK SOUR CRM ONION CRISPS 150G</t>
        </is>
      </c>
      <c r="D621" s="7" t="inlineStr">
        <is>
          <t>Sour cream &amp; onion crisps, 150g</t>
        </is>
      </c>
      <c r="E621" s="7" t="inlineStr">
        <is>
          <t>Penrock</t>
        </is>
      </c>
      <c r="F621" s="7" t="inlineStr">
        <is>
          <t>Breakfast &amp; Snacks</t>
        </is>
      </c>
      <c r="G621" s="7" t="inlineStr">
        <is>
          <t>Crisps</t>
        </is>
      </c>
      <c r="H621" s="7" t="inlineStr">
        <is>
          <t>yes</t>
        </is>
      </c>
      <c r="I621" s="7" t="inlineStr">
        <is>
          <t>Animal &amp; plant composite</t>
        </is>
      </c>
      <c r="J621" s="7" t="inlineStr">
        <is>
          <t>Discretionary products</t>
        </is>
      </c>
      <c r="K621" s="7" t="inlineStr">
        <is>
          <t>A</t>
        </is>
      </c>
      <c r="L621" s="7" t="inlineStr">
        <is>
          <t>NEVO food table (ratio only)</t>
        </is>
      </c>
      <c r="M621" s="51" t="n">
        <v>6.3</v>
      </c>
      <c r="N621" s="7" t="inlineStr">
        <is>
          <t>Open Food Facts and NEVO, by EAN</t>
        </is>
      </c>
      <c r="O621" s="54" t="n">
        <v>5.86</v>
      </c>
      <c r="P621" s="54" t="n">
        <v>0.44</v>
      </c>
      <c r="Q621" s="7" t="inlineStr">
        <is>
          <t>yes</t>
        </is>
      </c>
      <c r="R621" s="7" t="inlineStr">
        <is>
          <t>whole</t>
        </is>
      </c>
      <c r="S621" s="7" t="inlineStr">
        <is>
          <t>FG7</t>
        </is>
      </c>
      <c r="T621" s="7" t="n"/>
      <c r="U621" s="7" t="inlineStr">
        <is>
          <t>animal</t>
        </is>
      </c>
      <c r="V621" s="7" t="n"/>
      <c r="W621" s="7" t="n"/>
      <c r="X621" s="55" t="n">
        <v>1</v>
      </c>
      <c r="Y621" s="50" t="n">
        <v>0.15</v>
      </c>
      <c r="Z621" s="7" t="inlineStr">
        <is>
          <t>declared</t>
        </is>
      </c>
      <c r="AA621" s="19">
        <f>IF(ISBLANK(Welcome!D647),"",Welcome!D647)</f>
        <v/>
      </c>
      <c r="AB621" s="29">
        <f>IF(ISBLANK(Welcome!E647),"",Welcome!E647)</f>
        <v/>
      </c>
      <c r="AC621" s="29">
        <f>IF(N(AB621)&gt;0,N(AB621),N(AA621)*Y621)</f>
        <v/>
      </c>
      <c r="AD621" s="29">
        <f>IF(H621="yes",AC621,0)</f>
        <v/>
      </c>
      <c r="AE621" s="29">
        <f>AD621*N(M621)/100</f>
        <v/>
      </c>
      <c r="AF621" s="29">
        <f>AD621*N(O621)/100</f>
        <v/>
      </c>
      <c r="AG621" s="29">
        <f>AD621*N(P621)/100</f>
        <v/>
      </c>
      <c r="AH621" s="50">
        <f>IF(Q621="yes",AD621/1000,0)</f>
        <v/>
      </c>
      <c r="AI621" s="50">
        <f>IF(S621="FG2",AH621*X621,AH621)</f>
        <v/>
      </c>
    </row>
    <row r="622">
      <c r="A622" s="7" t="inlineStr">
        <is>
          <t>HM00363</t>
        </is>
      </c>
      <c r="B622" s="16" t="inlineStr">
        <is>
          <t>5012345623382</t>
        </is>
      </c>
      <c r="C622" s="7" t="inlineStr">
        <is>
          <t>TARROW COOKED HAM 400G</t>
        </is>
      </c>
      <c r="D622" s="7" t="inlineStr">
        <is>
          <t>Cooked ham, 400g</t>
        </is>
      </c>
      <c r="E622" s="7" t="inlineStr">
        <is>
          <t>Tarrow Farm</t>
        </is>
      </c>
      <c r="F622" s="7" t="inlineStr">
        <is>
          <t>Deli</t>
        </is>
      </c>
      <c r="G622" s="7" t="inlineStr">
        <is>
          <t>Cooked Meats</t>
        </is>
      </c>
      <c r="H622" s="7" t="inlineStr">
        <is>
          <t>yes</t>
        </is>
      </c>
      <c r="I622" s="7" t="inlineStr">
        <is>
          <t>Animal core</t>
        </is>
      </c>
      <c r="J622" s="7" t="inlineStr">
        <is>
          <t>Dishes and processed products</t>
        </is>
      </c>
      <c r="K622" s="7" t="inlineStr">
        <is>
          <t>A</t>
        </is>
      </c>
      <c r="L622" s="7" t="inlineStr">
        <is>
          <t>All ingredients on one side</t>
        </is>
      </c>
      <c r="M622" s="51" t="n">
        <v>18.3</v>
      </c>
      <c r="N622" s="7" t="inlineStr">
        <is>
          <t>Declared by the retailer</t>
        </is>
      </c>
      <c r="O622" s="54" t="n">
        <v>0</v>
      </c>
      <c r="P622" s="54" t="n">
        <v>18.3</v>
      </c>
      <c r="Q622" s="7" t="inlineStr">
        <is>
          <t>yes</t>
        </is>
      </c>
      <c r="R622" s="7" t="inlineStr">
        <is>
          <t>whole</t>
        </is>
      </c>
      <c r="S622" s="7" t="inlineStr">
        <is>
          <t>FG1</t>
        </is>
      </c>
      <c r="T622" s="7" t="inlineStr">
        <is>
          <t>Red meat</t>
        </is>
      </c>
      <c r="U622" s="7" t="inlineStr">
        <is>
          <t>animal</t>
        </is>
      </c>
      <c r="V622" s="7" t="n"/>
      <c r="W622" s="7" t="n"/>
      <c r="X622" s="55" t="n">
        <v>1</v>
      </c>
      <c r="Y622" s="50" t="n">
        <v>0.4</v>
      </c>
      <c r="Z622" s="7" t="inlineStr">
        <is>
          <t>declared</t>
        </is>
      </c>
      <c r="AA622" s="19">
        <f>IF(ISBLANK(Welcome!D648),"",Welcome!D648)</f>
        <v/>
      </c>
      <c r="AB622" s="29">
        <f>IF(ISBLANK(Welcome!E648),"",Welcome!E648)</f>
        <v/>
      </c>
      <c r="AC622" s="29">
        <f>IF(N(AB622)&gt;0,N(AB622),N(AA622)*Y622)</f>
        <v/>
      </c>
      <c r="AD622" s="29">
        <f>IF(H622="yes",AC622,0)</f>
        <v/>
      </c>
      <c r="AE622" s="29">
        <f>AD622*N(M622)/100</f>
        <v/>
      </c>
      <c r="AF622" s="29">
        <f>AD622*N(O622)/100</f>
        <v/>
      </c>
      <c r="AG622" s="29">
        <f>AD622*N(P622)/100</f>
        <v/>
      </c>
      <c r="AH622" s="50">
        <f>IF(Q622="yes",AD622/1000,0)</f>
        <v/>
      </c>
      <c r="AI622" s="50">
        <f>IF(S622="FG2",AH622*X622,AH622)</f>
        <v/>
      </c>
    </row>
    <row r="623">
      <c r="A623" s="7" t="inlineStr">
        <is>
          <t>HM00590</t>
        </is>
      </c>
      <c r="B623" s="16" t="inlineStr">
        <is>
          <t>5012345386058</t>
        </is>
      </c>
      <c r="C623" s="7" t="inlineStr">
        <is>
          <t>SMKD SALMON 200G KESTREL</t>
        </is>
      </c>
      <c r="D623" s="7" t="inlineStr">
        <is>
          <t>Smoked salmon, 200g</t>
        </is>
      </c>
      <c r="E623" s="7" t="inlineStr">
        <is>
          <t>Kestrel Bay</t>
        </is>
      </c>
      <c r="F623" s="7" t="inlineStr">
        <is>
          <t>Fish &amp; Seafood</t>
        </is>
      </c>
      <c r="G623" s="7" t="inlineStr">
        <is>
          <t>Smoked Fish</t>
        </is>
      </c>
      <c r="H623" s="7" t="inlineStr">
        <is>
          <t>yes</t>
        </is>
      </c>
      <c r="I623" s="7" t="inlineStr">
        <is>
          <t>Animal core</t>
        </is>
      </c>
      <c r="J623" s="7" t="inlineStr">
        <is>
          <t>Fish and seafood</t>
        </is>
      </c>
      <c r="K623" s="7" t="inlineStr">
        <is>
          <t>A</t>
        </is>
      </c>
      <c r="L623" s="7" t="inlineStr">
        <is>
          <t>All ingredients on one side</t>
        </is>
      </c>
      <c r="M623" s="51" t="n">
        <v>21.5</v>
      </c>
      <c r="N623" s="7" t="inlineStr">
        <is>
          <t>Declared by the retailer</t>
        </is>
      </c>
      <c r="O623" s="54" t="n">
        <v>0</v>
      </c>
      <c r="P623" s="54" t="n">
        <v>21.5</v>
      </c>
      <c r="Q623" s="7" t="inlineStr">
        <is>
          <t>yes</t>
        </is>
      </c>
      <c r="R623" s="7" t="inlineStr">
        <is>
          <t>whole</t>
        </is>
      </c>
      <c r="S623" s="7" t="inlineStr">
        <is>
          <t>FG1</t>
        </is>
      </c>
      <c r="T623" s="7" t="inlineStr">
        <is>
          <t>Fish &amp; shellfish</t>
        </is>
      </c>
      <c r="U623" s="7" t="inlineStr">
        <is>
          <t>animal</t>
        </is>
      </c>
      <c r="V623" s="7" t="n"/>
      <c r="W623" s="7" t="n"/>
      <c r="X623" s="55" t="n">
        <v>1</v>
      </c>
      <c r="Y623" s="50" t="n">
        <v>0.2</v>
      </c>
      <c r="Z623" s="7" t="inlineStr">
        <is>
          <t>declared</t>
        </is>
      </c>
      <c r="AA623" s="19">
        <f>IF(ISBLANK(Welcome!D649),"",Welcome!D649)</f>
        <v/>
      </c>
      <c r="AB623" s="29">
        <f>IF(ISBLANK(Welcome!E649),"",Welcome!E649)</f>
        <v/>
      </c>
      <c r="AC623" s="29">
        <f>IF(N(AB623)&gt;0,N(AB623),N(AA623)*Y623)</f>
        <v/>
      </c>
      <c r="AD623" s="29">
        <f>IF(H623="yes",AC623,0)</f>
        <v/>
      </c>
      <c r="AE623" s="29">
        <f>AD623*N(M623)/100</f>
        <v/>
      </c>
      <c r="AF623" s="29">
        <f>AD623*N(O623)/100</f>
        <v/>
      </c>
      <c r="AG623" s="29">
        <f>AD623*N(P623)/100</f>
        <v/>
      </c>
      <c r="AH623" s="50">
        <f>IF(Q623="yes",AD623/1000,0)</f>
        <v/>
      </c>
      <c r="AI623" s="50">
        <f>IF(S623="FG2",AH623*X623,AH623)</f>
        <v/>
      </c>
    </row>
    <row r="624">
      <c r="A624" s="7" t="inlineStr">
        <is>
          <t>HM00417</t>
        </is>
      </c>
      <c r="B624" s="16" t="inlineStr">
        <is>
          <t>8712345489045</t>
        </is>
      </c>
      <c r="C624" s="7" t="inlineStr">
        <is>
          <t>HM PLANT BURGERS 6PK 270G</t>
        </is>
      </c>
      <c r="D624" s="7" t="inlineStr">
        <is>
          <t>Plant-based burgers, 6pk 270g</t>
        </is>
      </c>
      <c r="E624" s="7" t="inlineStr">
        <is>
          <t>Harbour Market</t>
        </is>
      </c>
      <c r="F624" s="7" t="inlineStr">
        <is>
          <t>Plant-Based</t>
        </is>
      </c>
      <c r="G624" s="7" t="inlineStr">
        <is>
          <t>Meat Alternatives</t>
        </is>
      </c>
      <c r="H624" s="7" t="inlineStr">
        <is>
          <t>yes</t>
        </is>
      </c>
      <c r="I624" s="7" t="inlineStr">
        <is>
          <t>Plant-based core</t>
        </is>
      </c>
      <c r="J624" s="7" t="inlineStr">
        <is>
          <t>Plant-based meat alternatives</t>
        </is>
      </c>
      <c r="K624" s="7" t="inlineStr">
        <is>
          <t>A</t>
        </is>
      </c>
      <c r="L624" s="7" t="inlineStr">
        <is>
          <t>All ingredients on one side</t>
        </is>
      </c>
      <c r="M624" s="51" t="n">
        <v>16.8</v>
      </c>
      <c r="N624" s="7" t="inlineStr">
        <is>
          <t>Open Food Facts and NEVO, by EAN</t>
        </is>
      </c>
      <c r="O624" s="54" t="n">
        <v>16.8</v>
      </c>
      <c r="P624" s="54" t="n">
        <v>0</v>
      </c>
      <c r="Q624" s="7" t="inlineStr">
        <is>
          <t>yes</t>
        </is>
      </c>
      <c r="R624" s="7" t="inlineStr">
        <is>
          <t>whole</t>
        </is>
      </c>
      <c r="S624" s="7" t="inlineStr">
        <is>
          <t>FG1</t>
        </is>
      </c>
      <c r="T624" s="7" t="inlineStr">
        <is>
          <t>Alternative products</t>
        </is>
      </c>
      <c r="U624" s="7" t="inlineStr">
        <is>
          <t>plant</t>
        </is>
      </c>
      <c r="V624" s="7" t="n"/>
      <c r="W624" s="7" t="n"/>
      <c r="X624" s="55" t="n">
        <v>1</v>
      </c>
      <c r="Y624" s="50" t="n">
        <v>0.27</v>
      </c>
      <c r="Z624" s="7" t="inlineStr">
        <is>
          <t>declared</t>
        </is>
      </c>
      <c r="AA624" s="19">
        <f>IF(ISBLANK(Welcome!D650),"",Welcome!D650)</f>
        <v/>
      </c>
      <c r="AB624" s="29">
        <f>IF(ISBLANK(Welcome!E650),"",Welcome!E650)</f>
        <v/>
      </c>
      <c r="AC624" s="29">
        <f>IF(N(AB624)&gt;0,N(AB624),N(AA624)*Y624)</f>
        <v/>
      </c>
      <c r="AD624" s="29">
        <f>IF(H624="yes",AC624,0)</f>
        <v/>
      </c>
      <c r="AE624" s="29">
        <f>AD624*N(M624)/100</f>
        <v/>
      </c>
      <c r="AF624" s="29">
        <f>AD624*N(O624)/100</f>
        <v/>
      </c>
      <c r="AG624" s="29">
        <f>AD624*N(P624)/100</f>
        <v/>
      </c>
      <c r="AH624" s="50">
        <f>IF(Q624="yes",AD624/1000,0)</f>
        <v/>
      </c>
      <c r="AI624" s="50">
        <f>IF(S624="FG2",AH624*X624,AH624)</f>
        <v/>
      </c>
    </row>
    <row r="625">
      <c r="A625" s="7" t="inlineStr">
        <is>
          <t>HM00186</t>
        </is>
      </c>
      <c r="B625" s="16" t="inlineStr">
        <is>
          <t>4012345318531</t>
        </is>
      </c>
      <c r="C625" s="7" t="inlineStr">
        <is>
          <t>HM CORN FLAKES 750G</t>
        </is>
      </c>
      <c r="D625" s="7" t="inlineStr">
        <is>
          <t>Corn flakes, 750g</t>
        </is>
      </c>
      <c r="E625" s="7" t="inlineStr">
        <is>
          <t>Harbour Market</t>
        </is>
      </c>
      <c r="F625" s="7" t="inlineStr">
        <is>
          <t>Breakfast &amp; Snacks</t>
        </is>
      </c>
      <c r="G625" s="7" t="inlineStr">
        <is>
          <t>Cereals</t>
        </is>
      </c>
      <c r="H625" s="7" t="inlineStr">
        <is>
          <t>yes</t>
        </is>
      </c>
      <c r="I625" s="7" t="inlineStr">
        <is>
          <t>Plant-based non-core</t>
        </is>
      </c>
      <c r="J625" s="7" t="inlineStr">
        <is>
          <t>Refined grains</t>
        </is>
      </c>
      <c r="K625" s="7" t="inlineStr">
        <is>
          <t>A</t>
        </is>
      </c>
      <c r="L625" s="7" t="inlineStr">
        <is>
          <t>All ingredients on one side</t>
        </is>
      </c>
      <c r="M625" s="51" t="n">
        <v>6.9</v>
      </c>
      <c r="N625" s="7" t="inlineStr">
        <is>
          <t>Altera reference base</t>
        </is>
      </c>
      <c r="O625" s="54" t="n">
        <v>6.9</v>
      </c>
      <c r="P625" s="54" t="n">
        <v>0</v>
      </c>
      <c r="Q625" s="7" t="inlineStr">
        <is>
          <t>yes</t>
        </is>
      </c>
      <c r="R625" s="7" t="inlineStr">
        <is>
          <t>whole</t>
        </is>
      </c>
      <c r="S625" s="7" t="inlineStr">
        <is>
          <t>FG5</t>
        </is>
      </c>
      <c r="T625" s="7" t="inlineStr">
        <is>
          <t>Refined grain</t>
        </is>
      </c>
      <c r="U625" s="7" t="inlineStr">
        <is>
          <t>plant</t>
        </is>
      </c>
      <c r="V625" s="7" t="n"/>
      <c r="W625" s="7" t="n"/>
      <c r="X625" s="55" t="n">
        <v>1</v>
      </c>
      <c r="Y625" s="50" t="n">
        <v>0.75</v>
      </c>
      <c r="Z625" s="7" t="inlineStr">
        <is>
          <t>declared</t>
        </is>
      </c>
      <c r="AA625" s="19">
        <f>IF(ISBLANK(Welcome!D651),"",Welcome!D651)</f>
        <v/>
      </c>
      <c r="AB625" s="29">
        <f>IF(ISBLANK(Welcome!E651),"",Welcome!E651)</f>
        <v/>
      </c>
      <c r="AC625" s="29">
        <f>IF(N(AB625)&gt;0,N(AB625),N(AA625)*Y625)</f>
        <v/>
      </c>
      <c r="AD625" s="29">
        <f>IF(H625="yes",AC625,0)</f>
        <v/>
      </c>
      <c r="AE625" s="29">
        <f>AD625*N(M625)/100</f>
        <v/>
      </c>
      <c r="AF625" s="29">
        <f>AD625*N(O625)/100</f>
        <v/>
      </c>
      <c r="AG625" s="29">
        <f>AD625*N(P625)/100</f>
        <v/>
      </c>
      <c r="AH625" s="50">
        <f>IF(Q625="yes",AD625/1000,0)</f>
        <v/>
      </c>
      <c r="AI625" s="50">
        <f>IF(S625="FG2",AH625*X625,AH625)</f>
        <v/>
      </c>
    </row>
    <row r="626">
      <c r="A626" s="7" t="inlineStr">
        <is>
          <t>HM00725</t>
        </is>
      </c>
      <c r="B626" s="16" t="inlineStr">
        <is>
          <t>5012345669212</t>
        </is>
      </c>
      <c r="C626" s="7" t="inlineStr">
        <is>
          <t>HM BREADED HADDOCK 4PK 440G</t>
        </is>
      </c>
      <c r="D626" s="7" t="inlineStr">
        <is>
          <t>Breaded haddock fillets, 4pk 440g</t>
        </is>
      </c>
      <c r="E626" s="7" t="inlineStr">
        <is>
          <t>Harbour Market</t>
        </is>
      </c>
      <c r="F626" s="7" t="inlineStr">
        <is>
          <t>Frozen</t>
        </is>
      </c>
      <c r="G626" s="7" t="inlineStr">
        <is>
          <t>Frozen Fish</t>
        </is>
      </c>
      <c r="H626" s="7" t="inlineStr">
        <is>
          <t>yes</t>
        </is>
      </c>
      <c r="I626" s="7" t="inlineStr">
        <is>
          <t>Animal core</t>
        </is>
      </c>
      <c r="J626" s="7" t="inlineStr">
        <is>
          <t>Fish and seafood</t>
        </is>
      </c>
      <c r="K626" s="7" t="inlineStr">
        <is>
          <t>B</t>
        </is>
      </c>
      <c r="L626" s="7" t="inlineStr">
        <is>
          <t>First ingredient</t>
        </is>
      </c>
      <c r="M626" s="51" t="n">
        <v>12.5</v>
      </c>
      <c r="N626" s="7" t="inlineStr">
        <is>
          <t>Altera reference base</t>
        </is>
      </c>
      <c r="O626" s="54" t="n">
        <v>0</v>
      </c>
      <c r="P626" s="54" t="n">
        <v>12.5</v>
      </c>
      <c r="Q626" s="7" t="inlineStr">
        <is>
          <t>yes</t>
        </is>
      </c>
      <c r="R626" s="7" t="inlineStr">
        <is>
          <t>whole</t>
        </is>
      </c>
      <c r="S626" s="7" t="inlineStr">
        <is>
          <t>FG1</t>
        </is>
      </c>
      <c r="T626" s="7" t="inlineStr">
        <is>
          <t>Fish &amp; shellfish</t>
        </is>
      </c>
      <c r="U626" s="7" t="inlineStr">
        <is>
          <t>animal</t>
        </is>
      </c>
      <c r="V626" s="7" t="n"/>
      <c r="W626" s="7" t="n"/>
      <c r="X626" s="55" t="n">
        <v>1</v>
      </c>
      <c r="Y626" s="50" t="n">
        <v>0.44</v>
      </c>
      <c r="Z626" s="7" t="inlineStr">
        <is>
          <t>label</t>
        </is>
      </c>
      <c r="AA626" s="19">
        <f>IF(ISBLANK(Welcome!D652),"",Welcome!D652)</f>
        <v/>
      </c>
      <c r="AB626" s="29">
        <f>IF(ISBLANK(Welcome!E652),"",Welcome!E652)</f>
        <v/>
      </c>
      <c r="AC626" s="29">
        <f>IF(N(AB626)&gt;0,N(AB626),N(AA626)*Y626)</f>
        <v/>
      </c>
      <c r="AD626" s="29">
        <f>IF(H626="yes",AC626,0)</f>
        <v/>
      </c>
      <c r="AE626" s="29">
        <f>AD626*N(M626)/100</f>
        <v/>
      </c>
      <c r="AF626" s="29">
        <f>AD626*N(O626)/100</f>
        <v/>
      </c>
      <c r="AG626" s="29">
        <f>AD626*N(P626)/100</f>
        <v/>
      </c>
      <c r="AH626" s="50">
        <f>IF(Q626="yes",AD626/1000,0)</f>
        <v/>
      </c>
      <c r="AI626" s="50">
        <f>IF(S626="FG2",AH626*X626,AH626)</f>
        <v/>
      </c>
    </row>
    <row r="627">
      <c r="A627" s="7" t="inlineStr">
        <is>
          <t>HM00301</t>
        </is>
      </c>
      <c r="B627" s="16" t="inlineStr">
        <is>
          <t>4012345842159</t>
        </is>
      </c>
      <c r="C627" s="7" t="inlineStr">
        <is>
          <t>TARROW LAMB MINCE 500G</t>
        </is>
      </c>
      <c r="D627" s="7" t="inlineStr">
        <is>
          <t>Lamb mince, 500g</t>
        </is>
      </c>
      <c r="E627" s="7" t="inlineStr">
        <is>
          <t>Tarrow Farm</t>
        </is>
      </c>
      <c r="F627" s="7" t="inlineStr">
        <is>
          <t>Fresh Meat &amp; Poultry</t>
        </is>
      </c>
      <c r="G627" s="7" t="inlineStr">
        <is>
          <t>Turkey &amp; Lamb</t>
        </is>
      </c>
      <c r="H627" s="7" t="inlineStr">
        <is>
          <t>yes</t>
        </is>
      </c>
      <c r="I627" s="7" t="inlineStr">
        <is>
          <t>Animal core</t>
        </is>
      </c>
      <c r="J627" s="7" t="inlineStr">
        <is>
          <t>Red meat</t>
        </is>
      </c>
      <c r="K627" s="7" t="inlineStr">
        <is>
          <t>B</t>
        </is>
      </c>
      <c r="L627" s="7" t="inlineStr">
        <is>
          <t>Follows the class</t>
        </is>
      </c>
      <c r="M627" s="51" t="n">
        <v>17</v>
      </c>
      <c r="N627" s="7" t="inlineStr">
        <is>
          <t>Declared by the retailer</t>
        </is>
      </c>
      <c r="O627" s="54" t="n">
        <v>0</v>
      </c>
      <c r="P627" s="54" t="n">
        <v>17</v>
      </c>
      <c r="Q627" s="7" t="inlineStr">
        <is>
          <t>yes</t>
        </is>
      </c>
      <c r="R627" s="7" t="inlineStr">
        <is>
          <t>whole</t>
        </is>
      </c>
      <c r="S627" s="7" t="inlineStr">
        <is>
          <t>FG1</t>
        </is>
      </c>
      <c r="T627" s="7" t="inlineStr">
        <is>
          <t>Red meat</t>
        </is>
      </c>
      <c r="U627" s="7" t="inlineStr">
        <is>
          <t>animal</t>
        </is>
      </c>
      <c r="V627" s="7" t="n"/>
      <c r="W627" s="7" t="n"/>
      <c r="X627" s="55" t="n">
        <v>1</v>
      </c>
      <c r="Y627" s="50" t="n">
        <v>0.5</v>
      </c>
      <c r="Z627" s="7" t="inlineStr">
        <is>
          <t>declared</t>
        </is>
      </c>
      <c r="AA627" s="19">
        <f>IF(ISBLANK(Welcome!D653),"",Welcome!D653)</f>
        <v/>
      </c>
      <c r="AB627" s="29">
        <f>IF(ISBLANK(Welcome!E653),"",Welcome!E653)</f>
        <v/>
      </c>
      <c r="AC627" s="29">
        <f>IF(N(AB627)&gt;0,N(AB627),N(AA627)*Y627)</f>
        <v/>
      </c>
      <c r="AD627" s="29">
        <f>IF(H627="yes",AC627,0)</f>
        <v/>
      </c>
      <c r="AE627" s="29">
        <f>AD627*N(M627)/100</f>
        <v/>
      </c>
      <c r="AF627" s="29">
        <f>AD627*N(O627)/100</f>
        <v/>
      </c>
      <c r="AG627" s="29">
        <f>AD627*N(P627)/100</f>
        <v/>
      </c>
      <c r="AH627" s="50">
        <f>IF(Q627="yes",AD627/1000,0)</f>
        <v/>
      </c>
      <c r="AI627" s="50">
        <f>IF(S627="FG2",AH627*X627,AH627)</f>
        <v/>
      </c>
    </row>
    <row r="628">
      <c r="A628" s="7" t="inlineStr">
        <is>
          <t>HM00742</t>
        </is>
      </c>
      <c r="B628" s="16" t="inlineStr">
        <is>
          <t>3012345496261</t>
        </is>
      </c>
      <c r="C628" s="7" t="inlineStr">
        <is>
          <t>MARLOWE DARK CHOC ORANGE 100G</t>
        </is>
      </c>
      <c r="D628" s="7" t="inlineStr">
        <is>
          <t>Dark chocolate with orange, 100g</t>
        </is>
      </c>
      <c r="E628" s="7" t="inlineStr">
        <is>
          <t>Marlowe</t>
        </is>
      </c>
      <c r="F628" s="7" t="inlineStr">
        <is>
          <t>Breakfast &amp; Snacks</t>
        </is>
      </c>
      <c r="G628" s="7" t="inlineStr">
        <is>
          <t>Chocolate</t>
        </is>
      </c>
      <c r="H628" s="7" t="inlineStr">
        <is>
          <t>yes</t>
        </is>
      </c>
      <c r="I628" s="7" t="inlineStr">
        <is>
          <t>Plant-based non-core</t>
        </is>
      </c>
      <c r="J628" s="7" t="inlineStr">
        <is>
          <t>Discretionary products</t>
        </is>
      </c>
      <c r="K628" s="7" t="inlineStr">
        <is>
          <t>A</t>
        </is>
      </c>
      <c r="L628" s="7" t="inlineStr">
        <is>
          <t>All ingredients on one side</t>
        </is>
      </c>
      <c r="M628" s="51" t="n">
        <v>8.1</v>
      </c>
      <c r="N628" s="7" t="inlineStr">
        <is>
          <t>Declared by the retailer</t>
        </is>
      </c>
      <c r="O628" s="54" t="n">
        <v>8.1</v>
      </c>
      <c r="P628" s="54" t="n">
        <v>0</v>
      </c>
      <c r="Q628" s="7" t="inlineStr">
        <is>
          <t>yes</t>
        </is>
      </c>
      <c r="R628" s="7" t="inlineStr">
        <is>
          <t>whole</t>
        </is>
      </c>
      <c r="S628" s="7" t="inlineStr">
        <is>
          <t>FG7</t>
        </is>
      </c>
      <c r="T628" s="7" t="n"/>
      <c r="U628" s="7" t="inlineStr">
        <is>
          <t>plant</t>
        </is>
      </c>
      <c r="V628" s="7" t="n"/>
      <c r="W628" s="7" t="n"/>
      <c r="X628" s="55" t="n">
        <v>1</v>
      </c>
      <c r="Y628" s="50" t="n">
        <v>0.1</v>
      </c>
      <c r="Z628" s="7" t="inlineStr">
        <is>
          <t>declared</t>
        </is>
      </c>
      <c r="AA628" s="19">
        <f>IF(ISBLANK(Welcome!D654),"",Welcome!D654)</f>
        <v/>
      </c>
      <c r="AB628" s="29">
        <f>IF(ISBLANK(Welcome!E654),"",Welcome!E654)</f>
        <v/>
      </c>
      <c r="AC628" s="29">
        <f>IF(N(AB628)&gt;0,N(AB628),N(AA628)*Y628)</f>
        <v/>
      </c>
      <c r="AD628" s="29">
        <f>IF(H628="yes",AC628,0)</f>
        <v/>
      </c>
      <c r="AE628" s="29">
        <f>AD628*N(M628)/100</f>
        <v/>
      </c>
      <c r="AF628" s="29">
        <f>AD628*N(O628)/100</f>
        <v/>
      </c>
      <c r="AG628" s="29">
        <f>AD628*N(P628)/100</f>
        <v/>
      </c>
      <c r="AH628" s="50">
        <f>IF(Q628="yes",AD628/1000,0)</f>
        <v/>
      </c>
      <c r="AI628" s="50">
        <f>IF(S628="FG2",AH628*X628,AH628)</f>
        <v/>
      </c>
    </row>
    <row r="629">
      <c r="A629" s="7" t="inlineStr">
        <is>
          <t>HM00656</t>
        </is>
      </c>
      <c r="B629" s="16" t="inlineStr">
        <is>
          <t>4012345407181</t>
        </is>
      </c>
      <c r="C629" s="7" t="inlineStr">
        <is>
          <t>ENGLISH BREAKFAST TEA 80PK 250G VELOCE</t>
        </is>
      </c>
      <c r="D629" s="7" t="inlineStr">
        <is>
          <t>English breakfast tea bags, 80pk 250g</t>
        </is>
      </c>
      <c r="E629" s="7" t="inlineStr">
        <is>
          <t>Veloce</t>
        </is>
      </c>
      <c r="F629" s="7" t="inlineStr">
        <is>
          <t>Grocery</t>
        </is>
      </c>
      <c r="G629" s="7" t="inlineStr">
        <is>
          <t>Tea &amp; Coffee</t>
        </is>
      </c>
      <c r="H629" s="7" t="inlineStr">
        <is>
          <t>yes</t>
        </is>
      </c>
      <c r="I629" s="7" t="inlineStr">
        <is>
          <t>Plant-based non-core</t>
        </is>
      </c>
      <c r="J629" s="7" t="inlineStr">
        <is>
          <t>Outside the WWF scope</t>
        </is>
      </c>
      <c r="K629" s="7" t="inlineStr">
        <is>
          <t>B</t>
        </is>
      </c>
      <c r="L629" s="7" t="inlineStr">
        <is>
          <t>Follows the class</t>
        </is>
      </c>
      <c r="M629" s="51" t="n">
        <v>0</v>
      </c>
      <c r="N629" s="7" t="inlineStr">
        <is>
          <t>Declared by the retailer</t>
        </is>
      </c>
      <c r="O629" s="54" t="n">
        <v>0</v>
      </c>
      <c r="P629" s="54" t="n">
        <v>0</v>
      </c>
      <c r="Q629" s="7" t="inlineStr">
        <is>
          <t>no</t>
        </is>
      </c>
      <c r="R629" s="7" t="n"/>
      <c r="S629" s="7" t="n"/>
      <c r="T629" s="7" t="n"/>
      <c r="U629" s="7" t="n"/>
      <c r="V629" s="7" t="n"/>
      <c r="W629" s="7" t="inlineStr">
        <is>
          <t>coffee tea</t>
        </is>
      </c>
      <c r="X629" s="55" t="n">
        <v>1</v>
      </c>
      <c r="Y629" s="50" t="n">
        <v>0.25</v>
      </c>
      <c r="Z629" s="7" t="inlineStr">
        <is>
          <t>declared</t>
        </is>
      </c>
      <c r="AA629" s="19">
        <f>IF(ISBLANK(Welcome!D655),"",Welcome!D655)</f>
        <v/>
      </c>
      <c r="AB629" s="29">
        <f>IF(ISBLANK(Welcome!E655),"",Welcome!E655)</f>
        <v/>
      </c>
      <c r="AC629" s="29">
        <f>IF(N(AB629)&gt;0,N(AB629),N(AA629)*Y629)</f>
        <v/>
      </c>
      <c r="AD629" s="29">
        <f>IF(H629="yes",AC629,0)</f>
        <v/>
      </c>
      <c r="AE629" s="29">
        <f>AD629*N(M629)/100</f>
        <v/>
      </c>
      <c r="AF629" s="29">
        <f>AD629*N(O629)/100</f>
        <v/>
      </c>
      <c r="AG629" s="29">
        <f>AD629*N(P629)/100</f>
        <v/>
      </c>
      <c r="AH629" s="50">
        <f>IF(Q629="yes",AD629/1000,0)</f>
        <v/>
      </c>
      <c r="AI629" s="50">
        <f>IF(S629="FG2",AH629*X629,AH629)</f>
        <v/>
      </c>
    </row>
    <row r="630">
      <c r="A630" s="7" t="inlineStr">
        <is>
          <t>HM00288</t>
        </is>
      </c>
      <c r="B630" s="16" t="inlineStr">
        <is>
          <t>3012345366878</t>
        </is>
      </c>
      <c r="C630" s="7" t="inlineStr">
        <is>
          <t>HM SALMON SUSHI BOX 12PC 300G</t>
        </is>
      </c>
      <c r="D630" s="7" t="inlineStr">
        <is>
          <t>Salmon sushi selection, 12pc 300g</t>
        </is>
      </c>
      <c r="E630" s="7" t="inlineStr">
        <is>
          <t>Harbour Market</t>
        </is>
      </c>
      <c r="F630" s="7" t="inlineStr">
        <is>
          <t>Ready Meals</t>
        </is>
      </c>
      <c r="G630" s="7" t="inlineStr">
        <is>
          <t>Sushi</t>
        </is>
      </c>
      <c r="H630" s="7" t="inlineStr">
        <is>
          <t>yes</t>
        </is>
      </c>
      <c r="I630" s="7" t="inlineStr">
        <is>
          <t>Animal &amp; plant composite</t>
        </is>
      </c>
      <c r="J630" s="7" t="inlineStr">
        <is>
          <t>Fish-based dishes</t>
        </is>
      </c>
      <c r="K630" s="7" t="inlineStr">
        <is>
          <t>A</t>
        </is>
      </c>
      <c r="L630" s="7" t="inlineStr">
        <is>
          <t>NEVO food table (ratio only)</t>
        </is>
      </c>
      <c r="M630" s="51" t="n">
        <v>7</v>
      </c>
      <c r="N630" s="7" t="inlineStr">
        <is>
          <t>Declared by the retailer</t>
        </is>
      </c>
      <c r="O630" s="54" t="n">
        <v>3.15</v>
      </c>
      <c r="P630" s="54" t="n">
        <v>3.85</v>
      </c>
      <c r="Q630" s="7" t="inlineStr">
        <is>
          <t>yes</t>
        </is>
      </c>
      <c r="R630" s="7" t="inlineStr">
        <is>
          <t>composite</t>
        </is>
      </c>
      <c r="S630" s="7" t="n"/>
      <c r="T630" s="7" t="n"/>
      <c r="U630" s="7" t="n"/>
      <c r="V630" s="7" t="inlineStr">
        <is>
          <t>seafood-based</t>
        </is>
      </c>
      <c r="W630" s="7" t="n"/>
      <c r="X630" s="55" t="n">
        <v>1</v>
      </c>
      <c r="Y630" s="50" t="n">
        <v>0.3</v>
      </c>
      <c r="Z630" s="7" t="inlineStr">
        <is>
          <t>declared</t>
        </is>
      </c>
      <c r="AA630" s="19">
        <f>IF(ISBLANK(Welcome!D656),"",Welcome!D656)</f>
        <v/>
      </c>
      <c r="AB630" s="29">
        <f>IF(ISBLANK(Welcome!E656),"",Welcome!E656)</f>
        <v/>
      </c>
      <c r="AC630" s="29">
        <f>IF(N(AB630)&gt;0,N(AB630),N(AA630)*Y630)</f>
        <v/>
      </c>
      <c r="AD630" s="29">
        <f>IF(H630="yes",AC630,0)</f>
        <v/>
      </c>
      <c r="AE630" s="29">
        <f>AD630*N(M630)/100</f>
        <v/>
      </c>
      <c r="AF630" s="29">
        <f>AD630*N(O630)/100</f>
        <v/>
      </c>
      <c r="AG630" s="29">
        <f>AD630*N(P630)/100</f>
        <v/>
      </c>
      <c r="AH630" s="50">
        <f>IF(Q630="yes",AD630/1000,0)</f>
        <v/>
      </c>
      <c r="AI630" s="50">
        <f>IF(S630="FG2",AH630*X630,AH630)</f>
        <v/>
      </c>
    </row>
    <row r="631">
      <c r="A631" s="7" t="inlineStr">
        <is>
          <t>HM00262</t>
        </is>
      </c>
      <c r="B631" s="16" t="inlineStr">
        <is>
          <t>5012345859880</t>
        </is>
      </c>
      <c r="C631" s="7" t="inlineStr">
        <is>
          <t>INSTANT COFFEE 200G VELOCE</t>
        </is>
      </c>
      <c r="D631" s="7" t="inlineStr">
        <is>
          <t>Instant coffee, 200g</t>
        </is>
      </c>
      <c r="E631" s="7" t="inlineStr">
        <is>
          <t>Veloce</t>
        </is>
      </c>
      <c r="F631" s="7" t="inlineStr">
        <is>
          <t>Grocery</t>
        </is>
      </c>
      <c r="G631" s="7" t="inlineStr">
        <is>
          <t>Tea &amp; Coffee</t>
        </is>
      </c>
      <c r="H631" s="7" t="inlineStr">
        <is>
          <t>yes</t>
        </is>
      </c>
      <c r="I631" s="7" t="inlineStr">
        <is>
          <t>Plant-based non-core</t>
        </is>
      </c>
      <c r="J631" s="7" t="inlineStr">
        <is>
          <t>Outside the WWF scope</t>
        </is>
      </c>
      <c r="K631" s="7" t="inlineStr">
        <is>
          <t>A</t>
        </is>
      </c>
      <c r="L631" s="7" t="inlineStr">
        <is>
          <t>All ingredients on one side</t>
        </is>
      </c>
      <c r="M631" s="51" t="n">
        <v>8.199999999999999</v>
      </c>
      <c r="N631" s="7" t="inlineStr">
        <is>
          <t>National food table (CIQUAL in France)</t>
        </is>
      </c>
      <c r="O631" s="54" t="n">
        <v>8.199999999999999</v>
      </c>
      <c r="P631" s="54" t="n">
        <v>0</v>
      </c>
      <c r="Q631" s="7" t="inlineStr">
        <is>
          <t>no</t>
        </is>
      </c>
      <c r="R631" s="7" t="n"/>
      <c r="S631" s="7" t="n"/>
      <c r="T631" s="7" t="n"/>
      <c r="U631" s="7" t="n"/>
      <c r="V631" s="7" t="n"/>
      <c r="W631" s="7" t="inlineStr">
        <is>
          <t>coffee tea</t>
        </is>
      </c>
      <c r="X631" s="55" t="n">
        <v>1</v>
      </c>
      <c r="Y631" s="50" t="n">
        <v>0.2</v>
      </c>
      <c r="Z631" s="7" t="inlineStr">
        <is>
          <t>label</t>
        </is>
      </c>
      <c r="AA631" s="19">
        <f>IF(ISBLANK(Welcome!D657),"",Welcome!D657)</f>
        <v/>
      </c>
      <c r="AB631" s="29">
        <f>IF(ISBLANK(Welcome!E657),"",Welcome!E657)</f>
        <v/>
      </c>
      <c r="AC631" s="29">
        <f>IF(N(AB631)&gt;0,N(AB631),N(AA631)*Y631)</f>
        <v/>
      </c>
      <c r="AD631" s="29">
        <f>IF(H631="yes",AC631,0)</f>
        <v/>
      </c>
      <c r="AE631" s="29">
        <f>AD631*N(M631)/100</f>
        <v/>
      </c>
      <c r="AF631" s="29">
        <f>AD631*N(O631)/100</f>
        <v/>
      </c>
      <c r="AG631" s="29">
        <f>AD631*N(P631)/100</f>
        <v/>
      </c>
      <c r="AH631" s="50">
        <f>IF(Q631="yes",AD631/1000,0)</f>
        <v/>
      </c>
      <c r="AI631" s="50">
        <f>IF(S631="FG2",AH631*X631,AH631)</f>
        <v/>
      </c>
    </row>
    <row r="632">
      <c r="A632" s="7" t="inlineStr">
        <is>
          <t>HM00049</t>
        </is>
      </c>
      <c r="B632" s="16" t="inlineStr">
        <is>
          <t>8712345397470</t>
        </is>
      </c>
      <c r="C632" s="7" t="inlineStr">
        <is>
          <t>HM STRAWB MILKSHAKE 1L</t>
        </is>
      </c>
      <c r="D632" s="7" t="inlineStr">
        <is>
          <t>Strawberry milkshake, 1l</t>
        </is>
      </c>
      <c r="E632" s="7" t="inlineStr">
        <is>
          <t>Harbour Market</t>
        </is>
      </c>
      <c r="F632" s="7" t="inlineStr">
        <is>
          <t>Dairy &amp; Eggs</t>
        </is>
      </c>
      <c r="G632" s="7" t="inlineStr">
        <is>
          <t>Milk Drinks</t>
        </is>
      </c>
      <c r="H632" s="7" t="inlineStr">
        <is>
          <t>yes</t>
        </is>
      </c>
      <c r="I632" s="7" t="inlineStr">
        <is>
          <t>Animal core</t>
        </is>
      </c>
      <c r="J632" s="7" t="inlineStr">
        <is>
          <t>Milk, yoghurt and cream</t>
        </is>
      </c>
      <c r="K632" s="7" t="inlineStr">
        <is>
          <t>B</t>
        </is>
      </c>
      <c r="L632" s="7" t="inlineStr">
        <is>
          <t>First ingredient</t>
        </is>
      </c>
      <c r="M632" s="51" t="n">
        <v>3.3</v>
      </c>
      <c r="N632" s="7" t="inlineStr">
        <is>
          <t>Declared by the retailer</t>
        </is>
      </c>
      <c r="O632" s="54" t="n">
        <v>0</v>
      </c>
      <c r="P632" s="54" t="n">
        <v>3.3</v>
      </c>
      <c r="Q632" s="7" t="inlineStr">
        <is>
          <t>yes</t>
        </is>
      </c>
      <c r="R632" s="7" t="inlineStr">
        <is>
          <t>whole</t>
        </is>
      </c>
      <c r="S632" s="7" t="inlineStr">
        <is>
          <t>FG2</t>
        </is>
      </c>
      <c r="T632" s="7" t="inlineStr">
        <is>
          <t>Dairy</t>
        </is>
      </c>
      <c r="U632" s="7" t="inlineStr">
        <is>
          <t>animal</t>
        </is>
      </c>
      <c r="V632" s="7" t="n"/>
      <c r="W632" s="7" t="n"/>
      <c r="X632" s="55" t="n">
        <v>1</v>
      </c>
      <c r="Y632" s="50" t="n">
        <v>1.03</v>
      </c>
      <c r="Z632" s="7" t="inlineStr">
        <is>
          <t>declared</t>
        </is>
      </c>
      <c r="AA632" s="19">
        <f>IF(ISBLANK(Welcome!D658),"",Welcome!D658)</f>
        <v/>
      </c>
      <c r="AB632" s="29">
        <f>IF(ISBLANK(Welcome!E658),"",Welcome!E658)</f>
        <v/>
      </c>
      <c r="AC632" s="29">
        <f>IF(N(AB632)&gt;0,N(AB632),N(AA632)*Y632)</f>
        <v/>
      </c>
      <c r="AD632" s="29">
        <f>IF(H632="yes",AC632,0)</f>
        <v/>
      </c>
      <c r="AE632" s="29">
        <f>AD632*N(M632)/100</f>
        <v/>
      </c>
      <c r="AF632" s="29">
        <f>AD632*N(O632)/100</f>
        <v/>
      </c>
      <c r="AG632" s="29">
        <f>AD632*N(P632)/100</f>
        <v/>
      </c>
      <c r="AH632" s="50">
        <f>IF(Q632="yes",AD632/1000,0)</f>
        <v/>
      </c>
      <c r="AI632" s="50">
        <f>IF(S632="FG2",AH632*X632,AH632)</f>
        <v/>
      </c>
    </row>
    <row r="633">
      <c r="A633" s="7" t="inlineStr">
        <is>
          <t>HM00760</t>
        </is>
      </c>
      <c r="B633" s="16" t="inlineStr">
        <is>
          <t>4012345136203</t>
        </is>
      </c>
      <c r="C633" s="7" t="inlineStr">
        <is>
          <t>HM BROWN ONIONS EACH</t>
        </is>
      </c>
      <c r="D633" s="7" t="inlineStr">
        <is>
          <t>Brown onions</t>
        </is>
      </c>
      <c r="E633" s="7" t="inlineStr">
        <is>
          <t>Harbour Market</t>
        </is>
      </c>
      <c r="F633" s="7" t="inlineStr">
        <is>
          <t>Fruit &amp; Vegetables</t>
        </is>
      </c>
      <c r="G633" s="7" t="inlineStr">
        <is>
          <t>Vegetables</t>
        </is>
      </c>
      <c r="H633" s="7" t="inlineStr">
        <is>
          <t>yes</t>
        </is>
      </c>
      <c r="I633" s="7" t="inlineStr">
        <is>
          <t>Plant-based non-core</t>
        </is>
      </c>
      <c r="J633" s="7" t="inlineStr">
        <is>
          <t>Fruit and vegetables</t>
        </is>
      </c>
      <c r="K633" s="7" t="inlineStr">
        <is>
          <t>B</t>
        </is>
      </c>
      <c r="L633" s="7" t="inlineStr">
        <is>
          <t>Follows the class</t>
        </is>
      </c>
      <c r="M633" s="51" t="n">
        <v>1.1</v>
      </c>
      <c r="N633" s="7" t="inlineStr">
        <is>
          <t>Median of the family</t>
        </is>
      </c>
      <c r="O633" s="54" t="n">
        <v>1.1</v>
      </c>
      <c r="P633" s="54" t="n">
        <v>0</v>
      </c>
      <c r="Q633" s="7" t="inlineStr">
        <is>
          <t>yes</t>
        </is>
      </c>
      <c r="R633" s="7" t="inlineStr">
        <is>
          <t>whole</t>
        </is>
      </c>
      <c r="S633" s="7" t="inlineStr">
        <is>
          <t>FG4</t>
        </is>
      </c>
      <c r="T633" s="7" t="n"/>
      <c r="U633" s="7" t="inlineStr">
        <is>
          <t>plant</t>
        </is>
      </c>
      <c r="V633" s="7" t="n"/>
      <c r="W633" s="7" t="n"/>
      <c r="X633" s="55" t="n">
        <v>1</v>
      </c>
      <c r="Y633" s="50" t="n">
        <v>0.3</v>
      </c>
      <c r="Z633" s="7" t="inlineStr">
        <is>
          <t>typical_piece</t>
        </is>
      </c>
      <c r="AA633" s="19">
        <f>IF(ISBLANK(Welcome!D659),"",Welcome!D659)</f>
        <v/>
      </c>
      <c r="AB633" s="29">
        <f>IF(ISBLANK(Welcome!E659),"",Welcome!E659)</f>
        <v/>
      </c>
      <c r="AC633" s="29">
        <f>IF(N(AB633)&gt;0,N(AB633),N(AA633)*Y633)</f>
        <v/>
      </c>
      <c r="AD633" s="29">
        <f>IF(H633="yes",AC633,0)</f>
        <v/>
      </c>
      <c r="AE633" s="29">
        <f>AD633*N(M633)/100</f>
        <v/>
      </c>
      <c r="AF633" s="29">
        <f>AD633*N(O633)/100</f>
        <v/>
      </c>
      <c r="AG633" s="29">
        <f>AD633*N(P633)/100</f>
        <v/>
      </c>
      <c r="AH633" s="50">
        <f>IF(Q633="yes",AD633/1000,0)</f>
        <v/>
      </c>
      <c r="AI633" s="50">
        <f>IF(S633="FG2",AH633*X633,AH633)</f>
        <v/>
      </c>
    </row>
    <row r="634">
      <c r="A634" s="7" t="inlineStr">
        <is>
          <t>HM00252</t>
        </is>
      </c>
      <c r="B634" s="16" t="inlineStr">
        <is>
          <t>4012345395389</t>
        </is>
      </c>
      <c r="C634" s="7" t="inlineStr">
        <is>
          <t>HM PROSECCO 75CL</t>
        </is>
      </c>
      <c r="D634" s="7" t="inlineStr">
        <is>
          <t>Prosecco, 75cl</t>
        </is>
      </c>
      <c r="E634" s="7" t="inlineStr">
        <is>
          <t>Harbour Market</t>
        </is>
      </c>
      <c r="F634" s="7" t="inlineStr">
        <is>
          <t>Beer, Wine &amp; Spirits</t>
        </is>
      </c>
      <c r="G634" s="7" t="inlineStr">
        <is>
          <t>Wine</t>
        </is>
      </c>
      <c r="H634" s="7" t="inlineStr">
        <is>
          <t>yes</t>
        </is>
      </c>
      <c r="I634" s="7" t="inlineStr">
        <is>
          <t>Plant-based non-core</t>
        </is>
      </c>
      <c r="J634" s="7" t="inlineStr">
        <is>
          <t>Outside the WWF scope</t>
        </is>
      </c>
      <c r="K634" s="7" t="inlineStr">
        <is>
          <t>B</t>
        </is>
      </c>
      <c r="L634" s="7" t="inlineStr">
        <is>
          <t>Follows the class</t>
        </is>
      </c>
      <c r="M634" s="51" t="n">
        <v>0.1</v>
      </c>
      <c r="N634" s="7" t="inlineStr">
        <is>
          <t>Declared by the retailer</t>
        </is>
      </c>
      <c r="O634" s="54" t="n">
        <v>0.1</v>
      </c>
      <c r="P634" s="54" t="n">
        <v>0</v>
      </c>
      <c r="Q634" s="7" t="inlineStr">
        <is>
          <t>no</t>
        </is>
      </c>
      <c r="R634" s="7" t="n"/>
      <c r="S634" s="7" t="n"/>
      <c r="T634" s="7" t="n"/>
      <c r="U634" s="7" t="n"/>
      <c r="V634" s="7" t="n"/>
      <c r="W634" s="7" t="inlineStr">
        <is>
          <t>alcohol</t>
        </is>
      </c>
      <c r="X634" s="55" t="n">
        <v>1</v>
      </c>
      <c r="Y634" s="50" t="n">
        <v>0.75</v>
      </c>
      <c r="Z634" s="7" t="inlineStr">
        <is>
          <t>declared</t>
        </is>
      </c>
      <c r="AA634" s="19">
        <f>IF(ISBLANK(Welcome!D660),"",Welcome!D660)</f>
        <v/>
      </c>
      <c r="AB634" s="29">
        <f>IF(ISBLANK(Welcome!E660),"",Welcome!E660)</f>
        <v/>
      </c>
      <c r="AC634" s="29">
        <f>IF(N(AB634)&gt;0,N(AB634),N(AA634)*Y634)</f>
        <v/>
      </c>
      <c r="AD634" s="29">
        <f>IF(H634="yes",AC634,0)</f>
        <v/>
      </c>
      <c r="AE634" s="29">
        <f>AD634*N(M634)/100</f>
        <v/>
      </c>
      <c r="AF634" s="29">
        <f>AD634*N(O634)/100</f>
        <v/>
      </c>
      <c r="AG634" s="29">
        <f>AD634*N(P634)/100</f>
        <v/>
      </c>
      <c r="AH634" s="50">
        <f>IF(Q634="yes",AD634/1000,0)</f>
        <v/>
      </c>
      <c r="AI634" s="50">
        <f>IF(S634="FG2",AH634*X634,AH634)</f>
        <v/>
      </c>
    </row>
    <row r="635">
      <c r="A635" s="7" t="inlineStr">
        <is>
          <t>HM00697</t>
        </is>
      </c>
      <c r="B635" s="16" t="inlineStr">
        <is>
          <t>4012345041392</t>
        </is>
      </c>
      <c r="C635" s="7" t="inlineStr">
        <is>
          <t>HM PAPER NAPKINS 2PK</t>
        </is>
      </c>
      <c r="D635" s="7" t="inlineStr">
        <is>
          <t>Paper napkins, 2pk</t>
        </is>
      </c>
      <c r="E635" s="7" t="inlineStr">
        <is>
          <t>Harbour Market</t>
        </is>
      </c>
      <c r="F635" s="7" t="inlineStr">
        <is>
          <t>Household</t>
        </is>
      </c>
      <c r="G635" s="7" t="inlineStr">
        <is>
          <t>Household</t>
        </is>
      </c>
      <c r="H635" s="7" t="inlineStr">
        <is>
          <t>no</t>
        </is>
      </c>
      <c r="I635" s="7" t="n"/>
      <c r="J635" s="7" t="n"/>
      <c r="K635" s="7" t="n"/>
      <c r="L635" s="7" t="n"/>
      <c r="M635" s="51" t="n"/>
      <c r="N635" s="7" t="n"/>
      <c r="O635" s="54" t="n"/>
      <c r="P635" s="54" t="n"/>
      <c r="Q635" s="7" t="inlineStr">
        <is>
          <t>no</t>
        </is>
      </c>
      <c r="R635" s="7" t="n"/>
      <c r="S635" s="7" t="n"/>
      <c r="T635" s="7" t="n"/>
      <c r="U635" s="7" t="n"/>
      <c r="V635" s="7" t="n"/>
      <c r="W635" s="7" t="n"/>
      <c r="X635" s="55" t="n">
        <v>1</v>
      </c>
      <c r="Y635" s="50" t="n">
        <v>0.3</v>
      </c>
      <c r="Z635" s="7" t="inlineStr">
        <is>
          <t>declared</t>
        </is>
      </c>
      <c r="AA635" s="19">
        <f>IF(ISBLANK(Welcome!D661),"",Welcome!D661)</f>
        <v/>
      </c>
      <c r="AB635" s="29">
        <f>IF(ISBLANK(Welcome!E661),"",Welcome!E661)</f>
        <v/>
      </c>
      <c r="AC635" s="29">
        <f>IF(N(AB635)&gt;0,N(AB635),N(AA635)*Y635)</f>
        <v/>
      </c>
      <c r="AD635" s="29">
        <f>IF(H635="yes",AC635,0)</f>
        <v/>
      </c>
      <c r="AE635" s="29">
        <f>AD635*N(M635)/100</f>
        <v/>
      </c>
      <c r="AF635" s="29">
        <f>AD635*N(O635)/100</f>
        <v/>
      </c>
      <c r="AG635" s="29">
        <f>AD635*N(P635)/100</f>
        <v/>
      </c>
      <c r="AH635" s="50">
        <f>IF(Q635="yes",AD635/1000,0)</f>
        <v/>
      </c>
      <c r="AI635" s="50">
        <f>IF(S635="FG2",AH635*X635,AH635)</f>
        <v/>
      </c>
    </row>
    <row r="636">
      <c r="A636" s="7" t="inlineStr">
        <is>
          <t>HM00538</t>
        </is>
      </c>
      <c r="B636" s="16" t="inlineStr">
        <is>
          <t>5012345820675</t>
        </is>
      </c>
      <c r="C636" s="7" t="inlineStr">
        <is>
          <t>HM PLANT BURGERS 400G</t>
        </is>
      </c>
      <c r="D636" s="7" t="inlineStr">
        <is>
          <t>Plant-based burgers, 400g</t>
        </is>
      </c>
      <c r="E636" s="7" t="inlineStr">
        <is>
          <t>Harbour Market</t>
        </is>
      </c>
      <c r="F636" s="7" t="inlineStr">
        <is>
          <t>Plant-Based</t>
        </is>
      </c>
      <c r="G636" s="7" t="inlineStr">
        <is>
          <t>Meat Alternatives</t>
        </is>
      </c>
      <c r="H636" s="7" t="inlineStr">
        <is>
          <t>yes</t>
        </is>
      </c>
      <c r="I636" s="7" t="inlineStr">
        <is>
          <t>Plant-based core</t>
        </is>
      </c>
      <c r="J636" s="7" t="inlineStr">
        <is>
          <t>Plant-based meat alternatives</t>
        </is>
      </c>
      <c r="K636" s="7" t="inlineStr">
        <is>
          <t>A</t>
        </is>
      </c>
      <c r="L636" s="7" t="inlineStr">
        <is>
          <t>All ingredients on one side</t>
        </is>
      </c>
      <c r="M636" s="51" t="n">
        <v>15.5</v>
      </c>
      <c r="N636" s="7" t="inlineStr">
        <is>
          <t>Declared by the retailer</t>
        </is>
      </c>
      <c r="O636" s="54" t="n">
        <v>15.5</v>
      </c>
      <c r="P636" s="54" t="n">
        <v>0</v>
      </c>
      <c r="Q636" s="7" t="inlineStr">
        <is>
          <t>yes</t>
        </is>
      </c>
      <c r="R636" s="7" t="inlineStr">
        <is>
          <t>whole</t>
        </is>
      </c>
      <c r="S636" s="7" t="inlineStr">
        <is>
          <t>FG1</t>
        </is>
      </c>
      <c r="T636" s="7" t="inlineStr">
        <is>
          <t>Alternative products</t>
        </is>
      </c>
      <c r="U636" s="7" t="inlineStr">
        <is>
          <t>plant</t>
        </is>
      </c>
      <c r="V636" s="7" t="n"/>
      <c r="W636" s="7" t="n"/>
      <c r="X636" s="55" t="n">
        <v>1</v>
      </c>
      <c r="Y636" s="50" t="n">
        <v>0.4</v>
      </c>
      <c r="Z636" s="7" t="inlineStr">
        <is>
          <t>declared</t>
        </is>
      </c>
      <c r="AA636" s="19">
        <f>IF(ISBLANK(Welcome!D662),"",Welcome!D662)</f>
        <v/>
      </c>
      <c r="AB636" s="29">
        <f>IF(ISBLANK(Welcome!E662),"",Welcome!E662)</f>
        <v/>
      </c>
      <c r="AC636" s="29">
        <f>IF(N(AB636)&gt;0,N(AB636),N(AA636)*Y636)</f>
        <v/>
      </c>
      <c r="AD636" s="29">
        <f>IF(H636="yes",AC636,0)</f>
        <v/>
      </c>
      <c r="AE636" s="29">
        <f>AD636*N(M636)/100</f>
        <v/>
      </c>
      <c r="AF636" s="29">
        <f>AD636*N(O636)/100</f>
        <v/>
      </c>
      <c r="AG636" s="29">
        <f>AD636*N(P636)/100</f>
        <v/>
      </c>
      <c r="AH636" s="50">
        <f>IF(Q636="yes",AD636/1000,0)</f>
        <v/>
      </c>
      <c r="AI636" s="50">
        <f>IF(S636="FG2",AH636*X636,AH636)</f>
        <v/>
      </c>
    </row>
    <row r="637">
      <c r="A637" s="7" t="inlineStr">
        <is>
          <t>HM00492</t>
        </is>
      </c>
      <c r="B637" s="16" t="inlineStr">
        <is>
          <t>4012345746273</t>
        </is>
      </c>
      <c r="C637" s="7" t="inlineStr">
        <is>
          <t>HM VEG CHILLI RICE 350G</t>
        </is>
      </c>
      <c r="D637" s="7" t="inlineStr">
        <is>
          <t>Vegetable chilli with rice, 350g</t>
        </is>
      </c>
      <c r="E637" s="7" t="inlineStr">
        <is>
          <t>Harbour Market</t>
        </is>
      </c>
      <c r="F637" s="7" t="inlineStr">
        <is>
          <t>Ready Meals</t>
        </is>
      </c>
      <c r="G637" s="7" t="inlineStr">
        <is>
          <t>Ready Meals</t>
        </is>
      </c>
      <c r="H637" s="7" t="inlineStr">
        <is>
          <t>yes</t>
        </is>
      </c>
      <c r="I637" s="7" t="inlineStr">
        <is>
          <t>Plant-based non-core</t>
        </is>
      </c>
      <c r="J637" s="7" t="inlineStr">
        <is>
          <t>Other</t>
        </is>
      </c>
      <c r="K637" s="7" t="inlineStr">
        <is>
          <t>A</t>
        </is>
      </c>
      <c r="L637" s="7" t="inlineStr">
        <is>
          <t>All ingredients on one side</t>
        </is>
      </c>
      <c r="M637" s="51" t="n">
        <v>4.1</v>
      </c>
      <c r="N637" s="7" t="inlineStr">
        <is>
          <t>National food table (CIQUAL in France)</t>
        </is>
      </c>
      <c r="O637" s="54" t="n">
        <v>4.1</v>
      </c>
      <c r="P637" s="54" t="n">
        <v>0</v>
      </c>
      <c r="Q637" s="7" t="inlineStr">
        <is>
          <t>yes</t>
        </is>
      </c>
      <c r="R637" s="7" t="inlineStr">
        <is>
          <t>composite</t>
        </is>
      </c>
      <c r="S637" s="7" t="n"/>
      <c r="T637" s="7" t="n"/>
      <c r="U637" s="7" t="n"/>
      <c r="V637" s="7" t="inlineStr">
        <is>
          <t>vegan</t>
        </is>
      </c>
      <c r="W637" s="7" t="n"/>
      <c r="X637" s="55" t="n">
        <v>1</v>
      </c>
      <c r="Y637" s="50" t="n">
        <v>0.35</v>
      </c>
      <c r="Z637" s="7" t="inlineStr">
        <is>
          <t>declared</t>
        </is>
      </c>
      <c r="AA637" s="19">
        <f>IF(ISBLANK(Welcome!D663),"",Welcome!D663)</f>
        <v/>
      </c>
      <c r="AB637" s="29">
        <f>IF(ISBLANK(Welcome!E663),"",Welcome!E663)</f>
        <v/>
      </c>
      <c r="AC637" s="29">
        <f>IF(N(AB637)&gt;0,N(AB637),N(AA637)*Y637)</f>
        <v/>
      </c>
      <c r="AD637" s="29">
        <f>IF(H637="yes",AC637,0)</f>
        <v/>
      </c>
      <c r="AE637" s="29">
        <f>AD637*N(M637)/100</f>
        <v/>
      </c>
      <c r="AF637" s="29">
        <f>AD637*N(O637)/100</f>
        <v/>
      </c>
      <c r="AG637" s="29">
        <f>AD637*N(P637)/100</f>
        <v/>
      </c>
      <c r="AH637" s="50">
        <f>IF(Q637="yes",AD637/1000,0)</f>
        <v/>
      </c>
      <c r="AI637" s="50">
        <f>IF(S637="FG2",AH637*X637,AH637)</f>
        <v/>
      </c>
    </row>
    <row r="638">
      <c r="A638" s="7" t="inlineStr">
        <is>
          <t>HM00604</t>
        </is>
      </c>
      <c r="B638" s="16" t="inlineStr">
        <is>
          <t>5012345348537</t>
        </is>
      </c>
      <c r="C638" s="7" t="inlineStr">
        <is>
          <t>FJELDA PROTEIN SHAKE CHOC 4X330ML</t>
        </is>
      </c>
      <c r="D638" s="7" t="inlineStr">
        <is>
          <t>Chocolate protein shake, 4x330ml</t>
        </is>
      </c>
      <c r="E638" s="7" t="inlineStr">
        <is>
          <t>Fjelda</t>
        </is>
      </c>
      <c r="F638" s="7" t="inlineStr">
        <is>
          <t>Soft Drinks &amp; Water</t>
        </is>
      </c>
      <c r="G638" s="7" t="inlineStr">
        <is>
          <t>Sports Nutrition</t>
        </is>
      </c>
      <c r="H638" s="7" t="inlineStr">
        <is>
          <t>yes</t>
        </is>
      </c>
      <c r="I638" s="7" t="inlineStr">
        <is>
          <t>Animal core</t>
        </is>
      </c>
      <c r="J638" s="7" t="inlineStr">
        <is>
          <t>Other</t>
        </is>
      </c>
      <c r="K638" s="7" t="inlineStr">
        <is>
          <t>B</t>
        </is>
      </c>
      <c r="L638" s="7" t="inlineStr">
        <is>
          <t>First ingredient</t>
        </is>
      </c>
      <c r="M638" s="51" t="n">
        <v>7.8</v>
      </c>
      <c r="N638" s="7" t="inlineStr">
        <is>
          <t>Declared by the retailer</t>
        </is>
      </c>
      <c r="O638" s="54" t="n">
        <v>0</v>
      </c>
      <c r="P638" s="54" t="n">
        <v>7.8</v>
      </c>
      <c r="Q638" s="7" t="inlineStr">
        <is>
          <t>yes</t>
        </is>
      </c>
      <c r="R638" s="7" t="inlineStr">
        <is>
          <t>whole</t>
        </is>
      </c>
      <c r="S638" s="7" t="inlineStr">
        <is>
          <t>FG2</t>
        </is>
      </c>
      <c r="T638" s="7" t="inlineStr">
        <is>
          <t>Dairy</t>
        </is>
      </c>
      <c r="U638" s="7" t="inlineStr">
        <is>
          <t>animal</t>
        </is>
      </c>
      <c r="V638" s="7" t="n"/>
      <c r="W638" s="7" t="n"/>
      <c r="X638" s="55" t="n">
        <v>1</v>
      </c>
      <c r="Y638" s="50" t="n">
        <v>1.36</v>
      </c>
      <c r="Z638" s="7" t="inlineStr">
        <is>
          <t>declared</t>
        </is>
      </c>
      <c r="AA638" s="19">
        <f>IF(ISBLANK(Welcome!D664),"",Welcome!D664)</f>
        <v/>
      </c>
      <c r="AB638" s="29">
        <f>IF(ISBLANK(Welcome!E664),"",Welcome!E664)</f>
        <v/>
      </c>
      <c r="AC638" s="29">
        <f>IF(N(AB638)&gt;0,N(AB638),N(AA638)*Y638)</f>
        <v/>
      </c>
      <c r="AD638" s="29">
        <f>IF(H638="yes",AC638,0)</f>
        <v/>
      </c>
      <c r="AE638" s="29">
        <f>AD638*N(M638)/100</f>
        <v/>
      </c>
      <c r="AF638" s="29">
        <f>AD638*N(O638)/100</f>
        <v/>
      </c>
      <c r="AG638" s="29">
        <f>AD638*N(P638)/100</f>
        <v/>
      </c>
      <c r="AH638" s="50">
        <f>IF(Q638="yes",AD638/1000,0)</f>
        <v/>
      </c>
      <c r="AI638" s="50">
        <f>IF(S638="FG2",AH638*X638,AH638)</f>
        <v/>
      </c>
    </row>
    <row r="639">
      <c r="A639" s="7" t="inlineStr">
        <is>
          <t>HM00086</t>
        </is>
      </c>
      <c r="B639" s="16" t="inlineStr">
        <is>
          <t>4012345416510</t>
        </is>
      </c>
      <c r="C639" s="7" t="inlineStr">
        <is>
          <t>BRAMBLECOTE SELF RAISING FLOUR 1.5KG</t>
        </is>
      </c>
      <c r="D639" s="7" t="inlineStr">
        <is>
          <t>Self-raising flour, 1.5kg</t>
        </is>
      </c>
      <c r="E639" s="7" t="inlineStr">
        <is>
          <t>Bramblecote</t>
        </is>
      </c>
      <c r="F639" s="7" t="inlineStr">
        <is>
          <t>Grocery</t>
        </is>
      </c>
      <c r="G639" s="7" t="inlineStr">
        <is>
          <t>Baking</t>
        </is>
      </c>
      <c r="H639" s="7" t="inlineStr">
        <is>
          <t>yes</t>
        </is>
      </c>
      <c r="I639" s="7" t="inlineStr">
        <is>
          <t>Plant-based non-core</t>
        </is>
      </c>
      <c r="J639" s="7" t="inlineStr">
        <is>
          <t>Refined grains</t>
        </is>
      </c>
      <c r="K639" s="7" t="inlineStr">
        <is>
          <t>A</t>
        </is>
      </c>
      <c r="L639" s="7" t="inlineStr">
        <is>
          <t>All ingredients on one side</t>
        </is>
      </c>
      <c r="M639" s="51" t="n">
        <v>9.699999999999999</v>
      </c>
      <c r="N639" s="7" t="inlineStr">
        <is>
          <t>Median of the family</t>
        </is>
      </c>
      <c r="O639" s="54" t="n">
        <v>9.699999999999999</v>
      </c>
      <c r="P639" s="54" t="n">
        <v>0</v>
      </c>
      <c r="Q639" s="7" t="inlineStr">
        <is>
          <t>yes</t>
        </is>
      </c>
      <c r="R639" s="7" t="inlineStr">
        <is>
          <t>whole</t>
        </is>
      </c>
      <c r="S639" s="7" t="inlineStr">
        <is>
          <t>FG5</t>
        </is>
      </c>
      <c r="T639" s="7" t="inlineStr">
        <is>
          <t>Refined grain</t>
        </is>
      </c>
      <c r="U639" s="7" t="inlineStr">
        <is>
          <t>plant</t>
        </is>
      </c>
      <c r="V639" s="7" t="n"/>
      <c r="W639" s="7" t="n"/>
      <c r="X639" s="55" t="n">
        <v>1</v>
      </c>
      <c r="Y639" s="50" t="n">
        <v>1.5</v>
      </c>
      <c r="Z639" s="7" t="inlineStr">
        <is>
          <t>declared</t>
        </is>
      </c>
      <c r="AA639" s="19">
        <f>IF(ISBLANK(Welcome!D665),"",Welcome!D665)</f>
        <v/>
      </c>
      <c r="AB639" s="29">
        <f>IF(ISBLANK(Welcome!E665),"",Welcome!E665)</f>
        <v/>
      </c>
      <c r="AC639" s="29">
        <f>IF(N(AB639)&gt;0,N(AB639),N(AA639)*Y639)</f>
        <v/>
      </c>
      <c r="AD639" s="29">
        <f>IF(H639="yes",AC639,0)</f>
        <v/>
      </c>
      <c r="AE639" s="29">
        <f>AD639*N(M639)/100</f>
        <v/>
      </c>
      <c r="AF639" s="29">
        <f>AD639*N(O639)/100</f>
        <v/>
      </c>
      <c r="AG639" s="29">
        <f>AD639*N(P639)/100</f>
        <v/>
      </c>
      <c r="AH639" s="50">
        <f>IF(Q639="yes",AD639/1000,0)</f>
        <v/>
      </c>
      <c r="AI639" s="50">
        <f>IF(S639="FG2",AH639*X639,AH639)</f>
        <v/>
      </c>
    </row>
    <row r="640">
      <c r="A640" s="7" t="inlineStr">
        <is>
          <t>HM00738</t>
        </is>
      </c>
      <c r="B640" s="16" t="inlineStr">
        <is>
          <t>5012345058474</t>
        </is>
      </c>
      <c r="C640" s="7" t="inlineStr">
        <is>
          <t>HM TORTILLA CHIPS 200G</t>
        </is>
      </c>
      <c r="D640" s="7" t="inlineStr">
        <is>
          <t>Tortilla chips, 200g</t>
        </is>
      </c>
      <c r="E640" s="7" t="inlineStr">
        <is>
          <t>Harbour Market</t>
        </is>
      </c>
      <c r="F640" s="7" t="inlineStr">
        <is>
          <t>Breakfast &amp; Snacks</t>
        </is>
      </c>
      <c r="G640" s="7" t="inlineStr">
        <is>
          <t>Crisps</t>
        </is>
      </c>
      <c r="H640" s="7" t="inlineStr">
        <is>
          <t>yes</t>
        </is>
      </c>
      <c r="I640" s="7" t="inlineStr">
        <is>
          <t>Plant-based non-core</t>
        </is>
      </c>
      <c r="J640" s="7" t="inlineStr">
        <is>
          <t>Discretionary products</t>
        </is>
      </c>
      <c r="K640" s="7" t="inlineStr">
        <is>
          <t>A</t>
        </is>
      </c>
      <c r="L640" s="7" t="inlineStr">
        <is>
          <t>All ingredients on one side</t>
        </is>
      </c>
      <c r="M640" s="51" t="n">
        <v>7.2</v>
      </c>
      <c r="N640" s="7" t="inlineStr">
        <is>
          <t>National food table (CIQUAL in France)</t>
        </is>
      </c>
      <c r="O640" s="54" t="n">
        <v>7.2</v>
      </c>
      <c r="P640" s="54" t="n">
        <v>0</v>
      </c>
      <c r="Q640" s="7" t="inlineStr">
        <is>
          <t>yes</t>
        </is>
      </c>
      <c r="R640" s="7" t="inlineStr">
        <is>
          <t>whole</t>
        </is>
      </c>
      <c r="S640" s="7" t="inlineStr">
        <is>
          <t>FG7</t>
        </is>
      </c>
      <c r="T640" s="7" t="n"/>
      <c r="U640" s="7" t="inlineStr">
        <is>
          <t>plant</t>
        </is>
      </c>
      <c r="V640" s="7" t="n"/>
      <c r="W640" s="7" t="n"/>
      <c r="X640" s="55" t="n">
        <v>1</v>
      </c>
      <c r="Y640" s="50" t="n">
        <v>0.2</v>
      </c>
      <c r="Z640" s="7" t="inlineStr">
        <is>
          <t>declared</t>
        </is>
      </c>
      <c r="AA640" s="19">
        <f>IF(ISBLANK(Welcome!D666),"",Welcome!D666)</f>
        <v/>
      </c>
      <c r="AB640" s="29">
        <f>IF(ISBLANK(Welcome!E666),"",Welcome!E666)</f>
        <v/>
      </c>
      <c r="AC640" s="29">
        <f>IF(N(AB640)&gt;0,N(AB640),N(AA640)*Y640)</f>
        <v/>
      </c>
      <c r="AD640" s="29">
        <f>IF(H640="yes",AC640,0)</f>
        <v/>
      </c>
      <c r="AE640" s="29">
        <f>AD640*N(M640)/100</f>
        <v/>
      </c>
      <c r="AF640" s="29">
        <f>AD640*N(O640)/100</f>
        <v/>
      </c>
      <c r="AG640" s="29">
        <f>AD640*N(P640)/100</f>
        <v/>
      </c>
      <c r="AH640" s="50">
        <f>IF(Q640="yes",AD640/1000,0)</f>
        <v/>
      </c>
      <c r="AI640" s="50">
        <f>IF(S640="FG2",AH640*X640,AH640)</f>
        <v/>
      </c>
    </row>
    <row r="641">
      <c r="A641" s="7" t="inlineStr">
        <is>
          <t>HM00575</t>
        </is>
      </c>
      <c r="B641" s="16" t="inlineStr">
        <is>
          <t>5012345933917</t>
        </is>
      </c>
      <c r="C641" s="7" t="inlineStr">
        <is>
          <t>FJELDA YOG GRANOLA POT 150G</t>
        </is>
      </c>
      <c r="D641" s="7" t="inlineStr">
        <is>
          <t>Yoghurt &amp; granola pot, 150g</t>
        </is>
      </c>
      <c r="E641" s="7" t="inlineStr">
        <is>
          <t>Fjelda</t>
        </is>
      </c>
      <c r="F641" s="7" t="inlineStr">
        <is>
          <t>Dairy &amp; Eggs</t>
        </is>
      </c>
      <c r="G641" s="7" t="inlineStr">
        <is>
          <t>Yoghurt</t>
        </is>
      </c>
      <c r="H641" s="7" t="inlineStr">
        <is>
          <t>yes</t>
        </is>
      </c>
      <c r="I641" s="7" t="inlineStr">
        <is>
          <t>Animal &amp; plant composite</t>
        </is>
      </c>
      <c r="J641" s="7" t="inlineStr">
        <is>
          <t>Vegetarian dishes</t>
        </is>
      </c>
      <c r="K641" s="7" t="inlineStr">
        <is>
          <t>A</t>
        </is>
      </c>
      <c r="L641" s="7" t="inlineStr">
        <is>
          <t>Ingredient list</t>
        </is>
      </c>
      <c r="M641" s="51" t="n">
        <v>4.4</v>
      </c>
      <c r="N641" s="7" t="inlineStr">
        <is>
          <t>Declared by the retailer</t>
        </is>
      </c>
      <c r="O641" s="54" t="n">
        <v>0.48</v>
      </c>
      <c r="P641" s="54" t="n">
        <v>3.92</v>
      </c>
      <c r="Q641" s="7" t="inlineStr">
        <is>
          <t>yes</t>
        </is>
      </c>
      <c r="R641" s="7" t="inlineStr">
        <is>
          <t>composite</t>
        </is>
      </c>
      <c r="S641" s="7" t="n"/>
      <c r="T641" s="7" t="n"/>
      <c r="U641" s="7" t="n"/>
      <c r="V641" s="7" t="inlineStr">
        <is>
          <t>vegetarian</t>
        </is>
      </c>
      <c r="W641" s="7" t="n"/>
      <c r="X641" s="55" t="n">
        <v>1</v>
      </c>
      <c r="Y641" s="50" t="n">
        <v>0.15</v>
      </c>
      <c r="Z641" s="7" t="inlineStr">
        <is>
          <t>declared</t>
        </is>
      </c>
      <c r="AA641" s="19">
        <f>IF(ISBLANK(Welcome!D667),"",Welcome!D667)</f>
        <v/>
      </c>
      <c r="AB641" s="29">
        <f>IF(ISBLANK(Welcome!E667),"",Welcome!E667)</f>
        <v/>
      </c>
      <c r="AC641" s="29">
        <f>IF(N(AB641)&gt;0,N(AB641),N(AA641)*Y641)</f>
        <v/>
      </c>
      <c r="AD641" s="29">
        <f>IF(H641="yes",AC641,0)</f>
        <v/>
      </c>
      <c r="AE641" s="29">
        <f>AD641*N(M641)/100</f>
        <v/>
      </c>
      <c r="AF641" s="29">
        <f>AD641*N(O641)/100</f>
        <v/>
      </c>
      <c r="AG641" s="29">
        <f>AD641*N(P641)/100</f>
        <v/>
      </c>
      <c r="AH641" s="50">
        <f>IF(Q641="yes",AD641/1000,0)</f>
        <v/>
      </c>
      <c r="AI641" s="50">
        <f>IF(S641="FG2",AH641*X641,AH641)</f>
        <v/>
      </c>
    </row>
    <row r="642">
      <c r="A642" s="7" t="inlineStr">
        <is>
          <t>HM00225</t>
        </is>
      </c>
      <c r="B642" s="16" t="inlineStr">
        <is>
          <t>5012345751399</t>
        </is>
      </c>
      <c r="C642" s="7" t="inlineStr">
        <is>
          <t>PIZZA 4 CHEESE 2X320G QUILLAN</t>
        </is>
      </c>
      <c r="D642" s="7" t="inlineStr">
        <is>
          <t>Four cheese pizza, 2x320g</t>
        </is>
      </c>
      <c r="E642" s="7" t="inlineStr">
        <is>
          <t>Quillan</t>
        </is>
      </c>
      <c r="F642" s="7" t="inlineStr">
        <is>
          <t>Frozen</t>
        </is>
      </c>
      <c r="G642" s="7" t="inlineStr">
        <is>
          <t>Pizza</t>
        </is>
      </c>
      <c r="H642" s="7" t="inlineStr">
        <is>
          <t>yes</t>
        </is>
      </c>
      <c r="I642" s="7" t="inlineStr">
        <is>
          <t>Animal &amp; plant composite</t>
        </is>
      </c>
      <c r="J642" s="7" t="inlineStr">
        <is>
          <t>Vegetarian dishes</t>
        </is>
      </c>
      <c r="K642" s="7" t="inlineStr">
        <is>
          <t>B</t>
        </is>
      </c>
      <c r="L642" s="7" t="inlineStr">
        <is>
          <t>50/50 convention</t>
        </is>
      </c>
      <c r="M642" s="51" t="n">
        <v>10.5</v>
      </c>
      <c r="N642" s="7" t="inlineStr">
        <is>
          <t>Declared by the retailer</t>
        </is>
      </c>
      <c r="O642" s="54" t="n">
        <v>5.25</v>
      </c>
      <c r="P642" s="54" t="n">
        <v>5.25</v>
      </c>
      <c r="Q642" s="7" t="inlineStr">
        <is>
          <t>yes</t>
        </is>
      </c>
      <c r="R642" s="7" t="inlineStr">
        <is>
          <t>composite</t>
        </is>
      </c>
      <c r="S642" s="7" t="n"/>
      <c r="T642" s="7" t="n"/>
      <c r="U642" s="7" t="n"/>
      <c r="V642" s="7" t="inlineStr">
        <is>
          <t>vegetarian</t>
        </is>
      </c>
      <c r="W642" s="7" t="n"/>
      <c r="X642" s="55" t="n">
        <v>1</v>
      </c>
      <c r="Y642" s="50" t="n">
        <v>0.64</v>
      </c>
      <c r="Z642" s="7" t="inlineStr">
        <is>
          <t>declared</t>
        </is>
      </c>
      <c r="AA642" s="19">
        <f>IF(ISBLANK(Welcome!D668),"",Welcome!D668)</f>
        <v/>
      </c>
      <c r="AB642" s="29">
        <f>IF(ISBLANK(Welcome!E668),"",Welcome!E668)</f>
        <v/>
      </c>
      <c r="AC642" s="29">
        <f>IF(N(AB642)&gt;0,N(AB642),N(AA642)*Y642)</f>
        <v/>
      </c>
      <c r="AD642" s="29">
        <f>IF(H642="yes",AC642,0)</f>
        <v/>
      </c>
      <c r="AE642" s="29">
        <f>AD642*N(M642)/100</f>
        <v/>
      </c>
      <c r="AF642" s="29">
        <f>AD642*N(O642)/100</f>
        <v/>
      </c>
      <c r="AG642" s="29">
        <f>AD642*N(P642)/100</f>
        <v/>
      </c>
      <c r="AH642" s="50">
        <f>IF(Q642="yes",AD642/1000,0)</f>
        <v/>
      </c>
      <c r="AI642" s="50">
        <f>IF(S642="FG2",AH642*X642,AH642)</f>
        <v/>
      </c>
    </row>
    <row r="643">
      <c r="A643" s="7" t="inlineStr">
        <is>
          <t>HM00409</t>
        </is>
      </c>
      <c r="B643" s="16" t="inlineStr">
        <is>
          <t>3012345947688</t>
        </is>
      </c>
      <c r="C643" s="7" t="inlineStr">
        <is>
          <t>HM SOFT CHEESE GARLIC HERB 180G</t>
        </is>
      </c>
      <c r="D643" s="7" t="inlineStr">
        <is>
          <t>Soft cheese with garlic &amp; herbs, 180g</t>
        </is>
      </c>
      <c r="E643" s="7" t="inlineStr">
        <is>
          <t>Harbour Market</t>
        </is>
      </c>
      <c r="F643" s="7" t="inlineStr">
        <is>
          <t>Cheese</t>
        </is>
      </c>
      <c r="G643" s="7" t="inlineStr">
        <is>
          <t>Fresh Cheese</t>
        </is>
      </c>
      <c r="H643" s="7" t="inlineStr">
        <is>
          <t>yes</t>
        </is>
      </c>
      <c r="I643" s="7" t="inlineStr">
        <is>
          <t>Animal core</t>
        </is>
      </c>
      <c r="J643" s="7" t="inlineStr">
        <is>
          <t>Cheese</t>
        </is>
      </c>
      <c r="K643" s="7" t="inlineStr">
        <is>
          <t>B</t>
        </is>
      </c>
      <c r="L643" s="7" t="inlineStr">
        <is>
          <t>First ingredient</t>
        </is>
      </c>
      <c r="M643" s="51" t="n">
        <v>6.9</v>
      </c>
      <c r="N643" s="7" t="inlineStr">
        <is>
          <t>Declared by the retailer</t>
        </is>
      </c>
      <c r="O643" s="54" t="n">
        <v>0</v>
      </c>
      <c r="P643" s="54" t="n">
        <v>6.9</v>
      </c>
      <c r="Q643" s="7" t="inlineStr">
        <is>
          <t>yes</t>
        </is>
      </c>
      <c r="R643" s="7" t="inlineStr">
        <is>
          <t>whole</t>
        </is>
      </c>
      <c r="S643" s="7" t="inlineStr">
        <is>
          <t>FG2</t>
        </is>
      </c>
      <c r="T643" s="7" t="inlineStr">
        <is>
          <t>Dairy</t>
        </is>
      </c>
      <c r="U643" s="7" t="inlineStr">
        <is>
          <t>animal</t>
        </is>
      </c>
      <c r="V643" s="7" t="n"/>
      <c r="W643" s="7" t="n"/>
      <c r="X643" s="55" t="n">
        <v>1</v>
      </c>
      <c r="Y643" s="50" t="n">
        <v>0.18</v>
      </c>
      <c r="Z643" s="7" t="inlineStr">
        <is>
          <t>declared</t>
        </is>
      </c>
      <c r="AA643" s="19">
        <f>IF(ISBLANK(Welcome!D669),"",Welcome!D669)</f>
        <v/>
      </c>
      <c r="AB643" s="29">
        <f>IF(ISBLANK(Welcome!E669),"",Welcome!E669)</f>
        <v/>
      </c>
      <c r="AC643" s="29">
        <f>IF(N(AB643)&gt;0,N(AB643),N(AA643)*Y643)</f>
        <v/>
      </c>
      <c r="AD643" s="29">
        <f>IF(H643="yes",AC643,0)</f>
        <v/>
      </c>
      <c r="AE643" s="29">
        <f>AD643*N(M643)/100</f>
        <v/>
      </c>
      <c r="AF643" s="29">
        <f>AD643*N(O643)/100</f>
        <v/>
      </c>
      <c r="AG643" s="29">
        <f>AD643*N(P643)/100</f>
        <v/>
      </c>
      <c r="AH643" s="50">
        <f>IF(Q643="yes",AD643/1000,0)</f>
        <v/>
      </c>
      <c r="AI643" s="50">
        <f>IF(S643="FG2",AH643*X643,AH643)</f>
        <v/>
      </c>
    </row>
    <row r="644">
      <c r="A644" s="7" t="inlineStr">
        <is>
          <t>HM00306</t>
        </is>
      </c>
      <c r="B644" s="16" t="inlineStr">
        <is>
          <t>8712345168155</t>
        </is>
      </c>
      <c r="C644" s="7" t="inlineStr">
        <is>
          <t>HM SOYA YOG ALT NAT 4X125G</t>
        </is>
      </c>
      <c r="D644" s="7" t="inlineStr">
        <is>
          <t>Plain soya yoghurt alternative, 4x125g</t>
        </is>
      </c>
      <c r="E644" s="7" t="inlineStr">
        <is>
          <t>Harbour Market</t>
        </is>
      </c>
      <c r="F644" s="7" t="inlineStr">
        <is>
          <t>Plant-Based</t>
        </is>
      </c>
      <c r="G644" s="7" t="inlineStr">
        <is>
          <t>Plant Yoghurts</t>
        </is>
      </c>
      <c r="H644" s="7" t="inlineStr">
        <is>
          <t>yes</t>
        </is>
      </c>
      <c r="I644" s="7" t="inlineStr">
        <is>
          <t>Plant-based core</t>
        </is>
      </c>
      <c r="J644" s="7" t="inlineStr">
        <is>
          <t>Plant-based dairy alternatives</t>
        </is>
      </c>
      <c r="K644" s="7" t="inlineStr">
        <is>
          <t>A</t>
        </is>
      </c>
      <c r="L644" s="7" t="inlineStr">
        <is>
          <t>All ingredients on one side</t>
        </is>
      </c>
      <c r="M644" s="51" t="n">
        <v>4.2</v>
      </c>
      <c r="N644" s="7" t="inlineStr">
        <is>
          <t>Declared by the retailer</t>
        </is>
      </c>
      <c r="O644" s="54" t="n">
        <v>4.2</v>
      </c>
      <c r="P644" s="54" t="n">
        <v>0</v>
      </c>
      <c r="Q644" s="7" t="inlineStr">
        <is>
          <t>yes</t>
        </is>
      </c>
      <c r="R644" s="7" t="inlineStr">
        <is>
          <t>whole</t>
        </is>
      </c>
      <c r="S644" s="7" t="inlineStr">
        <is>
          <t>FG2</t>
        </is>
      </c>
      <c r="T644" s="7" t="inlineStr">
        <is>
          <t>Dairy alternatives</t>
        </is>
      </c>
      <c r="U644" s="7" t="inlineStr">
        <is>
          <t>plant</t>
        </is>
      </c>
      <c r="V644" s="7" t="n"/>
      <c r="W644" s="7" t="n"/>
      <c r="X644" s="55" t="n">
        <v>1</v>
      </c>
      <c r="Y644" s="50" t="n">
        <v>0.5</v>
      </c>
      <c r="Z644" s="7" t="inlineStr">
        <is>
          <t>declared</t>
        </is>
      </c>
      <c r="AA644" s="19">
        <f>IF(ISBLANK(Welcome!D670),"",Welcome!D670)</f>
        <v/>
      </c>
      <c r="AB644" s="29">
        <f>IF(ISBLANK(Welcome!E670),"",Welcome!E670)</f>
        <v/>
      </c>
      <c r="AC644" s="29">
        <f>IF(N(AB644)&gt;0,N(AB644),N(AA644)*Y644)</f>
        <v/>
      </c>
      <c r="AD644" s="29">
        <f>IF(H644="yes",AC644,0)</f>
        <v/>
      </c>
      <c r="AE644" s="29">
        <f>AD644*N(M644)/100</f>
        <v/>
      </c>
      <c r="AF644" s="29">
        <f>AD644*N(O644)/100</f>
        <v/>
      </c>
      <c r="AG644" s="29">
        <f>AD644*N(P644)/100</f>
        <v/>
      </c>
      <c r="AH644" s="50">
        <f>IF(Q644="yes",AD644/1000,0)</f>
        <v/>
      </c>
      <c r="AI644" s="50">
        <f>IF(S644="FG2",AH644*X644,AH644)</f>
        <v/>
      </c>
    </row>
    <row r="645">
      <c r="A645" s="7" t="inlineStr">
        <is>
          <t>HM00718</t>
        </is>
      </c>
      <c r="B645" s="16" t="inlineStr">
        <is>
          <t>4012345906660</t>
        </is>
      </c>
      <c r="C645" s="7" t="inlineStr">
        <is>
          <t>HM MIXED NUTS 200G</t>
        </is>
      </c>
      <c r="D645" s="7" t="inlineStr">
        <is>
          <t>Mixed nuts, 200g</t>
        </is>
      </c>
      <c r="E645" s="7" t="inlineStr">
        <is>
          <t>Harbour Market</t>
        </is>
      </c>
      <c r="F645" s="7" t="inlineStr">
        <is>
          <t>Grocery</t>
        </is>
      </c>
      <c r="G645" s="7" t="inlineStr">
        <is>
          <t>Nuts &amp; Seeds</t>
        </is>
      </c>
      <c r="H645" s="7" t="inlineStr">
        <is>
          <t>yes</t>
        </is>
      </c>
      <c r="I645" s="7" t="inlineStr">
        <is>
          <t>Plant-based core</t>
        </is>
      </c>
      <c r="J645" s="7" t="inlineStr">
        <is>
          <t>Nuts</t>
        </is>
      </c>
      <c r="K645" s="7" t="inlineStr">
        <is>
          <t>B</t>
        </is>
      </c>
      <c r="L645" s="7" t="inlineStr">
        <is>
          <t>Follows the class</t>
        </is>
      </c>
      <c r="M645" s="51" t="n">
        <v>20</v>
      </c>
      <c r="N645" s="7" t="inlineStr">
        <is>
          <t>Declared by the retailer</t>
        </is>
      </c>
      <c r="O645" s="54" t="n">
        <v>20</v>
      </c>
      <c r="P645" s="54" t="n">
        <v>0</v>
      </c>
      <c r="Q645" s="7" t="inlineStr">
        <is>
          <t>yes</t>
        </is>
      </c>
      <c r="R645" s="7" t="inlineStr">
        <is>
          <t>whole</t>
        </is>
      </c>
      <c r="S645" s="7" t="inlineStr">
        <is>
          <t>FG1</t>
        </is>
      </c>
      <c r="T645" s="7" t="inlineStr">
        <is>
          <t>Nuts</t>
        </is>
      </c>
      <c r="U645" s="7" t="inlineStr">
        <is>
          <t>plant</t>
        </is>
      </c>
      <c r="V645" s="7" t="n"/>
      <c r="W645" s="7" t="n"/>
      <c r="X645" s="55" t="n">
        <v>1</v>
      </c>
      <c r="Y645" s="50" t="n">
        <v>0.2</v>
      </c>
      <c r="Z645" s="7" t="inlineStr">
        <is>
          <t>declared</t>
        </is>
      </c>
      <c r="AA645" s="19">
        <f>IF(ISBLANK(Welcome!D671),"",Welcome!D671)</f>
        <v/>
      </c>
      <c r="AB645" s="29">
        <f>IF(ISBLANK(Welcome!E671),"",Welcome!E671)</f>
        <v/>
      </c>
      <c r="AC645" s="29">
        <f>IF(N(AB645)&gt;0,N(AB645),N(AA645)*Y645)</f>
        <v/>
      </c>
      <c r="AD645" s="29">
        <f>IF(H645="yes",AC645,0)</f>
        <v/>
      </c>
      <c r="AE645" s="29">
        <f>AD645*N(M645)/100</f>
        <v/>
      </c>
      <c r="AF645" s="29">
        <f>AD645*N(O645)/100</f>
        <v/>
      </c>
      <c r="AG645" s="29">
        <f>AD645*N(P645)/100</f>
        <v/>
      </c>
      <c r="AH645" s="50">
        <f>IF(Q645="yes",AD645/1000,0)</f>
        <v/>
      </c>
      <c r="AI645" s="50">
        <f>IF(S645="FG2",AH645*X645,AH645)</f>
        <v/>
      </c>
    </row>
    <row r="646">
      <c r="A646" s="7" t="inlineStr">
        <is>
          <t>HM00047</t>
        </is>
      </c>
      <c r="B646" s="16" t="inlineStr">
        <is>
          <t>5012345969794</t>
        </is>
      </c>
      <c r="C646" s="7" t="inlineStr">
        <is>
          <t>VELOCE ENGLISH BREAKFAST TEA 1KG</t>
        </is>
      </c>
      <c r="D646" s="7" t="inlineStr">
        <is>
          <t>English breakfast tea bags, 1kg</t>
        </is>
      </c>
      <c r="E646" s="7" t="inlineStr">
        <is>
          <t>Veloce</t>
        </is>
      </c>
      <c r="F646" s="7" t="inlineStr">
        <is>
          <t>Grocery</t>
        </is>
      </c>
      <c r="G646" s="7" t="inlineStr">
        <is>
          <t>Tea &amp; Coffee</t>
        </is>
      </c>
      <c r="H646" s="7" t="inlineStr">
        <is>
          <t>yes</t>
        </is>
      </c>
      <c r="I646" s="7" t="inlineStr">
        <is>
          <t>Plant-based non-core</t>
        </is>
      </c>
      <c r="J646" s="7" t="inlineStr">
        <is>
          <t>Outside the WWF scope</t>
        </is>
      </c>
      <c r="K646" s="7" t="inlineStr">
        <is>
          <t>A</t>
        </is>
      </c>
      <c r="L646" s="7" t="inlineStr">
        <is>
          <t>All ingredients on one side</t>
        </is>
      </c>
      <c r="M646" s="51" t="n">
        <v>0</v>
      </c>
      <c r="N646" s="7" t="inlineStr">
        <is>
          <t>Declared by the retailer</t>
        </is>
      </c>
      <c r="O646" s="54" t="n">
        <v>0</v>
      </c>
      <c r="P646" s="54" t="n">
        <v>0</v>
      </c>
      <c r="Q646" s="7" t="inlineStr">
        <is>
          <t>no</t>
        </is>
      </c>
      <c r="R646" s="7" t="n"/>
      <c r="S646" s="7" t="n"/>
      <c r="T646" s="7" t="n"/>
      <c r="U646" s="7" t="n"/>
      <c r="V646" s="7" t="n"/>
      <c r="W646" s="7" t="inlineStr">
        <is>
          <t>coffee tea</t>
        </is>
      </c>
      <c r="X646" s="55" t="n">
        <v>1</v>
      </c>
      <c r="Y646" s="50" t="n">
        <v>1</v>
      </c>
      <c r="Z646" s="7" t="inlineStr">
        <is>
          <t>declared</t>
        </is>
      </c>
      <c r="AA646" s="19">
        <f>IF(ISBLANK(Welcome!D672),"",Welcome!D672)</f>
        <v/>
      </c>
      <c r="AB646" s="29">
        <f>IF(ISBLANK(Welcome!E672),"",Welcome!E672)</f>
        <v/>
      </c>
      <c r="AC646" s="29">
        <f>IF(N(AB646)&gt;0,N(AB646),N(AA646)*Y646)</f>
        <v/>
      </c>
      <c r="AD646" s="29">
        <f>IF(H646="yes",AC646,0)</f>
        <v/>
      </c>
      <c r="AE646" s="29">
        <f>AD646*N(M646)/100</f>
        <v/>
      </c>
      <c r="AF646" s="29">
        <f>AD646*N(O646)/100</f>
        <v/>
      </c>
      <c r="AG646" s="29">
        <f>AD646*N(P646)/100</f>
        <v/>
      </c>
      <c r="AH646" s="50">
        <f>IF(Q646="yes",AD646/1000,0)</f>
        <v/>
      </c>
      <c r="AI646" s="50">
        <f>IF(S646="FG2",AH646*X646,AH646)</f>
        <v/>
      </c>
    </row>
    <row r="647">
      <c r="A647" s="7" t="inlineStr">
        <is>
          <t>HM00774</t>
        </is>
      </c>
      <c r="B647" s="16" t="inlineStr">
        <is>
          <t>5012345979694</t>
        </is>
      </c>
      <c r="C647" s="7" t="inlineStr">
        <is>
          <t>BRAMBLECOTE PLAIN FLOUR 500G</t>
        </is>
      </c>
      <c r="D647" s="7" t="inlineStr">
        <is>
          <t>Plain wheat flour, 500g</t>
        </is>
      </c>
      <c r="E647" s="7" t="inlineStr">
        <is>
          <t>Bramblecote</t>
        </is>
      </c>
      <c r="F647" s="7" t="inlineStr">
        <is>
          <t>Grocery</t>
        </is>
      </c>
      <c r="G647" s="7" t="inlineStr">
        <is>
          <t>Baking</t>
        </is>
      </c>
      <c r="H647" s="7" t="inlineStr">
        <is>
          <t>yes</t>
        </is>
      </c>
      <c r="I647" s="7" t="inlineStr">
        <is>
          <t>Plant-based non-core</t>
        </is>
      </c>
      <c r="J647" s="7" t="inlineStr">
        <is>
          <t>Refined grains</t>
        </is>
      </c>
      <c r="K647" s="7" t="inlineStr">
        <is>
          <t>B</t>
        </is>
      </c>
      <c r="L647" s="7" t="inlineStr">
        <is>
          <t>Follows the class</t>
        </is>
      </c>
      <c r="M647" s="51" t="n">
        <v>9.9</v>
      </c>
      <c r="N647" s="7" t="inlineStr">
        <is>
          <t>Declared by the retailer</t>
        </is>
      </c>
      <c r="O647" s="54" t="n">
        <v>9.9</v>
      </c>
      <c r="P647" s="54" t="n">
        <v>0</v>
      </c>
      <c r="Q647" s="7" t="inlineStr">
        <is>
          <t>yes</t>
        </is>
      </c>
      <c r="R647" s="7" t="inlineStr">
        <is>
          <t>whole</t>
        </is>
      </c>
      <c r="S647" s="7" t="inlineStr">
        <is>
          <t>FG5</t>
        </is>
      </c>
      <c r="T647" s="7" t="inlineStr">
        <is>
          <t>Refined grain</t>
        </is>
      </c>
      <c r="U647" s="7" t="inlineStr">
        <is>
          <t>plant</t>
        </is>
      </c>
      <c r="V647" s="7" t="n"/>
      <c r="W647" s="7" t="n"/>
      <c r="X647" s="55" t="n">
        <v>1</v>
      </c>
      <c r="Y647" s="50" t="n">
        <v>0.5</v>
      </c>
      <c r="Z647" s="7" t="inlineStr">
        <is>
          <t>declared</t>
        </is>
      </c>
      <c r="AA647" s="19">
        <f>IF(ISBLANK(Welcome!D673),"",Welcome!D673)</f>
        <v/>
      </c>
      <c r="AB647" s="29">
        <f>IF(ISBLANK(Welcome!E673),"",Welcome!E673)</f>
        <v/>
      </c>
      <c r="AC647" s="29">
        <f>IF(N(AB647)&gt;0,N(AB647),N(AA647)*Y647)</f>
        <v/>
      </c>
      <c r="AD647" s="29">
        <f>IF(H647="yes",AC647,0)</f>
        <v/>
      </c>
      <c r="AE647" s="29">
        <f>AD647*N(M647)/100</f>
        <v/>
      </c>
      <c r="AF647" s="29">
        <f>AD647*N(O647)/100</f>
        <v/>
      </c>
      <c r="AG647" s="29">
        <f>AD647*N(P647)/100</f>
        <v/>
      </c>
      <c r="AH647" s="50">
        <f>IF(Q647="yes",AD647/1000,0)</f>
        <v/>
      </c>
      <c r="AI647" s="50">
        <f>IF(S647="FG2",AH647*X647,AH647)</f>
        <v/>
      </c>
    </row>
    <row r="648">
      <c r="A648" s="7" t="inlineStr">
        <is>
          <t>HM00746</t>
        </is>
      </c>
      <c r="B648" s="16" t="inlineStr">
        <is>
          <t>8712345148843</t>
        </is>
      </c>
      <c r="C648" s="7" t="inlineStr">
        <is>
          <t>SALT VINEGAR CRISPS 6PK 150G PENROCK</t>
        </is>
      </c>
      <c r="D648" s="7" t="inlineStr">
        <is>
          <t>Salt &amp; vinegar crisps, 6pk 150g</t>
        </is>
      </c>
      <c r="E648" s="7" t="inlineStr">
        <is>
          <t>Penrock</t>
        </is>
      </c>
      <c r="F648" s="7" t="inlineStr">
        <is>
          <t>Breakfast &amp; Snacks</t>
        </is>
      </c>
      <c r="G648" s="7" t="inlineStr">
        <is>
          <t>Crisps</t>
        </is>
      </c>
      <c r="H648" s="7" t="inlineStr">
        <is>
          <t>yes</t>
        </is>
      </c>
      <c r="I648" s="7" t="inlineStr">
        <is>
          <t>Plant-based non-core</t>
        </is>
      </c>
      <c r="J648" s="7" t="inlineStr">
        <is>
          <t>Discretionary products</t>
        </is>
      </c>
      <c r="K648" s="7" t="inlineStr">
        <is>
          <t>B</t>
        </is>
      </c>
      <c r="L648" s="7" t="inlineStr">
        <is>
          <t>Follows the class</t>
        </is>
      </c>
      <c r="M648" s="51" t="n">
        <v>6</v>
      </c>
      <c r="N648" s="7" t="inlineStr">
        <is>
          <t>Declared by the retailer</t>
        </is>
      </c>
      <c r="O648" s="54" t="n">
        <v>6</v>
      </c>
      <c r="P648" s="54" t="n">
        <v>0</v>
      </c>
      <c r="Q648" s="7" t="inlineStr">
        <is>
          <t>yes</t>
        </is>
      </c>
      <c r="R648" s="7" t="inlineStr">
        <is>
          <t>whole</t>
        </is>
      </c>
      <c r="S648" s="7" t="inlineStr">
        <is>
          <t>FG7</t>
        </is>
      </c>
      <c r="T648" s="7" t="n"/>
      <c r="U648" s="7" t="inlineStr">
        <is>
          <t>plant</t>
        </is>
      </c>
      <c r="V648" s="7" t="n"/>
      <c r="W648" s="7" t="n"/>
      <c r="X648" s="55" t="n">
        <v>1</v>
      </c>
      <c r="Y648" s="50" t="n">
        <v>0.15</v>
      </c>
      <c r="Z648" s="7" t="inlineStr">
        <is>
          <t>declared</t>
        </is>
      </c>
      <c r="AA648" s="19">
        <f>IF(ISBLANK(Welcome!D674),"",Welcome!D674)</f>
        <v/>
      </c>
      <c r="AB648" s="29">
        <f>IF(ISBLANK(Welcome!E674),"",Welcome!E674)</f>
        <v/>
      </c>
      <c r="AC648" s="29">
        <f>IF(N(AB648)&gt;0,N(AB648),N(AA648)*Y648)</f>
        <v/>
      </c>
      <c r="AD648" s="29">
        <f>IF(H648="yes",AC648,0)</f>
        <v/>
      </c>
      <c r="AE648" s="29">
        <f>AD648*N(M648)/100</f>
        <v/>
      </c>
      <c r="AF648" s="29">
        <f>AD648*N(O648)/100</f>
        <v/>
      </c>
      <c r="AG648" s="29">
        <f>AD648*N(P648)/100</f>
        <v/>
      </c>
      <c r="AH648" s="50">
        <f>IF(Q648="yes",AD648/1000,0)</f>
        <v/>
      </c>
      <c r="AI648" s="50">
        <f>IF(S648="FG2",AH648*X648,AH648)</f>
        <v/>
      </c>
    </row>
    <row r="649">
      <c r="A649" s="7" t="inlineStr">
        <is>
          <t>HM00149</t>
        </is>
      </c>
      <c r="B649" s="16" t="inlineStr">
        <is>
          <t>3012345410786</t>
        </is>
      </c>
      <c r="C649" s="7" t="inlineStr">
        <is>
          <t>WHITE BLOOMER 250G BRAMBLECOTE</t>
        </is>
      </c>
      <c r="D649" s="7" t="inlineStr">
        <is>
          <t>White bloomer, 250g</t>
        </is>
      </c>
      <c r="E649" s="7" t="inlineStr">
        <is>
          <t>Bramblecote</t>
        </is>
      </c>
      <c r="F649" s="7" t="inlineStr">
        <is>
          <t>Bakery</t>
        </is>
      </c>
      <c r="G649" s="7" t="inlineStr">
        <is>
          <t>Bread</t>
        </is>
      </c>
      <c r="H649" s="7" t="inlineStr">
        <is>
          <t>yes</t>
        </is>
      </c>
      <c r="I649" s="7" t="inlineStr">
        <is>
          <t>Plant-based non-core</t>
        </is>
      </c>
      <c r="J649" s="7" t="inlineStr">
        <is>
          <t>Refined grains</t>
        </is>
      </c>
      <c r="K649" s="7" t="inlineStr">
        <is>
          <t>B</t>
        </is>
      </c>
      <c r="L649" s="7" t="inlineStr">
        <is>
          <t>Follows the class</t>
        </is>
      </c>
      <c r="M649" s="51" t="n">
        <v>8.800000000000001</v>
      </c>
      <c r="N649" s="7" t="inlineStr">
        <is>
          <t>Declared by the retailer</t>
        </is>
      </c>
      <c r="O649" s="54" t="n">
        <v>8.800000000000001</v>
      </c>
      <c r="P649" s="54" t="n">
        <v>0</v>
      </c>
      <c r="Q649" s="7" t="inlineStr">
        <is>
          <t>yes</t>
        </is>
      </c>
      <c r="R649" s="7" t="inlineStr">
        <is>
          <t>whole</t>
        </is>
      </c>
      <c r="S649" s="7" t="inlineStr">
        <is>
          <t>FG5</t>
        </is>
      </c>
      <c r="T649" s="7" t="inlineStr">
        <is>
          <t>Refined grain</t>
        </is>
      </c>
      <c r="U649" s="7" t="inlineStr">
        <is>
          <t>plant</t>
        </is>
      </c>
      <c r="V649" s="7" t="n"/>
      <c r="W649" s="7" t="n"/>
      <c r="X649" s="55" t="n">
        <v>1</v>
      </c>
      <c r="Y649" s="50" t="n">
        <v>0.25</v>
      </c>
      <c r="Z649" s="7" t="inlineStr">
        <is>
          <t>declared</t>
        </is>
      </c>
      <c r="AA649" s="19">
        <f>IF(ISBLANK(Welcome!D675),"",Welcome!D675)</f>
        <v/>
      </c>
      <c r="AB649" s="29">
        <f>IF(ISBLANK(Welcome!E675),"",Welcome!E675)</f>
        <v/>
      </c>
      <c r="AC649" s="29">
        <f>IF(N(AB649)&gt;0,N(AB649),N(AA649)*Y649)</f>
        <v/>
      </c>
      <c r="AD649" s="29">
        <f>IF(H649="yes",AC649,0)</f>
        <v/>
      </c>
      <c r="AE649" s="29">
        <f>AD649*N(M649)/100</f>
        <v/>
      </c>
      <c r="AF649" s="29">
        <f>AD649*N(O649)/100</f>
        <v/>
      </c>
      <c r="AG649" s="29">
        <f>AD649*N(P649)/100</f>
        <v/>
      </c>
      <c r="AH649" s="50">
        <f>IF(Q649="yes",AD649/1000,0)</f>
        <v/>
      </c>
      <c r="AI649" s="50">
        <f>IF(S649="FG2",AH649*X649,AH649)</f>
        <v/>
      </c>
    </row>
    <row r="650">
      <c r="A650" s="7" t="inlineStr">
        <is>
          <t>HM00475</t>
        </is>
      </c>
      <c r="B650" s="16" t="inlineStr">
        <is>
          <t>5012345851341</t>
        </is>
      </c>
      <c r="C650" s="7" t="inlineStr">
        <is>
          <t>HM BOLOGNESE SCE BF 400G</t>
        </is>
      </c>
      <c r="D650" s="7" t="inlineStr">
        <is>
          <t>Beef bolognese sauce, 400g</t>
        </is>
      </c>
      <c r="E650" s="7" t="inlineStr">
        <is>
          <t>Harbour Market</t>
        </is>
      </c>
      <c r="F650" s="7" t="inlineStr">
        <is>
          <t>Grocery</t>
        </is>
      </c>
      <c r="G650" s="7" t="inlineStr">
        <is>
          <t>Cooking Sauces</t>
        </is>
      </c>
      <c r="H650" s="7" t="inlineStr">
        <is>
          <t>yes</t>
        </is>
      </c>
      <c r="I650" s="7" t="inlineStr">
        <is>
          <t>Animal &amp; plant composite</t>
        </is>
      </c>
      <c r="J650" s="7" t="inlineStr">
        <is>
          <t>Meat-based dishes</t>
        </is>
      </c>
      <c r="K650" s="7" t="inlineStr">
        <is>
          <t>A</t>
        </is>
      </c>
      <c r="L650" s="7" t="inlineStr">
        <is>
          <t>NEVO food table (ratio only)</t>
        </is>
      </c>
      <c r="M650" s="51" t="n">
        <v>5.8</v>
      </c>
      <c r="N650" s="7" t="inlineStr">
        <is>
          <t>National food table (CIQUAL in France)</t>
        </is>
      </c>
      <c r="O650" s="54" t="n">
        <v>1.04</v>
      </c>
      <c r="P650" s="54" t="n">
        <v>4.76</v>
      </c>
      <c r="Q650" s="7" t="inlineStr">
        <is>
          <t>yes</t>
        </is>
      </c>
      <c r="R650" s="7" t="inlineStr">
        <is>
          <t>composite</t>
        </is>
      </c>
      <c r="S650" s="7" t="n"/>
      <c r="T650" s="7" t="n"/>
      <c r="U650" s="7" t="n"/>
      <c r="V650" s="7" t="inlineStr">
        <is>
          <t>meat-based</t>
        </is>
      </c>
      <c r="W650" s="7" t="n"/>
      <c r="X650" s="55" t="n">
        <v>1</v>
      </c>
      <c r="Y650" s="50" t="n">
        <v>0.4</v>
      </c>
      <c r="Z650" s="7" t="inlineStr">
        <is>
          <t>declared</t>
        </is>
      </c>
      <c r="AA650" s="19">
        <f>IF(ISBLANK(Welcome!D676),"",Welcome!D676)</f>
        <v/>
      </c>
      <c r="AB650" s="29">
        <f>IF(ISBLANK(Welcome!E676),"",Welcome!E676)</f>
        <v/>
      </c>
      <c r="AC650" s="29">
        <f>IF(N(AB650)&gt;0,N(AB650),N(AA650)*Y650)</f>
        <v/>
      </c>
      <c r="AD650" s="29">
        <f>IF(H650="yes",AC650,0)</f>
        <v/>
      </c>
      <c r="AE650" s="29">
        <f>AD650*N(M650)/100</f>
        <v/>
      </c>
      <c r="AF650" s="29">
        <f>AD650*N(O650)/100</f>
        <v/>
      </c>
      <c r="AG650" s="29">
        <f>AD650*N(P650)/100</f>
        <v/>
      </c>
      <c r="AH650" s="50">
        <f>IF(Q650="yes",AD650/1000,0)</f>
        <v/>
      </c>
      <c r="AI650" s="50">
        <f>IF(S650="FG2",AH650*X650,AH650)</f>
        <v/>
      </c>
    </row>
    <row r="651">
      <c r="A651" s="7" t="inlineStr">
        <is>
          <t>HM00689</t>
        </is>
      </c>
      <c r="B651" s="16" t="inlineStr">
        <is>
          <t>8712345519063</t>
        </is>
      </c>
      <c r="C651" s="7" t="inlineStr">
        <is>
          <t>PENWARD LONDON DRY GIN 70CL</t>
        </is>
      </c>
      <c r="D651" s="7" t="inlineStr">
        <is>
          <t>London dry gin, 70cl</t>
        </is>
      </c>
      <c r="E651" s="7" t="inlineStr">
        <is>
          <t>Penward</t>
        </is>
      </c>
      <c r="F651" s="7" t="inlineStr">
        <is>
          <t>Beer, Wine &amp; Spirits</t>
        </is>
      </c>
      <c r="G651" s="7" t="inlineStr">
        <is>
          <t>Spirits</t>
        </is>
      </c>
      <c r="H651" s="7" t="inlineStr">
        <is>
          <t>yes</t>
        </is>
      </c>
      <c r="I651" s="7" t="inlineStr">
        <is>
          <t>Plant-based non-core</t>
        </is>
      </c>
      <c r="J651" s="7" t="inlineStr">
        <is>
          <t>Outside the WWF scope</t>
        </is>
      </c>
      <c r="K651" s="7" t="inlineStr">
        <is>
          <t>A</t>
        </is>
      </c>
      <c r="L651" s="7" t="inlineStr">
        <is>
          <t>All ingredients on one side</t>
        </is>
      </c>
      <c r="M651" s="51" t="n">
        <v>0</v>
      </c>
      <c r="N651" s="7" t="inlineStr">
        <is>
          <t>Altera reference base</t>
        </is>
      </c>
      <c r="O651" s="54" t="n">
        <v>0</v>
      </c>
      <c r="P651" s="54" t="n">
        <v>0</v>
      </c>
      <c r="Q651" s="7" t="inlineStr">
        <is>
          <t>no</t>
        </is>
      </c>
      <c r="R651" s="7" t="n"/>
      <c r="S651" s="7" t="n"/>
      <c r="T651" s="7" t="n"/>
      <c r="U651" s="7" t="n"/>
      <c r="V651" s="7" t="n"/>
      <c r="W651" s="7" t="inlineStr">
        <is>
          <t>alcohol</t>
        </is>
      </c>
      <c r="X651" s="55" t="n">
        <v>1</v>
      </c>
      <c r="Y651" s="50" t="n">
        <v>0.7</v>
      </c>
      <c r="Z651" s="7" t="inlineStr">
        <is>
          <t>declared</t>
        </is>
      </c>
      <c r="AA651" s="19">
        <f>IF(ISBLANK(Welcome!D677),"",Welcome!D677)</f>
        <v/>
      </c>
      <c r="AB651" s="29">
        <f>IF(ISBLANK(Welcome!E677),"",Welcome!E677)</f>
        <v/>
      </c>
      <c r="AC651" s="29">
        <f>IF(N(AB651)&gt;0,N(AB651),N(AA651)*Y651)</f>
        <v/>
      </c>
      <c r="AD651" s="29">
        <f>IF(H651="yes",AC651,0)</f>
        <v/>
      </c>
      <c r="AE651" s="29">
        <f>AD651*N(M651)/100</f>
        <v/>
      </c>
      <c r="AF651" s="29">
        <f>AD651*N(O651)/100</f>
        <v/>
      </c>
      <c r="AG651" s="29">
        <f>AD651*N(P651)/100</f>
        <v/>
      </c>
      <c r="AH651" s="50">
        <f>IF(Q651="yes",AD651/1000,0)</f>
        <v/>
      </c>
      <c r="AI651" s="50">
        <f>IF(S651="FG2",AH651*X651,AH651)</f>
        <v/>
      </c>
    </row>
    <row r="652">
      <c r="A652" s="7" t="inlineStr">
        <is>
          <t>HM00230</t>
        </is>
      </c>
      <c r="B652" s="16" t="inlineStr">
        <is>
          <t>5012345538785</t>
        </is>
      </c>
      <c r="C652" s="7" t="inlineStr">
        <is>
          <t>HM TUNA STEAK OLV OIL 160G</t>
        </is>
      </c>
      <c r="D652" s="7" t="inlineStr">
        <is>
          <t>Tuna steak in olive oil, 160g</t>
        </is>
      </c>
      <c r="E652" s="7" t="inlineStr">
        <is>
          <t>Harbour Market</t>
        </is>
      </c>
      <c r="F652" s="7" t="inlineStr">
        <is>
          <t>Fish &amp; Seafood</t>
        </is>
      </c>
      <c r="G652" s="7" t="inlineStr">
        <is>
          <t>Canned Fish</t>
        </is>
      </c>
      <c r="H652" s="7" t="inlineStr">
        <is>
          <t>yes</t>
        </is>
      </c>
      <c r="I652" s="7" t="inlineStr">
        <is>
          <t>Animal core</t>
        </is>
      </c>
      <c r="J652" s="7" t="inlineStr">
        <is>
          <t>Fish and seafood</t>
        </is>
      </c>
      <c r="K652" s="7" t="inlineStr">
        <is>
          <t>A</t>
        </is>
      </c>
      <c r="L652" s="7" t="inlineStr">
        <is>
          <t>All ingredients on one side</t>
        </is>
      </c>
      <c r="M652" s="51" t="n">
        <v>25.1</v>
      </c>
      <c r="N652" s="7" t="inlineStr">
        <is>
          <t>Declared by the retailer</t>
        </is>
      </c>
      <c r="O652" s="54" t="n">
        <v>0</v>
      </c>
      <c r="P652" s="54" t="n">
        <v>25.1</v>
      </c>
      <c r="Q652" s="7" t="inlineStr">
        <is>
          <t>yes</t>
        </is>
      </c>
      <c r="R652" s="7" t="inlineStr">
        <is>
          <t>whole</t>
        </is>
      </c>
      <c r="S652" s="7" t="inlineStr">
        <is>
          <t>FG1</t>
        </is>
      </c>
      <c r="T652" s="7" t="inlineStr">
        <is>
          <t>Fish &amp; shellfish</t>
        </is>
      </c>
      <c r="U652" s="7" t="inlineStr">
        <is>
          <t>animal</t>
        </is>
      </c>
      <c r="V652" s="7" t="n"/>
      <c r="W652" s="7" t="n"/>
      <c r="X652" s="55" t="n">
        <v>1</v>
      </c>
      <c r="Y652" s="50" t="n">
        <v>0.16</v>
      </c>
      <c r="Z652" s="7" t="inlineStr">
        <is>
          <t>label</t>
        </is>
      </c>
      <c r="AA652" s="19">
        <f>IF(ISBLANK(Welcome!D678),"",Welcome!D678)</f>
        <v/>
      </c>
      <c r="AB652" s="29">
        <f>IF(ISBLANK(Welcome!E678),"",Welcome!E678)</f>
        <v/>
      </c>
      <c r="AC652" s="29">
        <f>IF(N(AB652)&gt;0,N(AB652),N(AA652)*Y652)</f>
        <v/>
      </c>
      <c r="AD652" s="29">
        <f>IF(H652="yes",AC652,0)</f>
        <v/>
      </c>
      <c r="AE652" s="29">
        <f>AD652*N(M652)/100</f>
        <v/>
      </c>
      <c r="AF652" s="29">
        <f>AD652*N(O652)/100</f>
        <v/>
      </c>
      <c r="AG652" s="29">
        <f>AD652*N(P652)/100</f>
        <v/>
      </c>
      <c r="AH652" s="50">
        <f>IF(Q652="yes",AD652/1000,0)</f>
        <v/>
      </c>
      <c r="AI652" s="50">
        <f>IF(S652="FG2",AH652*X652,AH652)</f>
        <v/>
      </c>
    </row>
    <row r="653">
      <c r="A653" s="7" t="inlineStr">
        <is>
          <t>HM00358</t>
        </is>
      </c>
      <c r="B653" s="16" t="inlineStr">
        <is>
          <t>8712345668419</t>
        </is>
      </c>
      <c r="C653" s="7" t="inlineStr">
        <is>
          <t>ALDERWICK MILD CHEDDAR 10SL 250G</t>
        </is>
      </c>
      <c r="D653" s="7" t="inlineStr">
        <is>
          <t>Mild cheddar, 10sl 250g</t>
        </is>
      </c>
      <c r="E653" s="7" t="inlineStr">
        <is>
          <t>Alderwick</t>
        </is>
      </c>
      <c r="F653" s="7" t="inlineStr">
        <is>
          <t>Cheese</t>
        </is>
      </c>
      <c r="G653" s="7" t="inlineStr">
        <is>
          <t>Hard Cheese</t>
        </is>
      </c>
      <c r="H653" s="7" t="inlineStr">
        <is>
          <t>yes</t>
        </is>
      </c>
      <c r="I653" s="7" t="inlineStr">
        <is>
          <t>Animal core</t>
        </is>
      </c>
      <c r="J653" s="7" t="inlineStr">
        <is>
          <t>Cheese</t>
        </is>
      </c>
      <c r="K653" s="7" t="inlineStr">
        <is>
          <t>A</t>
        </is>
      </c>
      <c r="L653" s="7" t="inlineStr">
        <is>
          <t>All ingredients on one side</t>
        </is>
      </c>
      <c r="M653" s="51" t="n">
        <v>25</v>
      </c>
      <c r="N653" s="7" t="inlineStr">
        <is>
          <t>Declared by the retailer</t>
        </is>
      </c>
      <c r="O653" s="54" t="n">
        <v>0</v>
      </c>
      <c r="P653" s="54" t="n">
        <v>25</v>
      </c>
      <c r="Q653" s="7" t="inlineStr">
        <is>
          <t>yes</t>
        </is>
      </c>
      <c r="R653" s="7" t="inlineStr">
        <is>
          <t>whole</t>
        </is>
      </c>
      <c r="S653" s="7" t="inlineStr">
        <is>
          <t>FG2</t>
        </is>
      </c>
      <c r="T653" s="7" t="inlineStr">
        <is>
          <t>Dairy</t>
        </is>
      </c>
      <c r="U653" s="7" t="inlineStr">
        <is>
          <t>animal</t>
        </is>
      </c>
      <c r="V653" s="7" t="n"/>
      <c r="W653" s="7" t="n"/>
      <c r="X653" s="55" t="n">
        <v>10</v>
      </c>
      <c r="Y653" s="50" t="n">
        <v>0.25</v>
      </c>
      <c r="Z653" s="7" t="inlineStr">
        <is>
          <t>declared</t>
        </is>
      </c>
      <c r="AA653" s="19">
        <f>IF(ISBLANK(Welcome!D679),"",Welcome!D679)</f>
        <v/>
      </c>
      <c r="AB653" s="29">
        <f>IF(ISBLANK(Welcome!E679),"",Welcome!E679)</f>
        <v/>
      </c>
      <c r="AC653" s="29">
        <f>IF(N(AB653)&gt;0,N(AB653),N(AA653)*Y653)</f>
        <v/>
      </c>
      <c r="AD653" s="29">
        <f>IF(H653="yes",AC653,0)</f>
        <v/>
      </c>
      <c r="AE653" s="29">
        <f>AD653*N(M653)/100</f>
        <v/>
      </c>
      <c r="AF653" s="29">
        <f>AD653*N(O653)/100</f>
        <v/>
      </c>
      <c r="AG653" s="29">
        <f>AD653*N(P653)/100</f>
        <v/>
      </c>
      <c r="AH653" s="50">
        <f>IF(Q653="yes",AD653/1000,0)</f>
        <v/>
      </c>
      <c r="AI653" s="50">
        <f>IF(S653="FG2",AH653*X653,AH653)</f>
        <v/>
      </c>
    </row>
    <row r="654">
      <c r="A654" s="7" t="inlineStr">
        <is>
          <t>HM00671</t>
        </is>
      </c>
      <c r="B654" s="16" t="inlineStr">
        <is>
          <t>3012345892193</t>
        </is>
      </c>
      <c r="C654" s="7" t="inlineStr">
        <is>
          <t>SOLVANE PLANT MINCE 226G</t>
        </is>
      </c>
      <c r="D654" s="7" t="inlineStr">
        <is>
          <t>Plant-based mince, 226g</t>
        </is>
      </c>
      <c r="E654" s="7" t="inlineStr">
        <is>
          <t>Solvane</t>
        </is>
      </c>
      <c r="F654" s="7" t="inlineStr">
        <is>
          <t>Plant-Based</t>
        </is>
      </c>
      <c r="G654" s="7" t="inlineStr">
        <is>
          <t>Meat Alternatives</t>
        </is>
      </c>
      <c r="H654" s="7" t="inlineStr">
        <is>
          <t>yes</t>
        </is>
      </c>
      <c r="I654" s="7" t="inlineStr">
        <is>
          <t>Plant-based core</t>
        </is>
      </c>
      <c r="J654" s="7" t="inlineStr">
        <is>
          <t>Plant-based meat alternatives</t>
        </is>
      </c>
      <c r="K654" s="7" t="inlineStr">
        <is>
          <t>A</t>
        </is>
      </c>
      <c r="L654" s="7" t="inlineStr">
        <is>
          <t>All ingredients on one side</t>
        </is>
      </c>
      <c r="M654" s="51" t="n">
        <v>17.1</v>
      </c>
      <c r="N654" s="7" t="inlineStr">
        <is>
          <t>Declared by the retailer</t>
        </is>
      </c>
      <c r="O654" s="54" t="n">
        <v>17.1</v>
      </c>
      <c r="P654" s="54" t="n">
        <v>0</v>
      </c>
      <c r="Q654" s="7" t="inlineStr">
        <is>
          <t>yes</t>
        </is>
      </c>
      <c r="R654" s="7" t="inlineStr">
        <is>
          <t>whole</t>
        </is>
      </c>
      <c r="S654" s="7" t="inlineStr">
        <is>
          <t>FG1</t>
        </is>
      </c>
      <c r="T654" s="7" t="inlineStr">
        <is>
          <t>Alternative products</t>
        </is>
      </c>
      <c r="U654" s="7" t="inlineStr">
        <is>
          <t>plant</t>
        </is>
      </c>
      <c r="V654" s="7" t="n"/>
      <c r="W654" s="7" t="n"/>
      <c r="X654" s="55" t="n">
        <v>1</v>
      </c>
      <c r="Y654" s="50" t="n">
        <v>0.226</v>
      </c>
      <c r="Z654" s="7" t="inlineStr">
        <is>
          <t>declared</t>
        </is>
      </c>
      <c r="AA654" s="19">
        <f>IF(ISBLANK(Welcome!D680),"",Welcome!D680)</f>
        <v/>
      </c>
      <c r="AB654" s="29">
        <f>IF(ISBLANK(Welcome!E680),"",Welcome!E680)</f>
        <v/>
      </c>
      <c r="AC654" s="29">
        <f>IF(N(AB654)&gt;0,N(AB654),N(AA654)*Y654)</f>
        <v/>
      </c>
      <c r="AD654" s="29">
        <f>IF(H654="yes",AC654,0)</f>
        <v/>
      </c>
      <c r="AE654" s="29">
        <f>AD654*N(M654)/100</f>
        <v/>
      </c>
      <c r="AF654" s="29">
        <f>AD654*N(O654)/100</f>
        <v/>
      </c>
      <c r="AG654" s="29">
        <f>AD654*N(P654)/100</f>
        <v/>
      </c>
      <c r="AH654" s="50">
        <f>IF(Q654="yes",AD654/1000,0)</f>
        <v/>
      </c>
      <c r="AI654" s="50">
        <f>IF(S654="FG2",AH654*X654,AH654)</f>
        <v/>
      </c>
    </row>
    <row r="655">
      <c r="A655" s="7" t="inlineStr">
        <is>
          <t>HM00198</t>
        </is>
      </c>
      <c r="B655" s="16" t="inlineStr">
        <is>
          <t>3012345037945</t>
        </is>
      </c>
      <c r="C655" s="7" t="inlineStr">
        <is>
          <t>TARROW PIRI PIRI CHKN THIGH 500G</t>
        </is>
      </c>
      <c r="D655" s="7" t="inlineStr">
        <is>
          <t>Piri-piri marinated chicken thighs, 500g</t>
        </is>
      </c>
      <c r="E655" s="7" t="inlineStr">
        <is>
          <t>Tarrow Farm</t>
        </is>
      </c>
      <c r="F655" s="7" t="inlineStr">
        <is>
          <t>Fresh Meat &amp; Poultry</t>
        </is>
      </c>
      <c r="G655" s="7" t="inlineStr">
        <is>
          <t>BBQ &amp; Marinated</t>
        </is>
      </c>
      <c r="H655" s="7" t="inlineStr">
        <is>
          <t>yes</t>
        </is>
      </c>
      <c r="I655" s="7" t="inlineStr">
        <is>
          <t>Animal core</t>
        </is>
      </c>
      <c r="J655" s="7" t="inlineStr">
        <is>
          <t>Poultry</t>
        </is>
      </c>
      <c r="K655" s="7" t="inlineStr">
        <is>
          <t>B</t>
        </is>
      </c>
      <c r="L655" s="7" t="inlineStr">
        <is>
          <t>First ingredient</t>
        </is>
      </c>
      <c r="M655" s="51" t="n">
        <v>15.6</v>
      </c>
      <c r="N655" s="7" t="inlineStr">
        <is>
          <t>Declared by the retailer</t>
        </is>
      </c>
      <c r="O655" s="54" t="n">
        <v>0</v>
      </c>
      <c r="P655" s="54" t="n">
        <v>15.6</v>
      </c>
      <c r="Q655" s="7" t="inlineStr">
        <is>
          <t>yes</t>
        </is>
      </c>
      <c r="R655" s="7" t="inlineStr">
        <is>
          <t>whole</t>
        </is>
      </c>
      <c r="S655" s="7" t="inlineStr">
        <is>
          <t>FG1</t>
        </is>
      </c>
      <c r="T655" s="7" t="inlineStr">
        <is>
          <t>Poultry</t>
        </is>
      </c>
      <c r="U655" s="7" t="inlineStr">
        <is>
          <t>animal</t>
        </is>
      </c>
      <c r="V655" s="7" t="n"/>
      <c r="W655" s="7" t="n"/>
      <c r="X655" s="55" t="n">
        <v>1</v>
      </c>
      <c r="Y655" s="50" t="n">
        <v>0.5</v>
      </c>
      <c r="Z655" s="7" t="inlineStr">
        <is>
          <t>declared</t>
        </is>
      </c>
      <c r="AA655" s="19">
        <f>IF(ISBLANK(Welcome!D681),"",Welcome!D681)</f>
        <v/>
      </c>
      <c r="AB655" s="29">
        <f>IF(ISBLANK(Welcome!E681),"",Welcome!E681)</f>
        <v/>
      </c>
      <c r="AC655" s="29">
        <f>IF(N(AB655)&gt;0,N(AB655),N(AA655)*Y655)</f>
        <v/>
      </c>
      <c r="AD655" s="29">
        <f>IF(H655="yes",AC655,0)</f>
        <v/>
      </c>
      <c r="AE655" s="29">
        <f>AD655*N(M655)/100</f>
        <v/>
      </c>
      <c r="AF655" s="29">
        <f>AD655*N(O655)/100</f>
        <v/>
      </c>
      <c r="AG655" s="29">
        <f>AD655*N(P655)/100</f>
        <v/>
      </c>
      <c r="AH655" s="50">
        <f>IF(Q655="yes",AD655/1000,0)</f>
        <v/>
      </c>
      <c r="AI655" s="50">
        <f>IF(S655="FG2",AH655*X655,AH655)</f>
        <v/>
      </c>
    </row>
    <row r="656">
      <c r="A656" s="7" t="inlineStr">
        <is>
          <t>HM00246</t>
        </is>
      </c>
      <c r="B656" s="16" t="inlineStr">
        <is>
          <t>3012345671835</t>
        </is>
      </c>
      <c r="C656" s="7" t="inlineStr">
        <is>
          <t>HM SARDINES OLV OIL 125G</t>
        </is>
      </c>
      <c r="D656" s="7" t="inlineStr">
        <is>
          <t>Sardines in olive oil, 125g</t>
        </is>
      </c>
      <c r="E656" s="7" t="inlineStr">
        <is>
          <t>Harbour Market</t>
        </is>
      </c>
      <c r="F656" s="7" t="inlineStr">
        <is>
          <t>Fish &amp; Seafood</t>
        </is>
      </c>
      <c r="G656" s="7" t="inlineStr">
        <is>
          <t>Canned Fish</t>
        </is>
      </c>
      <c r="H656" s="7" t="inlineStr">
        <is>
          <t>yes</t>
        </is>
      </c>
      <c r="I656" s="7" t="inlineStr">
        <is>
          <t>Animal core</t>
        </is>
      </c>
      <c r="J656" s="7" t="inlineStr">
        <is>
          <t>Fish and seafood</t>
        </is>
      </c>
      <c r="K656" s="7" t="inlineStr">
        <is>
          <t>A</t>
        </is>
      </c>
      <c r="L656" s="7" t="inlineStr">
        <is>
          <t>All ingredients on one side</t>
        </is>
      </c>
      <c r="M656" s="51" t="n">
        <v>23</v>
      </c>
      <c r="N656" s="7" t="inlineStr">
        <is>
          <t>Open Food Facts and NEVO, by EAN</t>
        </is>
      </c>
      <c r="O656" s="54" t="n">
        <v>0</v>
      </c>
      <c r="P656" s="54" t="n">
        <v>23</v>
      </c>
      <c r="Q656" s="7" t="inlineStr">
        <is>
          <t>yes</t>
        </is>
      </c>
      <c r="R656" s="7" t="inlineStr">
        <is>
          <t>whole</t>
        </is>
      </c>
      <c r="S656" s="7" t="inlineStr">
        <is>
          <t>FG1</t>
        </is>
      </c>
      <c r="T656" s="7" t="inlineStr">
        <is>
          <t>Fish &amp; shellfish</t>
        </is>
      </c>
      <c r="U656" s="7" t="inlineStr">
        <is>
          <t>animal</t>
        </is>
      </c>
      <c r="V656" s="7" t="n"/>
      <c r="W656" s="7" t="n"/>
      <c r="X656" s="55" t="n">
        <v>1</v>
      </c>
      <c r="Y656" s="50" t="n">
        <v>0.125</v>
      </c>
      <c r="Z656" s="7" t="inlineStr">
        <is>
          <t>declared</t>
        </is>
      </c>
      <c r="AA656" s="19">
        <f>IF(ISBLANK(Welcome!D682),"",Welcome!D682)</f>
        <v/>
      </c>
      <c r="AB656" s="29">
        <f>IF(ISBLANK(Welcome!E682),"",Welcome!E682)</f>
        <v/>
      </c>
      <c r="AC656" s="29">
        <f>IF(N(AB656)&gt;0,N(AB656),N(AA656)*Y656)</f>
        <v/>
      </c>
      <c r="AD656" s="29">
        <f>IF(H656="yes",AC656,0)</f>
        <v/>
      </c>
      <c r="AE656" s="29">
        <f>AD656*N(M656)/100</f>
        <v/>
      </c>
      <c r="AF656" s="29">
        <f>AD656*N(O656)/100</f>
        <v/>
      </c>
      <c r="AG656" s="29">
        <f>AD656*N(P656)/100</f>
        <v/>
      </c>
      <c r="AH656" s="50">
        <f>IF(Q656="yes",AD656/1000,0)</f>
        <v/>
      </c>
      <c r="AI656" s="50">
        <f>IF(S656="FG2",AH656*X656,AH656)</f>
        <v/>
      </c>
    </row>
    <row r="657">
      <c r="A657" s="7" t="inlineStr">
        <is>
          <t>HM00511</t>
        </is>
      </c>
      <c r="B657" s="16" t="inlineStr">
        <is>
          <t>8712345749774</t>
        </is>
      </c>
      <c r="C657" s="7" t="inlineStr">
        <is>
          <t>ALDERWICK MOZZARELLA 125G</t>
        </is>
      </c>
      <c r="D657" s="7" t="inlineStr">
        <is>
          <t>Mozzarella, 125g</t>
        </is>
      </c>
      <c r="E657" s="7" t="inlineStr">
        <is>
          <t>Alderwick</t>
        </is>
      </c>
      <c r="F657" s="7" t="inlineStr">
        <is>
          <t>Cheese</t>
        </is>
      </c>
      <c r="G657" s="7" t="inlineStr">
        <is>
          <t>Soft Cheese</t>
        </is>
      </c>
      <c r="H657" s="7" t="inlineStr">
        <is>
          <t>yes</t>
        </is>
      </c>
      <c r="I657" s="7" t="inlineStr">
        <is>
          <t>Animal core</t>
        </is>
      </c>
      <c r="J657" s="7" t="inlineStr">
        <is>
          <t>Cheese</t>
        </is>
      </c>
      <c r="K657" s="7" t="inlineStr">
        <is>
          <t>A</t>
        </is>
      </c>
      <c r="L657" s="7" t="inlineStr">
        <is>
          <t>All ingredients on one side</t>
        </is>
      </c>
      <c r="M657" s="51" t="n">
        <v>17.5</v>
      </c>
      <c r="N657" s="7" t="inlineStr">
        <is>
          <t>Declared by the retailer</t>
        </is>
      </c>
      <c r="O657" s="54" t="n">
        <v>0</v>
      </c>
      <c r="P657" s="54" t="n">
        <v>17.5</v>
      </c>
      <c r="Q657" s="7" t="inlineStr">
        <is>
          <t>yes</t>
        </is>
      </c>
      <c r="R657" s="7" t="inlineStr">
        <is>
          <t>whole</t>
        </is>
      </c>
      <c r="S657" s="7" t="inlineStr">
        <is>
          <t>FG2</t>
        </is>
      </c>
      <c r="T657" s="7" t="inlineStr">
        <is>
          <t>Dairy</t>
        </is>
      </c>
      <c r="U657" s="7" t="inlineStr">
        <is>
          <t>animal</t>
        </is>
      </c>
      <c r="V657" s="7" t="n"/>
      <c r="W657" s="7" t="n"/>
      <c r="X657" s="55" t="n">
        <v>10</v>
      </c>
      <c r="Y657" s="50" t="n">
        <v>0.125</v>
      </c>
      <c r="Z657" s="7" t="inlineStr">
        <is>
          <t>label</t>
        </is>
      </c>
      <c r="AA657" s="19">
        <f>IF(ISBLANK(Welcome!D683),"",Welcome!D683)</f>
        <v/>
      </c>
      <c r="AB657" s="29">
        <f>IF(ISBLANK(Welcome!E683),"",Welcome!E683)</f>
        <v/>
      </c>
      <c r="AC657" s="29">
        <f>IF(N(AB657)&gt;0,N(AB657),N(AA657)*Y657)</f>
        <v/>
      </c>
      <c r="AD657" s="29">
        <f>IF(H657="yes",AC657,0)</f>
        <v/>
      </c>
      <c r="AE657" s="29">
        <f>AD657*N(M657)/100</f>
        <v/>
      </c>
      <c r="AF657" s="29">
        <f>AD657*N(O657)/100</f>
        <v/>
      </c>
      <c r="AG657" s="29">
        <f>AD657*N(P657)/100</f>
        <v/>
      </c>
      <c r="AH657" s="50">
        <f>IF(Q657="yes",AD657/1000,0)</f>
        <v/>
      </c>
      <c r="AI657" s="50">
        <f>IF(S657="FG2",AH657*X657,AH657)</f>
        <v/>
      </c>
    </row>
    <row r="658">
      <c r="A658" s="7" t="inlineStr">
        <is>
          <t>HM00256</t>
        </is>
      </c>
      <c r="B658" s="16" t="inlineStr">
        <is>
          <t>3012345867603</t>
        </is>
      </c>
      <c r="C658" s="7" t="inlineStr">
        <is>
          <t>HM CHERRY TOMATOES EACH</t>
        </is>
      </c>
      <c r="D658" s="7" t="inlineStr">
        <is>
          <t>Cherry tomatoes</t>
        </is>
      </c>
      <c r="E658" s="7" t="inlineStr">
        <is>
          <t>Harbour Market</t>
        </is>
      </c>
      <c r="F658" s="7" t="inlineStr">
        <is>
          <t>Fruit &amp; Vegetables</t>
        </is>
      </c>
      <c r="G658" s="7" t="inlineStr">
        <is>
          <t>Vegetables</t>
        </is>
      </c>
      <c r="H658" s="7" t="inlineStr">
        <is>
          <t>yes</t>
        </is>
      </c>
      <c r="I658" s="7" t="inlineStr">
        <is>
          <t>Plant-based non-core</t>
        </is>
      </c>
      <c r="J658" s="7" t="inlineStr">
        <is>
          <t>Fruit and vegetables</t>
        </is>
      </c>
      <c r="K658" s="7" t="inlineStr">
        <is>
          <t>B</t>
        </is>
      </c>
      <c r="L658" s="7" t="inlineStr">
        <is>
          <t>Follows the class</t>
        </is>
      </c>
      <c r="M658" s="51" t="n">
        <v>0.9399999999999999</v>
      </c>
      <c r="N658" s="7" t="inlineStr">
        <is>
          <t>Median of the family</t>
        </is>
      </c>
      <c r="O658" s="54" t="n">
        <v>0.9399999999999999</v>
      </c>
      <c r="P658" s="54" t="n">
        <v>0</v>
      </c>
      <c r="Q658" s="7" t="inlineStr">
        <is>
          <t>yes</t>
        </is>
      </c>
      <c r="R658" s="7" t="inlineStr">
        <is>
          <t>whole</t>
        </is>
      </c>
      <c r="S658" s="7" t="inlineStr">
        <is>
          <t>FG4</t>
        </is>
      </c>
      <c r="T658" s="7" t="n"/>
      <c r="U658" s="7" t="inlineStr">
        <is>
          <t>plant</t>
        </is>
      </c>
      <c r="V658" s="7" t="n"/>
      <c r="W658" s="7" t="n"/>
      <c r="X658" s="55" t="n">
        <v>1</v>
      </c>
      <c r="Y658" s="50" t="n">
        <v>0.3</v>
      </c>
      <c r="Z658" s="7" t="inlineStr">
        <is>
          <t>typical_piece</t>
        </is>
      </c>
      <c r="AA658" s="19">
        <f>IF(ISBLANK(Welcome!D684),"",Welcome!D684)</f>
        <v/>
      </c>
      <c r="AB658" s="29">
        <f>IF(ISBLANK(Welcome!E684),"",Welcome!E684)</f>
        <v/>
      </c>
      <c r="AC658" s="29">
        <f>IF(N(AB658)&gt;0,N(AB658),N(AA658)*Y658)</f>
        <v/>
      </c>
      <c r="AD658" s="29">
        <f>IF(H658="yes",AC658,0)</f>
        <v/>
      </c>
      <c r="AE658" s="29">
        <f>AD658*N(M658)/100</f>
        <v/>
      </c>
      <c r="AF658" s="29">
        <f>AD658*N(O658)/100</f>
        <v/>
      </c>
      <c r="AG658" s="29">
        <f>AD658*N(P658)/100</f>
        <v/>
      </c>
      <c r="AH658" s="50">
        <f>IF(Q658="yes",AD658/1000,0)</f>
        <v/>
      </c>
      <c r="AI658" s="50">
        <f>IF(S658="FG2",AH658*X658,AH658)</f>
        <v/>
      </c>
    </row>
    <row r="659">
      <c r="A659" s="7" t="inlineStr">
        <is>
          <t>HM00298</t>
        </is>
      </c>
      <c r="B659" s="16" t="inlineStr">
        <is>
          <t>4012345337150</t>
        </is>
      </c>
      <c r="C659" s="7" t="inlineStr">
        <is>
          <t>HM CARROTS EACH</t>
        </is>
      </c>
      <c r="D659" s="7" t="inlineStr">
        <is>
          <t>Carrots</t>
        </is>
      </c>
      <c r="E659" s="7" t="inlineStr">
        <is>
          <t>Harbour Market</t>
        </is>
      </c>
      <c r="F659" s="7" t="inlineStr">
        <is>
          <t>Fruit &amp; Vegetables</t>
        </is>
      </c>
      <c r="G659" s="7" t="inlineStr">
        <is>
          <t>Vegetables</t>
        </is>
      </c>
      <c r="H659" s="7" t="inlineStr">
        <is>
          <t>yes</t>
        </is>
      </c>
      <c r="I659" s="7" t="inlineStr">
        <is>
          <t>Plant-based non-core</t>
        </is>
      </c>
      <c r="J659" s="7" t="inlineStr">
        <is>
          <t>Fruit and vegetables</t>
        </is>
      </c>
      <c r="K659" s="7" t="inlineStr">
        <is>
          <t>B</t>
        </is>
      </c>
      <c r="L659" s="7" t="inlineStr">
        <is>
          <t>Follows the class</t>
        </is>
      </c>
      <c r="M659" s="51" t="n">
        <v>0.61</v>
      </c>
      <c r="N659" s="7" t="inlineStr">
        <is>
          <t>Declared by the retailer</t>
        </is>
      </c>
      <c r="O659" s="54" t="n">
        <v>0.61</v>
      </c>
      <c r="P659" s="54" t="n">
        <v>0</v>
      </c>
      <c r="Q659" s="7" t="inlineStr">
        <is>
          <t>yes</t>
        </is>
      </c>
      <c r="R659" s="7" t="inlineStr">
        <is>
          <t>whole</t>
        </is>
      </c>
      <c r="S659" s="7" t="inlineStr">
        <is>
          <t>FG4</t>
        </is>
      </c>
      <c r="T659" s="7" t="n"/>
      <c r="U659" s="7" t="inlineStr">
        <is>
          <t>plant</t>
        </is>
      </c>
      <c r="V659" s="7" t="n"/>
      <c r="W659" s="7" t="n"/>
      <c r="X659" s="55" t="n">
        <v>1</v>
      </c>
      <c r="Y659" s="50" t="n">
        <v>0.3</v>
      </c>
      <c r="Z659" s="7" t="inlineStr">
        <is>
          <t>typical_piece</t>
        </is>
      </c>
      <c r="AA659" s="19">
        <f>IF(ISBLANK(Welcome!D685),"",Welcome!D685)</f>
        <v/>
      </c>
      <c r="AB659" s="29">
        <f>IF(ISBLANK(Welcome!E685),"",Welcome!E685)</f>
        <v/>
      </c>
      <c r="AC659" s="29">
        <f>IF(N(AB659)&gt;0,N(AB659),N(AA659)*Y659)</f>
        <v/>
      </c>
      <c r="AD659" s="29">
        <f>IF(H659="yes",AC659,0)</f>
        <v/>
      </c>
      <c r="AE659" s="29">
        <f>AD659*N(M659)/100</f>
        <v/>
      </c>
      <c r="AF659" s="29">
        <f>AD659*N(O659)/100</f>
        <v/>
      </c>
      <c r="AG659" s="29">
        <f>AD659*N(P659)/100</f>
        <v/>
      </c>
      <c r="AH659" s="50">
        <f>IF(Q659="yes",AD659/1000,0)</f>
        <v/>
      </c>
      <c r="AI659" s="50">
        <f>IF(S659="FG2",AH659*X659,AH659)</f>
        <v/>
      </c>
    </row>
    <row r="660">
      <c r="A660" s="7" t="inlineStr">
        <is>
          <t>HM00187</t>
        </is>
      </c>
      <c r="B660" s="16" t="inlineStr">
        <is>
          <t>4012345024937</t>
        </is>
      </c>
      <c r="C660" s="7" t="inlineStr">
        <is>
          <t>MARLOWE MILK CHOC BAR 100G</t>
        </is>
      </c>
      <c r="D660" s="7" t="inlineStr">
        <is>
          <t>Milk chocolate bar, 100g</t>
        </is>
      </c>
      <c r="E660" s="7" t="inlineStr">
        <is>
          <t>Marlowe</t>
        </is>
      </c>
      <c r="F660" s="7" t="inlineStr">
        <is>
          <t>Breakfast &amp; Snacks</t>
        </is>
      </c>
      <c r="G660" s="7" t="inlineStr">
        <is>
          <t>Chocolate</t>
        </is>
      </c>
      <c r="H660" s="7" t="inlineStr">
        <is>
          <t>yes</t>
        </is>
      </c>
      <c r="I660" s="7" t="inlineStr">
        <is>
          <t>Animal &amp; plant composite</t>
        </is>
      </c>
      <c r="J660" s="7" t="inlineStr">
        <is>
          <t>Discretionary products</t>
        </is>
      </c>
      <c r="K660" s="7" t="inlineStr">
        <is>
          <t>A</t>
        </is>
      </c>
      <c r="L660" s="7" t="inlineStr">
        <is>
          <t>Ingredient list</t>
        </is>
      </c>
      <c r="M660" s="51" t="n">
        <v>7.5</v>
      </c>
      <c r="N660" s="7" t="inlineStr">
        <is>
          <t>Declared by the retailer</t>
        </is>
      </c>
      <c r="O660" s="54" t="n">
        <v>3.45</v>
      </c>
      <c r="P660" s="54" t="n">
        <v>4.05</v>
      </c>
      <c r="Q660" s="7" t="inlineStr">
        <is>
          <t>yes</t>
        </is>
      </c>
      <c r="R660" s="7" t="inlineStr">
        <is>
          <t>whole</t>
        </is>
      </c>
      <c r="S660" s="7" t="inlineStr">
        <is>
          <t>FG7</t>
        </is>
      </c>
      <c r="T660" s="7" t="n"/>
      <c r="U660" s="7" t="inlineStr">
        <is>
          <t>plant</t>
        </is>
      </c>
      <c r="V660" s="7" t="n"/>
      <c r="W660" s="7" t="n"/>
      <c r="X660" s="55" t="n">
        <v>1</v>
      </c>
      <c r="Y660" s="50" t="n">
        <v>0.1</v>
      </c>
      <c r="Z660" s="7" t="inlineStr">
        <is>
          <t>declared</t>
        </is>
      </c>
      <c r="AA660" s="19">
        <f>IF(ISBLANK(Welcome!D686),"",Welcome!D686)</f>
        <v/>
      </c>
      <c r="AB660" s="29">
        <f>IF(ISBLANK(Welcome!E686),"",Welcome!E686)</f>
        <v/>
      </c>
      <c r="AC660" s="29">
        <f>IF(N(AB660)&gt;0,N(AB660),N(AA660)*Y660)</f>
        <v/>
      </c>
      <c r="AD660" s="29">
        <f>IF(H660="yes",AC660,0)</f>
        <v/>
      </c>
      <c r="AE660" s="29">
        <f>AD660*N(M660)/100</f>
        <v/>
      </c>
      <c r="AF660" s="29">
        <f>AD660*N(O660)/100</f>
        <v/>
      </c>
      <c r="AG660" s="29">
        <f>AD660*N(P660)/100</f>
        <v/>
      </c>
      <c r="AH660" s="50">
        <f>IF(Q660="yes",AD660/1000,0)</f>
        <v/>
      </c>
      <c r="AI660" s="50">
        <f>IF(S660="FG2",AH660*X660,AH660)</f>
        <v/>
      </c>
    </row>
    <row r="661">
      <c r="A661" s="7" t="inlineStr">
        <is>
          <t>HM00627</t>
        </is>
      </c>
      <c r="B661" s="16" t="inlineStr">
        <is>
          <t>3012345438841</t>
        </is>
      </c>
      <c r="C661" s="7" t="inlineStr">
        <is>
          <t>HM DIJON MUSTARD 200G</t>
        </is>
      </c>
      <c r="D661" s="7" t="inlineStr">
        <is>
          <t>Dijon mustard, 200g</t>
        </is>
      </c>
      <c r="E661" s="7" t="inlineStr">
        <is>
          <t>Harbour Market</t>
        </is>
      </c>
      <c r="F661" s="7" t="inlineStr">
        <is>
          <t>Grocery</t>
        </is>
      </c>
      <c r="G661" s="7" t="inlineStr">
        <is>
          <t>Condiments</t>
        </is>
      </c>
      <c r="H661" s="7" t="inlineStr">
        <is>
          <t>yes</t>
        </is>
      </c>
      <c r="I661" s="7" t="inlineStr">
        <is>
          <t>Plant-based non-core</t>
        </is>
      </c>
      <c r="J661" s="7" t="inlineStr">
        <is>
          <t>Outside the WWF scope</t>
        </is>
      </c>
      <c r="K661" s="7" t="inlineStr">
        <is>
          <t>A</t>
        </is>
      </c>
      <c r="L661" s="7" t="inlineStr">
        <is>
          <t>All ingredients on one side</t>
        </is>
      </c>
      <c r="M661" s="51" t="n">
        <v>6.2</v>
      </c>
      <c r="N661" s="7" t="inlineStr">
        <is>
          <t>Declared by the retailer</t>
        </is>
      </c>
      <c r="O661" s="54" t="n">
        <v>6.2</v>
      </c>
      <c r="P661" s="54" t="n">
        <v>0</v>
      </c>
      <c r="Q661" s="7" t="inlineStr">
        <is>
          <t>no</t>
        </is>
      </c>
      <c r="R661" s="7" t="n"/>
      <c r="S661" s="7" t="n"/>
      <c r="T661" s="7" t="n"/>
      <c r="U661" s="7" t="n"/>
      <c r="V661" s="7" t="n"/>
      <c r="W661" s="7" t="inlineStr">
        <is>
          <t>condiment</t>
        </is>
      </c>
      <c r="X661" s="55" t="n">
        <v>1</v>
      </c>
      <c r="Y661" s="50" t="n">
        <v>0.2</v>
      </c>
      <c r="Z661" s="7" t="inlineStr">
        <is>
          <t>declared</t>
        </is>
      </c>
      <c r="AA661" s="19">
        <f>IF(ISBLANK(Welcome!D687),"",Welcome!D687)</f>
        <v/>
      </c>
      <c r="AB661" s="29">
        <f>IF(ISBLANK(Welcome!E687),"",Welcome!E687)</f>
        <v/>
      </c>
      <c r="AC661" s="29">
        <f>IF(N(AB661)&gt;0,N(AB661),N(AA661)*Y661)</f>
        <v/>
      </c>
      <c r="AD661" s="29">
        <f>IF(H661="yes",AC661,0)</f>
        <v/>
      </c>
      <c r="AE661" s="29">
        <f>AD661*N(M661)/100</f>
        <v/>
      </c>
      <c r="AF661" s="29">
        <f>AD661*N(O661)/100</f>
        <v/>
      </c>
      <c r="AG661" s="29">
        <f>AD661*N(P661)/100</f>
        <v/>
      </c>
      <c r="AH661" s="50">
        <f>IF(Q661="yes",AD661/1000,0)</f>
        <v/>
      </c>
      <c r="AI661" s="50">
        <f>IF(S661="FG2",AH661*X661,AH661)</f>
        <v/>
      </c>
    </row>
    <row r="662">
      <c r="A662" s="7" t="inlineStr">
        <is>
          <t>HM00503</t>
        </is>
      </c>
      <c r="B662" s="16" t="inlineStr">
        <is>
          <t>5012345420912</t>
        </is>
      </c>
      <c r="C662" s="7" t="inlineStr">
        <is>
          <t>VICTORIA SPONGE 6PK 300G BRAMBLECOTE</t>
        </is>
      </c>
      <c r="D662" s="7" t="inlineStr">
        <is>
          <t>Victoria sponge cake, 6pk 300g</t>
        </is>
      </c>
      <c r="E662" s="7" t="inlineStr">
        <is>
          <t>Bramblecote</t>
        </is>
      </c>
      <c r="F662" s="7" t="inlineStr">
        <is>
          <t>Bakery</t>
        </is>
      </c>
      <c r="G662" s="7" t="inlineStr">
        <is>
          <t>Cakes</t>
        </is>
      </c>
      <c r="H662" s="7" t="inlineStr">
        <is>
          <t>yes</t>
        </is>
      </c>
      <c r="I662" s="7" t="inlineStr">
        <is>
          <t>Animal &amp; plant composite</t>
        </is>
      </c>
      <c r="J662" s="7" t="inlineStr">
        <is>
          <t>Discretionary products</t>
        </is>
      </c>
      <c r="K662" s="7" t="inlineStr">
        <is>
          <t>B</t>
        </is>
      </c>
      <c r="L662" s="7" t="inlineStr">
        <is>
          <t>50/50 convention</t>
        </is>
      </c>
      <c r="M662" s="51" t="n">
        <v>4.8</v>
      </c>
      <c r="N662" s="7" t="inlineStr">
        <is>
          <t>Open Food Facts and NEVO, by EAN</t>
        </is>
      </c>
      <c r="O662" s="54" t="n">
        <v>2.4</v>
      </c>
      <c r="P662" s="54" t="n">
        <v>2.4</v>
      </c>
      <c r="Q662" s="7" t="inlineStr">
        <is>
          <t>yes</t>
        </is>
      </c>
      <c r="R662" s="7" t="inlineStr">
        <is>
          <t>whole</t>
        </is>
      </c>
      <c r="S662" s="7" t="inlineStr">
        <is>
          <t>FG7</t>
        </is>
      </c>
      <c r="T662" s="7" t="n"/>
      <c r="U662" s="7" t="inlineStr">
        <is>
          <t>plant</t>
        </is>
      </c>
      <c r="V662" s="7" t="n"/>
      <c r="W662" s="7" t="n"/>
      <c r="X662" s="55" t="n">
        <v>1</v>
      </c>
      <c r="Y662" s="50" t="n">
        <v>0.3</v>
      </c>
      <c r="Z662" s="7" t="inlineStr">
        <is>
          <t>declared</t>
        </is>
      </c>
      <c r="AA662" s="19">
        <f>IF(ISBLANK(Welcome!D688),"",Welcome!D688)</f>
        <v/>
      </c>
      <c r="AB662" s="29">
        <f>IF(ISBLANK(Welcome!E688),"",Welcome!E688)</f>
        <v/>
      </c>
      <c r="AC662" s="29">
        <f>IF(N(AB662)&gt;0,N(AB662),N(AA662)*Y662)</f>
        <v/>
      </c>
      <c r="AD662" s="29">
        <f>IF(H662="yes",AC662,0)</f>
        <v/>
      </c>
      <c r="AE662" s="29">
        <f>AD662*N(M662)/100</f>
        <v/>
      </c>
      <c r="AF662" s="29">
        <f>AD662*N(O662)/100</f>
        <v/>
      </c>
      <c r="AG662" s="29">
        <f>AD662*N(P662)/100</f>
        <v/>
      </c>
      <c r="AH662" s="50">
        <f>IF(Q662="yes",AD662/1000,0)</f>
        <v/>
      </c>
      <c r="AI662" s="50">
        <f>IF(S662="FG2",AH662*X662,AH662)</f>
        <v/>
      </c>
    </row>
    <row r="663">
      <c r="A663" s="7" t="inlineStr">
        <is>
          <t>HM00080</t>
        </is>
      </c>
      <c r="B663" s="16" t="inlineStr">
        <is>
          <t>3012345055895</t>
        </is>
      </c>
      <c r="C663" s="7" t="inlineStr">
        <is>
          <t>PIRI PIRI CHKN THIGH 400G TARROW</t>
        </is>
      </c>
      <c r="D663" s="7" t="inlineStr">
        <is>
          <t>Piri-piri marinated chicken thighs, 400g</t>
        </is>
      </c>
      <c r="E663" s="7" t="inlineStr">
        <is>
          <t>Tarrow Farm</t>
        </is>
      </c>
      <c r="F663" s="7" t="inlineStr">
        <is>
          <t>Fresh Meat &amp; Poultry</t>
        </is>
      </c>
      <c r="G663" s="7" t="inlineStr">
        <is>
          <t>BBQ &amp; Marinated</t>
        </is>
      </c>
      <c r="H663" s="7" t="inlineStr">
        <is>
          <t>yes</t>
        </is>
      </c>
      <c r="I663" s="7" t="inlineStr">
        <is>
          <t>Animal core</t>
        </is>
      </c>
      <c r="J663" s="7" t="inlineStr">
        <is>
          <t>Poultry</t>
        </is>
      </c>
      <c r="K663" s="7" t="inlineStr">
        <is>
          <t>B</t>
        </is>
      </c>
      <c r="L663" s="7" t="inlineStr">
        <is>
          <t>First ingredient</t>
        </is>
      </c>
      <c r="M663" s="51" t="n">
        <v>15</v>
      </c>
      <c r="N663" s="7" t="inlineStr">
        <is>
          <t>Declared by the retailer</t>
        </is>
      </c>
      <c r="O663" s="54" t="n">
        <v>0</v>
      </c>
      <c r="P663" s="54" t="n">
        <v>15</v>
      </c>
      <c r="Q663" s="7" t="inlineStr">
        <is>
          <t>yes</t>
        </is>
      </c>
      <c r="R663" s="7" t="inlineStr">
        <is>
          <t>whole</t>
        </is>
      </c>
      <c r="S663" s="7" t="inlineStr">
        <is>
          <t>FG1</t>
        </is>
      </c>
      <c r="T663" s="7" t="inlineStr">
        <is>
          <t>Poultry</t>
        </is>
      </c>
      <c r="U663" s="7" t="inlineStr">
        <is>
          <t>animal</t>
        </is>
      </c>
      <c r="V663" s="7" t="n"/>
      <c r="W663" s="7" t="n"/>
      <c r="X663" s="55" t="n">
        <v>1</v>
      </c>
      <c r="Y663" s="50" t="n">
        <v>0.4</v>
      </c>
      <c r="Z663" s="7" t="inlineStr">
        <is>
          <t>declared</t>
        </is>
      </c>
      <c r="AA663" s="19">
        <f>IF(ISBLANK(Welcome!D689),"",Welcome!D689)</f>
        <v/>
      </c>
      <c r="AB663" s="29">
        <f>IF(ISBLANK(Welcome!E689),"",Welcome!E689)</f>
        <v/>
      </c>
      <c r="AC663" s="29">
        <f>IF(N(AB663)&gt;0,N(AB663),N(AA663)*Y663)</f>
        <v/>
      </c>
      <c r="AD663" s="29">
        <f>IF(H663="yes",AC663,0)</f>
        <v/>
      </c>
      <c r="AE663" s="29">
        <f>AD663*N(M663)/100</f>
        <v/>
      </c>
      <c r="AF663" s="29">
        <f>AD663*N(O663)/100</f>
        <v/>
      </c>
      <c r="AG663" s="29">
        <f>AD663*N(P663)/100</f>
        <v/>
      </c>
      <c r="AH663" s="50">
        <f>IF(Q663="yes",AD663/1000,0)</f>
        <v/>
      </c>
      <c r="AI663" s="50">
        <f>IF(S663="FG2",AH663*X663,AH663)</f>
        <v/>
      </c>
    </row>
    <row r="664">
      <c r="A664" s="7" t="inlineStr">
        <is>
          <t>HM00031</t>
        </is>
      </c>
      <c r="B664" s="16" t="inlineStr">
        <is>
          <t>3012345216142</t>
        </is>
      </c>
      <c r="C664" s="7" t="inlineStr">
        <is>
          <t>HM PORK LIVER PATE 2X85G</t>
        </is>
      </c>
      <c r="D664" s="7" t="inlineStr">
        <is>
          <t>Pork liver pâté, 2x85g</t>
        </is>
      </c>
      <c r="E664" s="7" t="inlineStr">
        <is>
          <t>Harbour Market</t>
        </is>
      </c>
      <c r="F664" s="7" t="inlineStr">
        <is>
          <t>Deli</t>
        </is>
      </c>
      <c r="G664" s="7" t="inlineStr">
        <is>
          <t>Pâté</t>
        </is>
      </c>
      <c r="H664" s="7" t="inlineStr">
        <is>
          <t>yes</t>
        </is>
      </c>
      <c r="I664" s="7" t="inlineStr">
        <is>
          <t>Animal core</t>
        </is>
      </c>
      <c r="J664" s="7" t="inlineStr">
        <is>
          <t>Dishes and processed products</t>
        </is>
      </c>
      <c r="K664" s="7" t="inlineStr">
        <is>
          <t>B</t>
        </is>
      </c>
      <c r="L664" s="7" t="inlineStr">
        <is>
          <t>Follows the class</t>
        </is>
      </c>
      <c r="M664" s="51" t="n">
        <v>12.5</v>
      </c>
      <c r="N664" s="7" t="inlineStr">
        <is>
          <t>Declared by the retailer</t>
        </is>
      </c>
      <c r="O664" s="54" t="n">
        <v>0</v>
      </c>
      <c r="P664" s="54" t="n">
        <v>12.5</v>
      </c>
      <c r="Q664" s="7" t="inlineStr">
        <is>
          <t>yes</t>
        </is>
      </c>
      <c r="R664" s="7" t="inlineStr">
        <is>
          <t>whole</t>
        </is>
      </c>
      <c r="S664" s="7" t="inlineStr">
        <is>
          <t>FG1</t>
        </is>
      </c>
      <c r="T664" s="7" t="inlineStr">
        <is>
          <t>Red meat</t>
        </is>
      </c>
      <c r="U664" s="7" t="inlineStr">
        <is>
          <t>animal</t>
        </is>
      </c>
      <c r="V664" s="7" t="n"/>
      <c r="W664" s="7" t="n"/>
      <c r="X664" s="55" t="n">
        <v>1</v>
      </c>
      <c r="Y664" s="50" t="n">
        <v>0.17</v>
      </c>
      <c r="Z664" s="7" t="inlineStr">
        <is>
          <t>declared</t>
        </is>
      </c>
      <c r="AA664" s="19">
        <f>IF(ISBLANK(Welcome!D690),"",Welcome!D690)</f>
        <v/>
      </c>
      <c r="AB664" s="29">
        <f>IF(ISBLANK(Welcome!E690),"",Welcome!E690)</f>
        <v/>
      </c>
      <c r="AC664" s="29">
        <f>IF(N(AB664)&gt;0,N(AB664),N(AA664)*Y664)</f>
        <v/>
      </c>
      <c r="AD664" s="29">
        <f>IF(H664="yes",AC664,0)</f>
        <v/>
      </c>
      <c r="AE664" s="29">
        <f>AD664*N(M664)/100</f>
        <v/>
      </c>
      <c r="AF664" s="29">
        <f>AD664*N(O664)/100</f>
        <v/>
      </c>
      <c r="AG664" s="29">
        <f>AD664*N(P664)/100</f>
        <v/>
      </c>
      <c r="AH664" s="50">
        <f>IF(Q664="yes",AD664/1000,0)</f>
        <v/>
      </c>
      <c r="AI664" s="50">
        <f>IF(S664="FG2",AH664*X664,AH664)</f>
        <v/>
      </c>
    </row>
    <row r="665">
      <c r="A665" s="7" t="inlineStr">
        <is>
          <t>HM00374</t>
        </is>
      </c>
      <c r="B665" s="16" t="inlineStr">
        <is>
          <t>8712345993061</t>
        </is>
      </c>
      <c r="C665" s="7" t="inlineStr">
        <is>
          <t>SALAMI MILANO 70G CASTELNA</t>
        </is>
      </c>
      <c r="D665" s="7" t="inlineStr">
        <is>
          <t>Milano salami, 70g</t>
        </is>
      </c>
      <c r="E665" s="7" t="inlineStr">
        <is>
          <t>Castelna</t>
        </is>
      </c>
      <c r="F665" s="7" t="inlineStr">
        <is>
          <t>Deli</t>
        </is>
      </c>
      <c r="G665" s="7" t="inlineStr">
        <is>
          <t>Cured Meats</t>
        </is>
      </c>
      <c r="H665" s="7" t="inlineStr">
        <is>
          <t>yes</t>
        </is>
      </c>
      <c r="I665" s="7" t="inlineStr">
        <is>
          <t>Animal core</t>
        </is>
      </c>
      <c r="J665" s="7" t="inlineStr">
        <is>
          <t>Dishes and processed products</t>
        </is>
      </c>
      <c r="K665" s="7" t="inlineStr">
        <is>
          <t>B</t>
        </is>
      </c>
      <c r="L665" s="7" t="inlineStr">
        <is>
          <t>Follows the class</t>
        </is>
      </c>
      <c r="M665" s="51" t="n">
        <v>23.4</v>
      </c>
      <c r="N665" s="7" t="inlineStr">
        <is>
          <t>Declared by the retailer</t>
        </is>
      </c>
      <c r="O665" s="54" t="n">
        <v>0</v>
      </c>
      <c r="P665" s="54" t="n">
        <v>23.4</v>
      </c>
      <c r="Q665" s="7" t="inlineStr">
        <is>
          <t>yes</t>
        </is>
      </c>
      <c r="R665" s="7" t="inlineStr">
        <is>
          <t>whole</t>
        </is>
      </c>
      <c r="S665" s="7" t="inlineStr">
        <is>
          <t>FG1</t>
        </is>
      </c>
      <c r="T665" s="7" t="inlineStr">
        <is>
          <t>Red meat</t>
        </is>
      </c>
      <c r="U665" s="7" t="inlineStr">
        <is>
          <t>animal</t>
        </is>
      </c>
      <c r="V665" s="7" t="n"/>
      <c r="W665" s="7" t="n"/>
      <c r="X665" s="55" t="n">
        <v>1</v>
      </c>
      <c r="Y665" s="50" t="n">
        <v>0.07000000000000001</v>
      </c>
      <c r="Z665" s="7" t="inlineStr">
        <is>
          <t>declared</t>
        </is>
      </c>
      <c r="AA665" s="19">
        <f>IF(ISBLANK(Welcome!D691),"",Welcome!D691)</f>
        <v/>
      </c>
      <c r="AB665" s="29">
        <f>IF(ISBLANK(Welcome!E691),"",Welcome!E691)</f>
        <v/>
      </c>
      <c r="AC665" s="29">
        <f>IF(N(AB665)&gt;0,N(AB665),N(AA665)*Y665)</f>
        <v/>
      </c>
      <c r="AD665" s="29">
        <f>IF(H665="yes",AC665,0)</f>
        <v/>
      </c>
      <c r="AE665" s="29">
        <f>AD665*N(M665)/100</f>
        <v/>
      </c>
      <c r="AF665" s="29">
        <f>AD665*N(O665)/100</f>
        <v/>
      </c>
      <c r="AG665" s="29">
        <f>AD665*N(P665)/100</f>
        <v/>
      </c>
      <c r="AH665" s="50">
        <f>IF(Q665="yes",AD665/1000,0)</f>
        <v/>
      </c>
      <c r="AI665" s="50">
        <f>IF(S665="FG2",AH665*X665,AH665)</f>
        <v/>
      </c>
    </row>
    <row r="666">
      <c r="A666" s="7" t="inlineStr">
        <is>
          <t>HM00345</t>
        </is>
      </c>
      <c r="B666" s="16" t="inlineStr">
        <is>
          <t>4012345917260</t>
        </is>
      </c>
      <c r="C666" s="7" t="inlineStr">
        <is>
          <t>HM QUARK 250G</t>
        </is>
      </c>
      <c r="D666" s="7" t="inlineStr">
        <is>
          <t>Quark, 250g</t>
        </is>
      </c>
      <c r="E666" s="7" t="inlineStr">
        <is>
          <t>Harbour Market</t>
        </is>
      </c>
      <c r="F666" s="7" t="inlineStr">
        <is>
          <t>Cheese</t>
        </is>
      </c>
      <c r="G666" s="7" t="inlineStr">
        <is>
          <t>Fresh Cheese</t>
        </is>
      </c>
      <c r="H666" s="7" t="inlineStr">
        <is>
          <t>yes</t>
        </is>
      </c>
      <c r="I666" s="7" t="inlineStr">
        <is>
          <t>Animal core</t>
        </is>
      </c>
      <c r="J666" s="7" t="inlineStr">
        <is>
          <t>Cheese</t>
        </is>
      </c>
      <c r="K666" s="7" t="inlineStr">
        <is>
          <t>A</t>
        </is>
      </c>
      <c r="L666" s="7" t="inlineStr">
        <is>
          <t>All ingredients on one side</t>
        </is>
      </c>
      <c r="M666" s="51" t="n">
        <v>12</v>
      </c>
      <c r="N666" s="7" t="inlineStr">
        <is>
          <t>Declared by the retailer</t>
        </is>
      </c>
      <c r="O666" s="54" t="n">
        <v>0</v>
      </c>
      <c r="P666" s="54" t="n">
        <v>12</v>
      </c>
      <c r="Q666" s="7" t="inlineStr">
        <is>
          <t>yes</t>
        </is>
      </c>
      <c r="R666" s="7" t="inlineStr">
        <is>
          <t>whole</t>
        </is>
      </c>
      <c r="S666" s="7" t="inlineStr">
        <is>
          <t>FG2</t>
        </is>
      </c>
      <c r="T666" s="7" t="inlineStr">
        <is>
          <t>Dairy</t>
        </is>
      </c>
      <c r="U666" s="7" t="inlineStr">
        <is>
          <t>animal</t>
        </is>
      </c>
      <c r="V666" s="7" t="n"/>
      <c r="W666" s="7" t="n"/>
      <c r="X666" s="55" t="n">
        <v>1</v>
      </c>
      <c r="Y666" s="50" t="n">
        <v>0.25</v>
      </c>
      <c r="Z666" s="7" t="inlineStr">
        <is>
          <t>declared</t>
        </is>
      </c>
      <c r="AA666" s="19">
        <f>IF(ISBLANK(Welcome!D692),"",Welcome!D692)</f>
        <v/>
      </c>
      <c r="AB666" s="29">
        <f>IF(ISBLANK(Welcome!E692),"",Welcome!E692)</f>
        <v/>
      </c>
      <c r="AC666" s="29">
        <f>IF(N(AB666)&gt;0,N(AB666),N(AA666)*Y666)</f>
        <v/>
      </c>
      <c r="AD666" s="29">
        <f>IF(H666="yes",AC666,0)</f>
        <v/>
      </c>
      <c r="AE666" s="29">
        <f>AD666*N(M666)/100</f>
        <v/>
      </c>
      <c r="AF666" s="29">
        <f>AD666*N(O666)/100</f>
        <v/>
      </c>
      <c r="AG666" s="29">
        <f>AD666*N(P666)/100</f>
        <v/>
      </c>
      <c r="AH666" s="50">
        <f>IF(Q666="yes",AD666/1000,0)</f>
        <v/>
      </c>
      <c r="AI666" s="50">
        <f>IF(S666="FG2",AH666*X666,AH666)</f>
        <v/>
      </c>
    </row>
    <row r="667">
      <c r="A667" s="7" t="inlineStr">
        <is>
          <t>HM00512</t>
        </is>
      </c>
      <c r="B667" s="16" t="inlineStr">
        <is>
          <t>3012345823173</t>
        </is>
      </c>
      <c r="C667" s="7" t="inlineStr">
        <is>
          <t>HM AA BATTERIES 2PK</t>
        </is>
      </c>
      <c r="D667" s="7" t="inlineStr">
        <is>
          <t>AA batteries, 2pk</t>
        </is>
      </c>
      <c r="E667" s="7" t="inlineStr">
        <is>
          <t>Harbour Market</t>
        </is>
      </c>
      <c r="F667" s="7" t="inlineStr">
        <is>
          <t>Household</t>
        </is>
      </c>
      <c r="G667" s="7" t="inlineStr">
        <is>
          <t>Household</t>
        </is>
      </c>
      <c r="H667" s="7" t="inlineStr">
        <is>
          <t>no</t>
        </is>
      </c>
      <c r="I667" s="7" t="n"/>
      <c r="J667" s="7" t="n"/>
      <c r="K667" s="7" t="n"/>
      <c r="L667" s="7" t="n"/>
      <c r="M667" s="51" t="n"/>
      <c r="N667" s="7" t="n"/>
      <c r="O667" s="54" t="n"/>
      <c r="P667" s="54" t="n"/>
      <c r="Q667" s="7" t="inlineStr">
        <is>
          <t>no</t>
        </is>
      </c>
      <c r="R667" s="7" t="n"/>
      <c r="S667" s="7" t="n"/>
      <c r="T667" s="7" t="n"/>
      <c r="U667" s="7" t="n"/>
      <c r="V667" s="7" t="n"/>
      <c r="W667" s="7" t="n"/>
      <c r="X667" s="55" t="n">
        <v>1</v>
      </c>
      <c r="Y667" s="50" t="n">
        <v>0.3</v>
      </c>
      <c r="Z667" s="7" t="inlineStr">
        <is>
          <t>declared</t>
        </is>
      </c>
      <c r="AA667" s="19">
        <f>IF(ISBLANK(Welcome!D693),"",Welcome!D693)</f>
        <v/>
      </c>
      <c r="AB667" s="29">
        <f>IF(ISBLANK(Welcome!E693),"",Welcome!E693)</f>
        <v/>
      </c>
      <c r="AC667" s="29">
        <f>IF(N(AB667)&gt;0,N(AB667),N(AA667)*Y667)</f>
        <v/>
      </c>
      <c r="AD667" s="29">
        <f>IF(H667="yes",AC667,0)</f>
        <v/>
      </c>
      <c r="AE667" s="29">
        <f>AD667*N(M667)/100</f>
        <v/>
      </c>
      <c r="AF667" s="29">
        <f>AD667*N(O667)/100</f>
        <v/>
      </c>
      <c r="AG667" s="29">
        <f>AD667*N(P667)/100</f>
        <v/>
      </c>
      <c r="AH667" s="50">
        <f>IF(Q667="yes",AD667/1000,0)</f>
        <v/>
      </c>
      <c r="AI667" s="50">
        <f>IF(S667="FG2",AH667*X667,AH667)</f>
        <v/>
      </c>
    </row>
    <row r="668">
      <c r="A668" s="7" t="inlineStr">
        <is>
          <t>HM00164</t>
        </is>
      </c>
      <c r="B668" s="16" t="inlineStr">
        <is>
          <t>5012345358345</t>
        </is>
      </c>
      <c r="C668" s="7" t="inlineStr">
        <is>
          <t>HM OLIVE SPREAD 1KG</t>
        </is>
      </c>
      <c r="D668" s="7" t="inlineStr">
        <is>
          <t>Olive oil spread, 1kg</t>
        </is>
      </c>
      <c r="E668" s="7" t="inlineStr">
        <is>
          <t>Harbour Market</t>
        </is>
      </c>
      <c r="F668" s="7" t="inlineStr">
        <is>
          <t>Dairy &amp; Eggs</t>
        </is>
      </c>
      <c r="G668" s="7" t="inlineStr">
        <is>
          <t>Butter &amp; Spreads</t>
        </is>
      </c>
      <c r="H668" s="7" t="inlineStr">
        <is>
          <t>yes</t>
        </is>
      </c>
      <c r="I668" s="7" t="inlineStr">
        <is>
          <t>Plant-based non-core</t>
        </is>
      </c>
      <c r="J668" s="7" t="inlineStr">
        <is>
          <t>Other</t>
        </is>
      </c>
      <c r="K668" s="7" t="inlineStr">
        <is>
          <t>A</t>
        </is>
      </c>
      <c r="L668" s="7" t="inlineStr">
        <is>
          <t>All ingredients on one side</t>
        </is>
      </c>
      <c r="M668" s="51" t="n">
        <v>0.1</v>
      </c>
      <c r="N668" s="7" t="inlineStr">
        <is>
          <t>Altera reference base</t>
        </is>
      </c>
      <c r="O668" s="54" t="n">
        <v>0.1</v>
      </c>
      <c r="P668" s="54" t="n">
        <v>0</v>
      </c>
      <c r="Q668" s="7" t="inlineStr">
        <is>
          <t>yes</t>
        </is>
      </c>
      <c r="R668" s="7" t="inlineStr">
        <is>
          <t>whole</t>
        </is>
      </c>
      <c r="S668" s="7" t="inlineStr">
        <is>
          <t>FG3</t>
        </is>
      </c>
      <c r="T668" s="7" t="inlineStr">
        <is>
          <t>Plant-based fat</t>
        </is>
      </c>
      <c r="U668" s="7" t="inlineStr">
        <is>
          <t>plant</t>
        </is>
      </c>
      <c r="V668" s="7" t="n"/>
      <c r="W668" s="7" t="n"/>
      <c r="X668" s="55" t="n">
        <v>1</v>
      </c>
      <c r="Y668" s="50" t="n">
        <v>1</v>
      </c>
      <c r="Z668" s="7" t="inlineStr">
        <is>
          <t>declared</t>
        </is>
      </c>
      <c r="AA668" s="19">
        <f>IF(ISBLANK(Welcome!D694),"",Welcome!D694)</f>
        <v/>
      </c>
      <c r="AB668" s="29">
        <f>IF(ISBLANK(Welcome!E694),"",Welcome!E694)</f>
        <v/>
      </c>
      <c r="AC668" s="29">
        <f>IF(N(AB668)&gt;0,N(AB668),N(AA668)*Y668)</f>
        <v/>
      </c>
      <c r="AD668" s="29">
        <f>IF(H668="yes",AC668,0)</f>
        <v/>
      </c>
      <c r="AE668" s="29">
        <f>AD668*N(M668)/100</f>
        <v/>
      </c>
      <c r="AF668" s="29">
        <f>AD668*N(O668)/100</f>
        <v/>
      </c>
      <c r="AG668" s="29">
        <f>AD668*N(P668)/100</f>
        <v/>
      </c>
      <c r="AH668" s="50">
        <f>IF(Q668="yes",AD668/1000,0)</f>
        <v/>
      </c>
      <c r="AI668" s="50">
        <f>IF(S668="FG2",AH668*X668,AH668)</f>
        <v/>
      </c>
    </row>
    <row r="669">
      <c r="A669" s="7" t="inlineStr">
        <is>
          <t>HM00437</t>
        </is>
      </c>
      <c r="B669" s="16" t="inlineStr">
        <is>
          <t>3012345665773</t>
        </is>
      </c>
      <c r="C669" s="7" t="inlineStr">
        <is>
          <t>KESTREL BREADED HADDOCK 10PK 280G</t>
        </is>
      </c>
      <c r="D669" s="7" t="inlineStr">
        <is>
          <t>Breaded haddock fillets, 10pk 280g</t>
        </is>
      </c>
      <c r="E669" s="7" t="inlineStr">
        <is>
          <t>Kestrel Bay</t>
        </is>
      </c>
      <c r="F669" s="7" t="inlineStr">
        <is>
          <t>Frozen</t>
        </is>
      </c>
      <c r="G669" s="7" t="inlineStr">
        <is>
          <t>Frozen Fish</t>
        </is>
      </c>
      <c r="H669" s="7" t="inlineStr">
        <is>
          <t>yes</t>
        </is>
      </c>
      <c r="I669" s="7" t="inlineStr">
        <is>
          <t>Animal core</t>
        </is>
      </c>
      <c r="J669" s="7" t="inlineStr">
        <is>
          <t>Fish and seafood</t>
        </is>
      </c>
      <c r="K669" s="7" t="inlineStr">
        <is>
          <t>B</t>
        </is>
      </c>
      <c r="L669" s="7" t="inlineStr">
        <is>
          <t>First ingredient</t>
        </is>
      </c>
      <c r="M669" s="51" t="n">
        <v>12</v>
      </c>
      <c r="N669" s="7" t="inlineStr">
        <is>
          <t>Declared by the retailer</t>
        </is>
      </c>
      <c r="O669" s="54" t="n">
        <v>0</v>
      </c>
      <c r="P669" s="54" t="n">
        <v>12</v>
      </c>
      <c r="Q669" s="7" t="inlineStr">
        <is>
          <t>yes</t>
        </is>
      </c>
      <c r="R669" s="7" t="inlineStr">
        <is>
          <t>whole</t>
        </is>
      </c>
      <c r="S669" s="7" t="inlineStr">
        <is>
          <t>FG1</t>
        </is>
      </c>
      <c r="T669" s="7" t="inlineStr">
        <is>
          <t>Fish &amp; shellfish</t>
        </is>
      </c>
      <c r="U669" s="7" t="inlineStr">
        <is>
          <t>animal</t>
        </is>
      </c>
      <c r="V669" s="7" t="n"/>
      <c r="W669" s="7" t="n"/>
      <c r="X669" s="55" t="n">
        <v>1</v>
      </c>
      <c r="Y669" s="50" t="n">
        <v>0.28</v>
      </c>
      <c r="Z669" s="7" t="inlineStr">
        <is>
          <t>declared</t>
        </is>
      </c>
      <c r="AA669" s="19">
        <f>IF(ISBLANK(Welcome!D695),"",Welcome!D695)</f>
        <v/>
      </c>
      <c r="AB669" s="29">
        <f>IF(ISBLANK(Welcome!E695),"",Welcome!E695)</f>
        <v/>
      </c>
      <c r="AC669" s="29">
        <f>IF(N(AB669)&gt;0,N(AB669),N(AA669)*Y669)</f>
        <v/>
      </c>
      <c r="AD669" s="29">
        <f>IF(H669="yes",AC669,0)</f>
        <v/>
      </c>
      <c r="AE669" s="29">
        <f>AD669*N(M669)/100</f>
        <v/>
      </c>
      <c r="AF669" s="29">
        <f>AD669*N(O669)/100</f>
        <v/>
      </c>
      <c r="AG669" s="29">
        <f>AD669*N(P669)/100</f>
        <v/>
      </c>
      <c r="AH669" s="50">
        <f>IF(Q669="yes",AD669/1000,0)</f>
        <v/>
      </c>
      <c r="AI669" s="50">
        <f>IF(S669="FG2",AH669*X669,AH669)</f>
        <v/>
      </c>
    </row>
    <row r="670">
      <c r="A670" s="7" t="inlineStr">
        <is>
          <t>HM00455</t>
        </is>
      </c>
      <c r="B670" s="16" t="inlineStr">
        <is>
          <t>3012345325547</t>
        </is>
      </c>
      <c r="C670" s="7" t="inlineStr">
        <is>
          <t>HM PLANT MINCE 226G</t>
        </is>
      </c>
      <c r="D670" s="7" t="inlineStr">
        <is>
          <t>Plant-based mince, 226g</t>
        </is>
      </c>
      <c r="E670" s="7" t="inlineStr">
        <is>
          <t>Harbour Market</t>
        </is>
      </c>
      <c r="F670" s="7" t="inlineStr">
        <is>
          <t>Plant-Based</t>
        </is>
      </c>
      <c r="G670" s="7" t="inlineStr">
        <is>
          <t>Meat Alternatives</t>
        </is>
      </c>
      <c r="H670" s="7" t="inlineStr">
        <is>
          <t>yes</t>
        </is>
      </c>
      <c r="I670" s="7" t="inlineStr">
        <is>
          <t>Plant-based core</t>
        </is>
      </c>
      <c r="J670" s="7" t="inlineStr">
        <is>
          <t>Plant-based meat alternatives</t>
        </is>
      </c>
      <c r="K670" s="7" t="inlineStr">
        <is>
          <t>A</t>
        </is>
      </c>
      <c r="L670" s="7" t="inlineStr">
        <is>
          <t>All ingredients on one side</t>
        </is>
      </c>
      <c r="M670" s="51" t="n">
        <v>16.2</v>
      </c>
      <c r="N670" s="7" t="inlineStr">
        <is>
          <t>Declared by the retailer</t>
        </is>
      </c>
      <c r="O670" s="54" t="n">
        <v>16.2</v>
      </c>
      <c r="P670" s="54" t="n">
        <v>0</v>
      </c>
      <c r="Q670" s="7" t="inlineStr">
        <is>
          <t>yes</t>
        </is>
      </c>
      <c r="R670" s="7" t="inlineStr">
        <is>
          <t>whole</t>
        </is>
      </c>
      <c r="S670" s="7" t="inlineStr">
        <is>
          <t>FG1</t>
        </is>
      </c>
      <c r="T670" s="7" t="inlineStr">
        <is>
          <t>Alternative products</t>
        </is>
      </c>
      <c r="U670" s="7" t="inlineStr">
        <is>
          <t>plant</t>
        </is>
      </c>
      <c r="V670" s="7" t="n"/>
      <c r="W670" s="7" t="n"/>
      <c r="X670" s="55" t="n">
        <v>1</v>
      </c>
      <c r="Y670" s="50" t="n">
        <v>0.226</v>
      </c>
      <c r="Z670" s="7" t="inlineStr">
        <is>
          <t>declared</t>
        </is>
      </c>
      <c r="AA670" s="19">
        <f>IF(ISBLANK(Welcome!D696),"",Welcome!D696)</f>
        <v/>
      </c>
      <c r="AB670" s="29">
        <f>IF(ISBLANK(Welcome!E696),"",Welcome!E696)</f>
        <v/>
      </c>
      <c r="AC670" s="29">
        <f>IF(N(AB670)&gt;0,N(AB670),N(AA670)*Y670)</f>
        <v/>
      </c>
      <c r="AD670" s="29">
        <f>IF(H670="yes",AC670,0)</f>
        <v/>
      </c>
      <c r="AE670" s="29">
        <f>AD670*N(M670)/100</f>
        <v/>
      </c>
      <c r="AF670" s="29">
        <f>AD670*N(O670)/100</f>
        <v/>
      </c>
      <c r="AG670" s="29">
        <f>AD670*N(P670)/100</f>
        <v/>
      </c>
      <c r="AH670" s="50">
        <f>IF(Q670="yes",AD670/1000,0)</f>
        <v/>
      </c>
      <c r="AI670" s="50">
        <f>IF(S670="FG2",AH670*X670,AH670)</f>
        <v/>
      </c>
    </row>
    <row r="671">
      <c r="A671" s="7" t="inlineStr">
        <is>
          <t>HM00160</t>
        </is>
      </c>
      <c r="B671" s="16" t="inlineStr">
        <is>
          <t>3012345876629</t>
        </is>
      </c>
      <c r="C671" s="7" t="inlineStr">
        <is>
          <t>KING PRAWNS COOKED 225G KESTREL</t>
        </is>
      </c>
      <c r="D671" s="7" t="inlineStr">
        <is>
          <t>Cooked king prawns, 225g</t>
        </is>
      </c>
      <c r="E671" s="7" t="inlineStr">
        <is>
          <t>Kestrel Bay</t>
        </is>
      </c>
      <c r="F671" s="7" t="inlineStr">
        <is>
          <t>Fish &amp; Seafood</t>
        </is>
      </c>
      <c r="G671" s="7" t="inlineStr">
        <is>
          <t>Shellfish</t>
        </is>
      </c>
      <c r="H671" s="7" t="inlineStr">
        <is>
          <t>yes</t>
        </is>
      </c>
      <c r="I671" s="7" t="inlineStr">
        <is>
          <t>Animal core</t>
        </is>
      </c>
      <c r="J671" s="7" t="inlineStr">
        <is>
          <t>Fish and seafood</t>
        </is>
      </c>
      <c r="K671" s="7" t="inlineStr">
        <is>
          <t>B</t>
        </is>
      </c>
      <c r="L671" s="7" t="inlineStr">
        <is>
          <t>Follows the class</t>
        </is>
      </c>
      <c r="M671" s="51" t="n">
        <v>17.5</v>
      </c>
      <c r="N671" s="7" t="inlineStr">
        <is>
          <t>Declared by the retailer</t>
        </is>
      </c>
      <c r="O671" s="54" t="n">
        <v>0</v>
      </c>
      <c r="P671" s="54" t="n">
        <v>17.5</v>
      </c>
      <c r="Q671" s="7" t="inlineStr">
        <is>
          <t>yes</t>
        </is>
      </c>
      <c r="R671" s="7" t="inlineStr">
        <is>
          <t>whole</t>
        </is>
      </c>
      <c r="S671" s="7" t="inlineStr">
        <is>
          <t>FG1</t>
        </is>
      </c>
      <c r="T671" s="7" t="inlineStr">
        <is>
          <t>Fish &amp; shellfish</t>
        </is>
      </c>
      <c r="U671" s="7" t="inlineStr">
        <is>
          <t>animal</t>
        </is>
      </c>
      <c r="V671" s="7" t="n"/>
      <c r="W671" s="7" t="n"/>
      <c r="X671" s="55" t="n">
        <v>1</v>
      </c>
      <c r="Y671" s="50" t="n">
        <v>0.225</v>
      </c>
      <c r="Z671" s="7" t="inlineStr">
        <is>
          <t>declared</t>
        </is>
      </c>
      <c r="AA671" s="19">
        <f>IF(ISBLANK(Welcome!D697),"",Welcome!D697)</f>
        <v/>
      </c>
      <c r="AB671" s="29">
        <f>IF(ISBLANK(Welcome!E697),"",Welcome!E697)</f>
        <v/>
      </c>
      <c r="AC671" s="29">
        <f>IF(N(AB671)&gt;0,N(AB671),N(AA671)*Y671)</f>
        <v/>
      </c>
      <c r="AD671" s="29">
        <f>IF(H671="yes",AC671,0)</f>
        <v/>
      </c>
      <c r="AE671" s="29">
        <f>AD671*N(M671)/100</f>
        <v/>
      </c>
      <c r="AF671" s="29">
        <f>AD671*N(O671)/100</f>
        <v/>
      </c>
      <c r="AG671" s="29">
        <f>AD671*N(P671)/100</f>
        <v/>
      </c>
      <c r="AH671" s="50">
        <f>IF(Q671="yes",AD671/1000,0)</f>
        <v/>
      </c>
      <c r="AI671" s="50">
        <f>IF(S671="FG2",AH671*X671,AH671)</f>
        <v/>
      </c>
    </row>
    <row r="672">
      <c r="A672" s="7" t="inlineStr">
        <is>
          <t>HM00542</t>
        </is>
      </c>
      <c r="B672" s="16" t="inlineStr">
        <is>
          <t>4012345438659</t>
        </is>
      </c>
      <c r="C672" s="7" t="inlineStr">
        <is>
          <t>HM SMKD SALMON 100G</t>
        </is>
      </c>
      <c r="D672" s="7" t="inlineStr">
        <is>
          <t>Smoked salmon, 100g</t>
        </is>
      </c>
      <c r="E672" s="7" t="inlineStr">
        <is>
          <t>Harbour Market</t>
        </is>
      </c>
      <c r="F672" s="7" t="inlineStr">
        <is>
          <t>Fish &amp; Seafood</t>
        </is>
      </c>
      <c r="G672" s="7" t="inlineStr">
        <is>
          <t>Smoked Fish</t>
        </is>
      </c>
      <c r="H672" s="7" t="inlineStr">
        <is>
          <t>yes</t>
        </is>
      </c>
      <c r="I672" s="7" t="inlineStr">
        <is>
          <t>Animal core</t>
        </is>
      </c>
      <c r="J672" s="7" t="inlineStr">
        <is>
          <t>Fish and seafood</t>
        </is>
      </c>
      <c r="K672" s="7" t="inlineStr">
        <is>
          <t>B</t>
        </is>
      </c>
      <c r="L672" s="7" t="inlineStr">
        <is>
          <t>Follows the class</t>
        </is>
      </c>
      <c r="M672" s="51" t="n">
        <v>22.9</v>
      </c>
      <c r="N672" s="7" t="inlineStr">
        <is>
          <t>Declared by the retailer</t>
        </is>
      </c>
      <c r="O672" s="54" t="n">
        <v>0</v>
      </c>
      <c r="P672" s="54" t="n">
        <v>22.9</v>
      </c>
      <c r="Q672" s="7" t="inlineStr">
        <is>
          <t>yes</t>
        </is>
      </c>
      <c r="R672" s="7" t="inlineStr">
        <is>
          <t>whole</t>
        </is>
      </c>
      <c r="S672" s="7" t="inlineStr">
        <is>
          <t>FG1</t>
        </is>
      </c>
      <c r="T672" s="7" t="inlineStr">
        <is>
          <t>Fish &amp; shellfish</t>
        </is>
      </c>
      <c r="U672" s="7" t="inlineStr">
        <is>
          <t>animal</t>
        </is>
      </c>
      <c r="V672" s="7" t="n"/>
      <c r="W672" s="7" t="n"/>
      <c r="X672" s="55" t="n">
        <v>1</v>
      </c>
      <c r="Y672" s="50" t="n">
        <v>0.1</v>
      </c>
      <c r="Z672" s="7" t="inlineStr">
        <is>
          <t>declared</t>
        </is>
      </c>
      <c r="AA672" s="19">
        <f>IF(ISBLANK(Welcome!D698),"",Welcome!D698)</f>
        <v/>
      </c>
      <c r="AB672" s="29">
        <f>IF(ISBLANK(Welcome!E698),"",Welcome!E698)</f>
        <v/>
      </c>
      <c r="AC672" s="29">
        <f>IF(N(AB672)&gt;0,N(AB672),N(AA672)*Y672)</f>
        <v/>
      </c>
      <c r="AD672" s="29">
        <f>IF(H672="yes",AC672,0)</f>
        <v/>
      </c>
      <c r="AE672" s="29">
        <f>AD672*N(M672)/100</f>
        <v/>
      </c>
      <c r="AF672" s="29">
        <f>AD672*N(O672)/100</f>
        <v/>
      </c>
      <c r="AG672" s="29">
        <f>AD672*N(P672)/100</f>
        <v/>
      </c>
      <c r="AH672" s="50">
        <f>IF(Q672="yes",AD672/1000,0)</f>
        <v/>
      </c>
      <c r="AI672" s="50">
        <f>IF(S672="FG2",AH672*X672,AH672)</f>
        <v/>
      </c>
    </row>
    <row r="673">
      <c r="A673" s="7" t="inlineStr">
        <is>
          <t>HM00096</t>
        </is>
      </c>
      <c r="B673" s="16" t="inlineStr">
        <is>
          <t>5012345362823</t>
        </is>
      </c>
      <c r="C673" s="7" t="inlineStr">
        <is>
          <t>HM SMOOTH PEANUT BTR 1KG</t>
        </is>
      </c>
      <c r="D673" s="7" t="inlineStr">
        <is>
          <t>Smooth peanut butter, 1kg</t>
        </is>
      </c>
      <c r="E673" s="7" t="inlineStr">
        <is>
          <t>Harbour Market</t>
        </is>
      </c>
      <c r="F673" s="7" t="inlineStr">
        <is>
          <t>Grocery</t>
        </is>
      </c>
      <c r="G673" s="7" t="inlineStr">
        <is>
          <t>Spreads</t>
        </is>
      </c>
      <c r="H673" s="7" t="inlineStr">
        <is>
          <t>yes</t>
        </is>
      </c>
      <c r="I673" s="7" t="inlineStr">
        <is>
          <t>Plant-based core</t>
        </is>
      </c>
      <c r="J673" s="7" t="inlineStr">
        <is>
          <t>Nuts</t>
        </is>
      </c>
      <c r="K673" s="7" t="inlineStr">
        <is>
          <t>B</t>
        </is>
      </c>
      <c r="L673" s="7" t="inlineStr">
        <is>
          <t>Follows the class</t>
        </is>
      </c>
      <c r="M673" s="51" t="n">
        <v>25.8</v>
      </c>
      <c r="N673" s="7" t="inlineStr">
        <is>
          <t>National food table (CIQUAL in France)</t>
        </is>
      </c>
      <c r="O673" s="54" t="n">
        <v>25.8</v>
      </c>
      <c r="P673" s="54" t="n">
        <v>0</v>
      </c>
      <c r="Q673" s="7" t="inlineStr">
        <is>
          <t>yes</t>
        </is>
      </c>
      <c r="R673" s="7" t="inlineStr">
        <is>
          <t>whole</t>
        </is>
      </c>
      <c r="S673" s="7" t="inlineStr">
        <is>
          <t>FG1</t>
        </is>
      </c>
      <c r="T673" s="7" t="inlineStr">
        <is>
          <t>Nuts</t>
        </is>
      </c>
      <c r="U673" s="7" t="inlineStr">
        <is>
          <t>plant</t>
        </is>
      </c>
      <c r="V673" s="7" t="n"/>
      <c r="W673" s="7" t="n"/>
      <c r="X673" s="55" t="n">
        <v>1</v>
      </c>
      <c r="Y673" s="50" t="n">
        <v>1</v>
      </c>
      <c r="Z673" s="7" t="inlineStr">
        <is>
          <t>declared</t>
        </is>
      </c>
      <c r="AA673" s="19">
        <f>IF(ISBLANK(Welcome!D699),"",Welcome!D699)</f>
        <v/>
      </c>
      <c r="AB673" s="29">
        <f>IF(ISBLANK(Welcome!E699),"",Welcome!E699)</f>
        <v/>
      </c>
      <c r="AC673" s="29">
        <f>IF(N(AB673)&gt;0,N(AB673),N(AA673)*Y673)</f>
        <v/>
      </c>
      <c r="AD673" s="29">
        <f>IF(H673="yes",AC673,0)</f>
        <v/>
      </c>
      <c r="AE673" s="29">
        <f>AD673*N(M673)/100</f>
        <v/>
      </c>
      <c r="AF673" s="29">
        <f>AD673*N(O673)/100</f>
        <v/>
      </c>
      <c r="AG673" s="29">
        <f>AD673*N(P673)/100</f>
        <v/>
      </c>
      <c r="AH673" s="50">
        <f>IF(Q673="yes",AD673/1000,0)</f>
        <v/>
      </c>
      <c r="AI673" s="50">
        <f>IF(S673="FG2",AH673*X673,AH673)</f>
        <v/>
      </c>
    </row>
    <row r="674">
      <c r="A674" s="7" t="inlineStr">
        <is>
          <t>HM00211</t>
        </is>
      </c>
      <c r="B674" s="16" t="inlineStr">
        <is>
          <t>8712345916299</t>
        </is>
      </c>
      <c r="C674" s="7" t="inlineStr">
        <is>
          <t>HM TOMATO KETCHUP 460G</t>
        </is>
      </c>
      <c r="D674" s="7" t="inlineStr">
        <is>
          <t>Tomato ketchup, 460g</t>
        </is>
      </c>
      <c r="E674" s="7" t="inlineStr">
        <is>
          <t>Harbour Market</t>
        </is>
      </c>
      <c r="F674" s="7" t="inlineStr">
        <is>
          <t>Grocery</t>
        </is>
      </c>
      <c r="G674" s="7" t="inlineStr">
        <is>
          <t>Condiments</t>
        </is>
      </c>
      <c r="H674" s="7" t="inlineStr">
        <is>
          <t>yes</t>
        </is>
      </c>
      <c r="I674" s="7" t="inlineStr">
        <is>
          <t>Plant-based non-core</t>
        </is>
      </c>
      <c r="J674" s="7" t="inlineStr">
        <is>
          <t>Outside the WWF scope</t>
        </is>
      </c>
      <c r="K674" s="7" t="inlineStr">
        <is>
          <t>A</t>
        </is>
      </c>
      <c r="L674" s="7" t="inlineStr">
        <is>
          <t>All ingredients on one side</t>
        </is>
      </c>
      <c r="M674" s="51" t="n">
        <v>1.2</v>
      </c>
      <c r="N674" s="7" t="inlineStr">
        <is>
          <t>Declared by the retailer</t>
        </is>
      </c>
      <c r="O674" s="54" t="n">
        <v>1.2</v>
      </c>
      <c r="P674" s="54" t="n">
        <v>0</v>
      </c>
      <c r="Q674" s="7" t="inlineStr">
        <is>
          <t>no</t>
        </is>
      </c>
      <c r="R674" s="7" t="n"/>
      <c r="S674" s="7" t="n"/>
      <c r="T674" s="7" t="n"/>
      <c r="U674" s="7" t="n"/>
      <c r="V674" s="7" t="n"/>
      <c r="W674" s="7" t="inlineStr">
        <is>
          <t>condiment</t>
        </is>
      </c>
      <c r="X674" s="55" t="n">
        <v>1</v>
      </c>
      <c r="Y674" s="50" t="n">
        <v>0.46</v>
      </c>
      <c r="Z674" s="7" t="inlineStr">
        <is>
          <t>declared</t>
        </is>
      </c>
      <c r="AA674" s="19">
        <f>IF(ISBLANK(Welcome!D700),"",Welcome!D700)</f>
        <v/>
      </c>
      <c r="AB674" s="29">
        <f>IF(ISBLANK(Welcome!E700),"",Welcome!E700)</f>
        <v/>
      </c>
      <c r="AC674" s="29">
        <f>IF(N(AB674)&gt;0,N(AB674),N(AA674)*Y674)</f>
        <v/>
      </c>
      <c r="AD674" s="29">
        <f>IF(H674="yes",AC674,0)</f>
        <v/>
      </c>
      <c r="AE674" s="29">
        <f>AD674*N(M674)/100</f>
        <v/>
      </c>
      <c r="AF674" s="29">
        <f>AD674*N(O674)/100</f>
        <v/>
      </c>
      <c r="AG674" s="29">
        <f>AD674*N(P674)/100</f>
        <v/>
      </c>
      <c r="AH674" s="50">
        <f>IF(Q674="yes",AD674/1000,0)</f>
        <v/>
      </c>
      <c r="AI674" s="50">
        <f>IF(S674="FG2",AH674*X674,AH674)</f>
        <v/>
      </c>
    </row>
    <row r="675">
      <c r="A675" s="7" t="inlineStr">
        <is>
          <t>HM00182</t>
        </is>
      </c>
      <c r="B675" s="16" t="inlineStr">
        <is>
          <t>0012345136047</t>
        </is>
      </c>
      <c r="C675" s="7" t="inlineStr">
        <is>
          <t>ALDERWICK CAMEMBERT 125G</t>
        </is>
      </c>
      <c r="D675" s="7" t="inlineStr">
        <is>
          <t>Camembert, 125g</t>
        </is>
      </c>
      <c r="E675" s="7" t="inlineStr">
        <is>
          <t>Alderwick</t>
        </is>
      </c>
      <c r="F675" s="7" t="inlineStr">
        <is>
          <t>Cheese</t>
        </is>
      </c>
      <c r="G675" s="7" t="inlineStr">
        <is>
          <t>Soft Cheese</t>
        </is>
      </c>
      <c r="H675" s="7" t="inlineStr">
        <is>
          <t>yes</t>
        </is>
      </c>
      <c r="I675" s="7" t="inlineStr">
        <is>
          <t>Animal core</t>
        </is>
      </c>
      <c r="J675" s="7" t="inlineStr">
        <is>
          <t>Cheese</t>
        </is>
      </c>
      <c r="K675" s="7" t="inlineStr">
        <is>
          <t>B</t>
        </is>
      </c>
      <c r="L675" s="7" t="inlineStr">
        <is>
          <t>Follows the class</t>
        </is>
      </c>
      <c r="M675" s="51" t="n">
        <v>20.5</v>
      </c>
      <c r="N675" s="7" t="inlineStr">
        <is>
          <t>Declared by the retailer</t>
        </is>
      </c>
      <c r="O675" s="54" t="n">
        <v>0</v>
      </c>
      <c r="P675" s="54" t="n">
        <v>20.5</v>
      </c>
      <c r="Q675" s="7" t="inlineStr">
        <is>
          <t>yes</t>
        </is>
      </c>
      <c r="R675" s="7" t="inlineStr">
        <is>
          <t>whole</t>
        </is>
      </c>
      <c r="S675" s="7" t="inlineStr">
        <is>
          <t>FG2</t>
        </is>
      </c>
      <c r="T675" s="7" t="inlineStr">
        <is>
          <t>Dairy</t>
        </is>
      </c>
      <c r="U675" s="7" t="inlineStr">
        <is>
          <t>animal</t>
        </is>
      </c>
      <c r="V675" s="7" t="n"/>
      <c r="W675" s="7" t="n"/>
      <c r="X675" s="55" t="n">
        <v>10</v>
      </c>
      <c r="Y675" s="50" t="n">
        <v>0.125</v>
      </c>
      <c r="Z675" s="7" t="inlineStr">
        <is>
          <t>declared</t>
        </is>
      </c>
      <c r="AA675" s="19">
        <f>IF(ISBLANK(Welcome!D701),"",Welcome!D701)</f>
        <v/>
      </c>
      <c r="AB675" s="29">
        <f>IF(ISBLANK(Welcome!E701),"",Welcome!E701)</f>
        <v/>
      </c>
      <c r="AC675" s="29">
        <f>IF(N(AB675)&gt;0,N(AB675),N(AA675)*Y675)</f>
        <v/>
      </c>
      <c r="AD675" s="29">
        <f>IF(H675="yes",AC675,0)</f>
        <v/>
      </c>
      <c r="AE675" s="29">
        <f>AD675*N(M675)/100</f>
        <v/>
      </c>
      <c r="AF675" s="29">
        <f>AD675*N(O675)/100</f>
        <v/>
      </c>
      <c r="AG675" s="29">
        <f>AD675*N(P675)/100</f>
        <v/>
      </c>
      <c r="AH675" s="50">
        <f>IF(Q675="yes",AD675/1000,0)</f>
        <v/>
      </c>
      <c r="AI675" s="50">
        <f>IF(S675="FG2",AH675*X675,AH675)</f>
        <v/>
      </c>
    </row>
    <row r="676">
      <c r="A676" s="7" t="inlineStr">
        <is>
          <t>HM00428</t>
        </is>
      </c>
      <c r="B676" s="16" t="inlineStr">
        <is>
          <t>3012345738415</t>
        </is>
      </c>
      <c r="C676" s="7" t="inlineStr">
        <is>
          <t>HM GREEK STYLE YOG 450G</t>
        </is>
      </c>
      <c r="D676" s="7" t="inlineStr">
        <is>
          <t>Greek-style yoghurt, 450g</t>
        </is>
      </c>
      <c r="E676" s="7" t="inlineStr">
        <is>
          <t>Harbour Market</t>
        </is>
      </c>
      <c r="F676" s="7" t="inlineStr">
        <is>
          <t>Dairy &amp; Eggs</t>
        </is>
      </c>
      <c r="G676" s="7" t="inlineStr">
        <is>
          <t>Yoghurt</t>
        </is>
      </c>
      <c r="H676" s="7" t="inlineStr">
        <is>
          <t>yes</t>
        </is>
      </c>
      <c r="I676" s="7" t="inlineStr">
        <is>
          <t>Animal core</t>
        </is>
      </c>
      <c r="J676" s="7" t="inlineStr">
        <is>
          <t>Milk, yoghurt and cream</t>
        </is>
      </c>
      <c r="K676" s="7" t="inlineStr">
        <is>
          <t>A</t>
        </is>
      </c>
      <c r="L676" s="7" t="inlineStr">
        <is>
          <t>All ingredients on one side</t>
        </is>
      </c>
      <c r="M676" s="51" t="n">
        <v>6.3</v>
      </c>
      <c r="N676" s="7" t="inlineStr">
        <is>
          <t>National food table (CIQUAL in France)</t>
        </is>
      </c>
      <c r="O676" s="54" t="n">
        <v>0</v>
      </c>
      <c r="P676" s="54" t="n">
        <v>6.3</v>
      </c>
      <c r="Q676" s="7" t="inlineStr">
        <is>
          <t>yes</t>
        </is>
      </c>
      <c r="R676" s="7" t="inlineStr">
        <is>
          <t>whole</t>
        </is>
      </c>
      <c r="S676" s="7" t="inlineStr">
        <is>
          <t>FG2</t>
        </is>
      </c>
      <c r="T676" s="7" t="inlineStr">
        <is>
          <t>Dairy</t>
        </is>
      </c>
      <c r="U676" s="7" t="inlineStr">
        <is>
          <t>animal</t>
        </is>
      </c>
      <c r="V676" s="7" t="n"/>
      <c r="W676" s="7" t="n"/>
      <c r="X676" s="55" t="n">
        <v>1</v>
      </c>
      <c r="Y676" s="50" t="n">
        <v>0.45</v>
      </c>
      <c r="Z676" s="7" t="inlineStr">
        <is>
          <t>declared</t>
        </is>
      </c>
      <c r="AA676" s="19">
        <f>IF(ISBLANK(Welcome!D702),"",Welcome!D702)</f>
        <v/>
      </c>
      <c r="AB676" s="29">
        <f>IF(ISBLANK(Welcome!E702),"",Welcome!E702)</f>
        <v/>
      </c>
      <c r="AC676" s="29">
        <f>IF(N(AB676)&gt;0,N(AB676),N(AA676)*Y676)</f>
        <v/>
      </c>
      <c r="AD676" s="29">
        <f>IF(H676="yes",AC676,0)</f>
        <v/>
      </c>
      <c r="AE676" s="29">
        <f>AD676*N(M676)/100</f>
        <v/>
      </c>
      <c r="AF676" s="29">
        <f>AD676*N(O676)/100</f>
        <v/>
      </c>
      <c r="AG676" s="29">
        <f>AD676*N(P676)/100</f>
        <v/>
      </c>
      <c r="AH676" s="50">
        <f>IF(Q676="yes",AD676/1000,0)</f>
        <v/>
      </c>
      <c r="AI676" s="50">
        <f>IF(S676="FG2",AH676*X676,AH676)</f>
        <v/>
      </c>
    </row>
    <row r="677">
      <c r="A677" s="7" t="inlineStr">
        <is>
          <t>HM00094</t>
        </is>
      </c>
      <c r="B677" s="16" t="inlineStr">
        <is>
          <t>4012345192483</t>
        </is>
      </c>
      <c r="C677" s="7" t="inlineStr">
        <is>
          <t>SUNFLOWER SEEDS 150G PENROCK</t>
        </is>
      </c>
      <c r="D677" s="7" t="inlineStr">
        <is>
          <t>Sunflower seeds, 150g</t>
        </is>
      </c>
      <c r="E677" s="7" t="inlineStr">
        <is>
          <t>Penrock</t>
        </is>
      </c>
      <c r="F677" s="7" t="inlineStr">
        <is>
          <t>Grocery</t>
        </is>
      </c>
      <c r="G677" s="7" t="inlineStr">
        <is>
          <t>Nuts &amp; Seeds</t>
        </is>
      </c>
      <c r="H677" s="7" t="inlineStr">
        <is>
          <t>yes</t>
        </is>
      </c>
      <c r="I677" s="7" t="inlineStr">
        <is>
          <t>Plant-based core</t>
        </is>
      </c>
      <c r="J677" s="7" t="inlineStr">
        <is>
          <t>Seeds</t>
        </is>
      </c>
      <c r="K677" s="7" t="inlineStr">
        <is>
          <t>A</t>
        </is>
      </c>
      <c r="L677" s="7" t="inlineStr">
        <is>
          <t>All ingredients on one side</t>
        </is>
      </c>
      <c r="M677" s="51" t="n">
        <v>21.9</v>
      </c>
      <c r="N677" s="7" t="inlineStr">
        <is>
          <t>Declared by the retailer</t>
        </is>
      </c>
      <c r="O677" s="54" t="n">
        <v>21.9</v>
      </c>
      <c r="P677" s="54" t="n">
        <v>0</v>
      </c>
      <c r="Q677" s="7" t="inlineStr">
        <is>
          <t>yes</t>
        </is>
      </c>
      <c r="R677" s="7" t="inlineStr">
        <is>
          <t>whole</t>
        </is>
      </c>
      <c r="S677" s="7" t="inlineStr">
        <is>
          <t>FG1</t>
        </is>
      </c>
      <c r="T677" s="7" t="inlineStr">
        <is>
          <t>Seeds</t>
        </is>
      </c>
      <c r="U677" s="7" t="inlineStr">
        <is>
          <t>plant</t>
        </is>
      </c>
      <c r="V677" s="7" t="n"/>
      <c r="W677" s="7" t="n"/>
      <c r="X677" s="55" t="n">
        <v>1</v>
      </c>
      <c r="Y677" s="50" t="n">
        <v>0.15</v>
      </c>
      <c r="Z677" s="7" t="inlineStr">
        <is>
          <t>declared</t>
        </is>
      </c>
      <c r="AA677" s="19">
        <f>IF(ISBLANK(Welcome!D703),"",Welcome!D703)</f>
        <v/>
      </c>
      <c r="AB677" s="29">
        <f>IF(ISBLANK(Welcome!E703),"",Welcome!E703)</f>
        <v/>
      </c>
      <c r="AC677" s="29">
        <f>IF(N(AB677)&gt;0,N(AB677),N(AA677)*Y677)</f>
        <v/>
      </c>
      <c r="AD677" s="29">
        <f>IF(H677="yes",AC677,0)</f>
        <v/>
      </c>
      <c r="AE677" s="29">
        <f>AD677*N(M677)/100</f>
        <v/>
      </c>
      <c r="AF677" s="29">
        <f>AD677*N(O677)/100</f>
        <v/>
      </c>
      <c r="AG677" s="29">
        <f>AD677*N(P677)/100</f>
        <v/>
      </c>
      <c r="AH677" s="50">
        <f>IF(Q677="yes",AD677/1000,0)</f>
        <v/>
      </c>
      <c r="AI677" s="50">
        <f>IF(S677="FG2",AH677*X677,AH677)</f>
        <v/>
      </c>
    </row>
    <row r="678">
      <c r="A678" s="7" t="inlineStr">
        <is>
          <t>HM00571</t>
        </is>
      </c>
      <c r="B678" s="16" t="inlineStr">
        <is>
          <t>3012345402194</t>
        </is>
      </c>
      <c r="C678" s="7" t="inlineStr">
        <is>
          <t>PLANT NUGGETS 226G SOLVANE</t>
        </is>
      </c>
      <c r="D678" s="7" t="inlineStr">
        <is>
          <t>Plant-based nuggets, 226g</t>
        </is>
      </c>
      <c r="E678" s="7" t="inlineStr">
        <is>
          <t>Solvane</t>
        </is>
      </c>
      <c r="F678" s="7" t="inlineStr">
        <is>
          <t>Plant-Based</t>
        </is>
      </c>
      <c r="G678" s="7" t="inlineStr">
        <is>
          <t>Meat Alternatives</t>
        </is>
      </c>
      <c r="H678" s="7" t="inlineStr">
        <is>
          <t>yes</t>
        </is>
      </c>
      <c r="I678" s="7" t="inlineStr">
        <is>
          <t>Plant-based core</t>
        </is>
      </c>
      <c r="J678" s="7" t="inlineStr">
        <is>
          <t>Plant-based meat alternatives</t>
        </is>
      </c>
      <c r="K678" s="7" t="inlineStr">
        <is>
          <t>A</t>
        </is>
      </c>
      <c r="L678" s="7" t="inlineStr">
        <is>
          <t>All ingredients on one side</t>
        </is>
      </c>
      <c r="M678" s="51" t="n">
        <v>12.3</v>
      </c>
      <c r="N678" s="7" t="inlineStr">
        <is>
          <t>Open Food Facts and NEVO, by EAN</t>
        </is>
      </c>
      <c r="O678" s="54" t="n">
        <v>12.3</v>
      </c>
      <c r="P678" s="54" t="n">
        <v>0</v>
      </c>
      <c r="Q678" s="7" t="inlineStr">
        <is>
          <t>yes</t>
        </is>
      </c>
      <c r="R678" s="7" t="inlineStr">
        <is>
          <t>whole</t>
        </is>
      </c>
      <c r="S678" s="7" t="inlineStr">
        <is>
          <t>FG1</t>
        </is>
      </c>
      <c r="T678" s="7" t="inlineStr">
        <is>
          <t>Alternative products</t>
        </is>
      </c>
      <c r="U678" s="7" t="inlineStr">
        <is>
          <t>plant</t>
        </is>
      </c>
      <c r="V678" s="7" t="n"/>
      <c r="W678" s="7" t="n"/>
      <c r="X678" s="55" t="n">
        <v>1</v>
      </c>
      <c r="Y678" s="50" t="n">
        <v>0.226</v>
      </c>
      <c r="Z678" s="7" t="inlineStr">
        <is>
          <t>declared</t>
        </is>
      </c>
      <c r="AA678" s="19">
        <f>IF(ISBLANK(Welcome!D704),"",Welcome!D704)</f>
        <v/>
      </c>
      <c r="AB678" s="29">
        <f>IF(ISBLANK(Welcome!E704),"",Welcome!E704)</f>
        <v/>
      </c>
      <c r="AC678" s="29">
        <f>IF(N(AB678)&gt;0,N(AB678),N(AA678)*Y678)</f>
        <v/>
      </c>
      <c r="AD678" s="29">
        <f>IF(H678="yes",AC678,0)</f>
        <v/>
      </c>
      <c r="AE678" s="29">
        <f>AD678*N(M678)/100</f>
        <v/>
      </c>
      <c r="AF678" s="29">
        <f>AD678*N(O678)/100</f>
        <v/>
      </c>
      <c r="AG678" s="29">
        <f>AD678*N(P678)/100</f>
        <v/>
      </c>
      <c r="AH678" s="50">
        <f>IF(Q678="yes",AD678/1000,0)</f>
        <v/>
      </c>
      <c r="AI678" s="50">
        <f>IF(S678="FG2",AH678*X678,AH678)</f>
        <v/>
      </c>
    </row>
    <row r="679">
      <c r="A679" s="7" t="inlineStr">
        <is>
          <t>HM00762</t>
        </is>
      </c>
      <c r="B679" s="16" t="inlineStr">
        <is>
          <t>5012345071312</t>
        </is>
      </c>
      <c r="C679" s="7" t="inlineStr">
        <is>
          <t>HM MIXED PEPPERS EACH</t>
        </is>
      </c>
      <c r="D679" s="7" t="inlineStr">
        <is>
          <t>Mixed peppers</t>
        </is>
      </c>
      <c r="E679" s="7" t="inlineStr">
        <is>
          <t>Harbour Market</t>
        </is>
      </c>
      <c r="F679" s="7" t="inlineStr">
        <is>
          <t>Fruit &amp; Vegetables</t>
        </is>
      </c>
      <c r="G679" s="7" t="inlineStr">
        <is>
          <t>Vegetables</t>
        </is>
      </c>
      <c r="H679" s="7" t="inlineStr">
        <is>
          <t>yes</t>
        </is>
      </c>
      <c r="I679" s="7" t="inlineStr">
        <is>
          <t>Plant-based non-core</t>
        </is>
      </c>
      <c r="J679" s="7" t="inlineStr">
        <is>
          <t>Fruit and vegetables</t>
        </is>
      </c>
      <c r="K679" s="7" t="inlineStr">
        <is>
          <t>B</t>
        </is>
      </c>
      <c r="L679" s="7" t="inlineStr">
        <is>
          <t>Follows the class</t>
        </is>
      </c>
      <c r="M679" s="51" t="n">
        <v>0.85</v>
      </c>
      <c r="N679" s="7" t="inlineStr">
        <is>
          <t>Median of the family</t>
        </is>
      </c>
      <c r="O679" s="54" t="n">
        <v>0.85</v>
      </c>
      <c r="P679" s="54" t="n">
        <v>0</v>
      </c>
      <c r="Q679" s="7" t="inlineStr">
        <is>
          <t>yes</t>
        </is>
      </c>
      <c r="R679" s="7" t="inlineStr">
        <is>
          <t>whole</t>
        </is>
      </c>
      <c r="S679" s="7" t="inlineStr">
        <is>
          <t>FG4</t>
        </is>
      </c>
      <c r="T679" s="7" t="n"/>
      <c r="U679" s="7" t="inlineStr">
        <is>
          <t>plant</t>
        </is>
      </c>
      <c r="V679" s="7" t="n"/>
      <c r="W679" s="7" t="n"/>
      <c r="X679" s="55" t="n">
        <v>1</v>
      </c>
      <c r="Y679" s="50" t="n">
        <v>0.16</v>
      </c>
      <c r="Z679" s="7" t="inlineStr">
        <is>
          <t>typical_piece</t>
        </is>
      </c>
      <c r="AA679" s="19">
        <f>IF(ISBLANK(Welcome!D705),"",Welcome!D705)</f>
        <v/>
      </c>
      <c r="AB679" s="29">
        <f>IF(ISBLANK(Welcome!E705),"",Welcome!E705)</f>
        <v/>
      </c>
      <c r="AC679" s="29">
        <f>IF(N(AB679)&gt;0,N(AB679),N(AA679)*Y679)</f>
        <v/>
      </c>
      <c r="AD679" s="29">
        <f>IF(H679="yes",AC679,0)</f>
        <v/>
      </c>
      <c r="AE679" s="29">
        <f>AD679*N(M679)/100</f>
        <v/>
      </c>
      <c r="AF679" s="29">
        <f>AD679*N(O679)/100</f>
        <v/>
      </c>
      <c r="AG679" s="29">
        <f>AD679*N(P679)/100</f>
        <v/>
      </c>
      <c r="AH679" s="50">
        <f>IF(Q679="yes",AD679/1000,0)</f>
        <v/>
      </c>
      <c r="AI679" s="50">
        <f>IF(S679="FG2",AH679*X679,AH679)</f>
        <v/>
      </c>
    </row>
    <row r="680">
      <c r="A680" s="7" t="inlineStr">
        <is>
          <t>HM00034</t>
        </is>
      </c>
      <c r="B680" s="16" t="inlineStr">
        <is>
          <t>8712345337230</t>
        </is>
      </c>
      <c r="C680" s="7" t="inlineStr">
        <is>
          <t>BRAMBLECOTE DIGESTIVE BISCUITS 300G</t>
        </is>
      </c>
      <c r="D680" s="7" t="inlineStr">
        <is>
          <t>Digestive biscuits, 300g</t>
        </is>
      </c>
      <c r="E680" s="7" t="inlineStr">
        <is>
          <t>Bramblecote</t>
        </is>
      </c>
      <c r="F680" s="7" t="inlineStr">
        <is>
          <t>Breakfast &amp; Snacks</t>
        </is>
      </c>
      <c r="G680" s="7" t="inlineStr">
        <is>
          <t>Biscuits</t>
        </is>
      </c>
      <c r="H680" s="7" t="inlineStr">
        <is>
          <t>yes</t>
        </is>
      </c>
      <c r="I680" s="7" t="inlineStr">
        <is>
          <t>Plant-based non-core</t>
        </is>
      </c>
      <c r="J680" s="7" t="inlineStr">
        <is>
          <t>Discretionary products</t>
        </is>
      </c>
      <c r="K680" s="7" t="inlineStr">
        <is>
          <t>B</t>
        </is>
      </c>
      <c r="L680" s="7" t="inlineStr">
        <is>
          <t>Follows the class</t>
        </is>
      </c>
      <c r="M680" s="51" t="n">
        <v>7</v>
      </c>
      <c r="N680" s="7" t="inlineStr">
        <is>
          <t>Declared by the retailer</t>
        </is>
      </c>
      <c r="O680" s="54" t="n">
        <v>7</v>
      </c>
      <c r="P680" s="54" t="n">
        <v>0</v>
      </c>
      <c r="Q680" s="7" t="inlineStr">
        <is>
          <t>yes</t>
        </is>
      </c>
      <c r="R680" s="7" t="inlineStr">
        <is>
          <t>whole</t>
        </is>
      </c>
      <c r="S680" s="7" t="inlineStr">
        <is>
          <t>FG7</t>
        </is>
      </c>
      <c r="T680" s="7" t="n"/>
      <c r="U680" s="7" t="inlineStr">
        <is>
          <t>plant</t>
        </is>
      </c>
      <c r="V680" s="7" t="n"/>
      <c r="W680" s="7" t="n"/>
      <c r="X680" s="55" t="n">
        <v>1</v>
      </c>
      <c r="Y680" s="50" t="n">
        <v>0.3</v>
      </c>
      <c r="Z680" s="7" t="inlineStr">
        <is>
          <t>declared</t>
        </is>
      </c>
      <c r="AA680" s="19">
        <f>IF(ISBLANK(Welcome!D706),"",Welcome!D706)</f>
        <v/>
      </c>
      <c r="AB680" s="29">
        <f>IF(ISBLANK(Welcome!E706),"",Welcome!E706)</f>
        <v/>
      </c>
      <c r="AC680" s="29">
        <f>IF(N(AB680)&gt;0,N(AB680),N(AA680)*Y680)</f>
        <v/>
      </c>
      <c r="AD680" s="29">
        <f>IF(H680="yes",AC680,0)</f>
        <v/>
      </c>
      <c r="AE680" s="29">
        <f>AD680*N(M680)/100</f>
        <v/>
      </c>
      <c r="AF680" s="29">
        <f>AD680*N(O680)/100</f>
        <v/>
      </c>
      <c r="AG680" s="29">
        <f>AD680*N(P680)/100</f>
        <v/>
      </c>
      <c r="AH680" s="50">
        <f>IF(Q680="yes",AD680/1000,0)</f>
        <v/>
      </c>
      <c r="AI680" s="50">
        <f>IF(S680="FG2",AH680*X680,AH680)</f>
        <v/>
      </c>
    </row>
    <row r="681">
      <c r="A681" s="7" t="inlineStr">
        <is>
          <t>HM00241</t>
        </is>
      </c>
      <c r="B681" s="16" t="inlineStr">
        <is>
          <t>4012345070354</t>
        </is>
      </c>
      <c r="C681" s="7" t="inlineStr">
        <is>
          <t>ALDERWICK MATURE CHEDDAR 10SL 250G</t>
        </is>
      </c>
      <c r="D681" s="7" t="inlineStr">
        <is>
          <t>Mature cheddar, 10sl 250g</t>
        </is>
      </c>
      <c r="E681" s="7" t="inlineStr">
        <is>
          <t>Alderwick</t>
        </is>
      </c>
      <c r="F681" s="7" t="inlineStr">
        <is>
          <t>Cheese</t>
        </is>
      </c>
      <c r="G681" s="7" t="inlineStr">
        <is>
          <t>Hard Cheese</t>
        </is>
      </c>
      <c r="H681" s="7" t="inlineStr">
        <is>
          <t>yes</t>
        </is>
      </c>
      <c r="I681" s="7" t="inlineStr">
        <is>
          <t>Animal core</t>
        </is>
      </c>
      <c r="J681" s="7" t="inlineStr">
        <is>
          <t>Cheese</t>
        </is>
      </c>
      <c r="K681" s="7" t="inlineStr">
        <is>
          <t>A</t>
        </is>
      </c>
      <c r="L681" s="7" t="inlineStr">
        <is>
          <t>All ingredients on one side</t>
        </is>
      </c>
      <c r="M681" s="51" t="n">
        <v>25</v>
      </c>
      <c r="N681" s="7" t="inlineStr">
        <is>
          <t>Declared by the retailer</t>
        </is>
      </c>
      <c r="O681" s="54" t="n">
        <v>0</v>
      </c>
      <c r="P681" s="54" t="n">
        <v>25</v>
      </c>
      <c r="Q681" s="7" t="inlineStr">
        <is>
          <t>yes</t>
        </is>
      </c>
      <c r="R681" s="7" t="inlineStr">
        <is>
          <t>whole</t>
        </is>
      </c>
      <c r="S681" s="7" t="inlineStr">
        <is>
          <t>FG2</t>
        </is>
      </c>
      <c r="T681" s="7" t="inlineStr">
        <is>
          <t>Dairy</t>
        </is>
      </c>
      <c r="U681" s="7" t="inlineStr">
        <is>
          <t>animal</t>
        </is>
      </c>
      <c r="V681" s="7" t="n"/>
      <c r="W681" s="7" t="n"/>
      <c r="X681" s="55" t="n">
        <v>10</v>
      </c>
      <c r="Y681" s="50" t="n">
        <v>0.25</v>
      </c>
      <c r="Z681" s="7" t="inlineStr">
        <is>
          <t>declared</t>
        </is>
      </c>
      <c r="AA681" s="19">
        <f>IF(ISBLANK(Welcome!D707),"",Welcome!D707)</f>
        <v/>
      </c>
      <c r="AB681" s="29">
        <f>IF(ISBLANK(Welcome!E707),"",Welcome!E707)</f>
        <v/>
      </c>
      <c r="AC681" s="29">
        <f>IF(N(AB681)&gt;0,N(AB681),N(AA681)*Y681)</f>
        <v/>
      </c>
      <c r="AD681" s="29">
        <f>IF(H681="yes",AC681,0)</f>
        <v/>
      </c>
      <c r="AE681" s="29">
        <f>AD681*N(M681)/100</f>
        <v/>
      </c>
      <c r="AF681" s="29">
        <f>AD681*N(O681)/100</f>
        <v/>
      </c>
      <c r="AG681" s="29">
        <f>AD681*N(P681)/100</f>
        <v/>
      </c>
      <c r="AH681" s="50">
        <f>IF(Q681="yes",AD681/1000,0)</f>
        <v/>
      </c>
      <c r="AI681" s="50">
        <f>IF(S681="FG2",AH681*X681,AH681)</f>
        <v/>
      </c>
    </row>
    <row r="682">
      <c r="A682" s="7" t="inlineStr">
        <is>
          <t>HM00588</t>
        </is>
      </c>
      <c r="B682" s="16" t="inlineStr">
        <is>
          <t>3012345471862</t>
        </is>
      </c>
      <c r="C682" s="7" t="inlineStr">
        <is>
          <t>HM COFFEE BEANS 80PK 250G</t>
        </is>
      </c>
      <c r="D682" s="7" t="inlineStr">
        <is>
          <t>Whole coffee beans, 80pk 250g</t>
        </is>
      </c>
      <c r="E682" s="7" t="inlineStr">
        <is>
          <t>Harbour Market</t>
        </is>
      </c>
      <c r="F682" s="7" t="inlineStr">
        <is>
          <t>Grocery</t>
        </is>
      </c>
      <c r="G682" s="7" t="inlineStr">
        <is>
          <t>Tea &amp; Coffee</t>
        </is>
      </c>
      <c r="H682" s="7" t="inlineStr">
        <is>
          <t>yes</t>
        </is>
      </c>
      <c r="I682" s="7" t="inlineStr">
        <is>
          <t>Plant-based non-core</t>
        </is>
      </c>
      <c r="J682" s="7" t="inlineStr">
        <is>
          <t>Outside the WWF scope</t>
        </is>
      </c>
      <c r="K682" s="7" t="inlineStr">
        <is>
          <t>A</t>
        </is>
      </c>
      <c r="L682" s="7" t="inlineStr">
        <is>
          <t>All ingredients on one side</t>
        </is>
      </c>
      <c r="M682" s="51" t="n">
        <v>12.7</v>
      </c>
      <c r="N682" s="7" t="inlineStr">
        <is>
          <t>Altera reference base</t>
        </is>
      </c>
      <c r="O682" s="54" t="n">
        <v>12.7</v>
      </c>
      <c r="P682" s="54" t="n">
        <v>0</v>
      </c>
      <c r="Q682" s="7" t="inlineStr">
        <is>
          <t>no</t>
        </is>
      </c>
      <c r="R682" s="7" t="n"/>
      <c r="S682" s="7" t="n"/>
      <c r="T682" s="7" t="n"/>
      <c r="U682" s="7" t="n"/>
      <c r="V682" s="7" t="n"/>
      <c r="W682" s="7" t="inlineStr">
        <is>
          <t>coffee tea</t>
        </is>
      </c>
      <c r="X682" s="55" t="n">
        <v>1</v>
      </c>
      <c r="Y682" s="50" t="n">
        <v>0.25</v>
      </c>
      <c r="Z682" s="7" t="inlineStr">
        <is>
          <t>declared</t>
        </is>
      </c>
      <c r="AA682" s="19">
        <f>IF(ISBLANK(Welcome!D708),"",Welcome!D708)</f>
        <v/>
      </c>
      <c r="AB682" s="29">
        <f>IF(ISBLANK(Welcome!E708),"",Welcome!E708)</f>
        <v/>
      </c>
      <c r="AC682" s="29">
        <f>IF(N(AB682)&gt;0,N(AB682),N(AA682)*Y682)</f>
        <v/>
      </c>
      <c r="AD682" s="29">
        <f>IF(H682="yes",AC682,0)</f>
        <v/>
      </c>
      <c r="AE682" s="29">
        <f>AD682*N(M682)/100</f>
        <v/>
      </c>
      <c r="AF682" s="29">
        <f>AD682*N(O682)/100</f>
        <v/>
      </c>
      <c r="AG682" s="29">
        <f>AD682*N(P682)/100</f>
        <v/>
      </c>
      <c r="AH682" s="50">
        <f>IF(Q682="yes",AD682/1000,0)</f>
        <v/>
      </c>
      <c r="AI682" s="50">
        <f>IF(S682="FG2",AH682*X682,AH682)</f>
        <v/>
      </c>
    </row>
    <row r="683">
      <c r="A683" s="7" t="inlineStr">
        <is>
          <t>HM00452</t>
        </is>
      </c>
      <c r="B683" s="16" t="inlineStr">
        <is>
          <t>3012345967334</t>
        </is>
      </c>
      <c r="C683" s="7" t="inlineStr">
        <is>
          <t>HM BUTTER SHORTBREAD 200G</t>
        </is>
      </c>
      <c r="D683" s="7" t="inlineStr">
        <is>
          <t>All-butter shortbread, 200g</t>
        </is>
      </c>
      <c r="E683" s="7" t="inlineStr">
        <is>
          <t>Harbour Market</t>
        </is>
      </c>
      <c r="F683" s="7" t="inlineStr">
        <is>
          <t>Breakfast &amp; Snacks</t>
        </is>
      </c>
      <c r="G683" s="7" t="inlineStr">
        <is>
          <t>Biscuits</t>
        </is>
      </c>
      <c r="H683" s="7" t="inlineStr">
        <is>
          <t>yes</t>
        </is>
      </c>
      <c r="I683" s="7" t="inlineStr">
        <is>
          <t>Animal &amp; plant composite</t>
        </is>
      </c>
      <c r="J683" s="7" t="inlineStr">
        <is>
          <t>Discretionary products</t>
        </is>
      </c>
      <c r="K683" s="7" t="inlineStr">
        <is>
          <t>B</t>
        </is>
      </c>
      <c r="L683" s="7" t="inlineStr">
        <is>
          <t>50/50 convention</t>
        </is>
      </c>
      <c r="M683" s="51" t="n">
        <v>6.5</v>
      </c>
      <c r="N683" s="7" t="inlineStr">
        <is>
          <t>Declared by the retailer</t>
        </is>
      </c>
      <c r="O683" s="54" t="n">
        <v>3.25</v>
      </c>
      <c r="P683" s="54" t="n">
        <v>3.25</v>
      </c>
      <c r="Q683" s="7" t="inlineStr">
        <is>
          <t>yes</t>
        </is>
      </c>
      <c r="R683" s="7" t="inlineStr">
        <is>
          <t>whole</t>
        </is>
      </c>
      <c r="S683" s="7" t="inlineStr">
        <is>
          <t>FG7</t>
        </is>
      </c>
      <c r="T683" s="7" t="n"/>
      <c r="U683" s="7" t="inlineStr">
        <is>
          <t>plant</t>
        </is>
      </c>
      <c r="V683" s="7" t="n"/>
      <c r="W683" s="7" t="n"/>
      <c r="X683" s="55" t="n">
        <v>1</v>
      </c>
      <c r="Y683" s="50" t="n">
        <v>0.2</v>
      </c>
      <c r="Z683" s="7" t="inlineStr">
        <is>
          <t>declared</t>
        </is>
      </c>
      <c r="AA683" s="19">
        <f>IF(ISBLANK(Welcome!D709),"",Welcome!D709)</f>
        <v/>
      </c>
      <c r="AB683" s="29">
        <f>IF(ISBLANK(Welcome!E709),"",Welcome!E709)</f>
        <v/>
      </c>
      <c r="AC683" s="29">
        <f>IF(N(AB683)&gt;0,N(AB683),N(AA683)*Y683)</f>
        <v/>
      </c>
      <c r="AD683" s="29">
        <f>IF(H683="yes",AC683,0)</f>
        <v/>
      </c>
      <c r="AE683" s="29">
        <f>AD683*N(M683)/100</f>
        <v/>
      </c>
      <c r="AF683" s="29">
        <f>AD683*N(O683)/100</f>
        <v/>
      </c>
      <c r="AG683" s="29">
        <f>AD683*N(P683)/100</f>
        <v/>
      </c>
      <c r="AH683" s="50">
        <f>IF(Q683="yes",AD683/1000,0)</f>
        <v/>
      </c>
      <c r="AI683" s="50">
        <f>IF(S683="FG2",AH683*X683,AH683)</f>
        <v/>
      </c>
    </row>
    <row r="684">
      <c r="A684" s="7" t="inlineStr">
        <is>
          <t>HM00759</t>
        </is>
      </c>
      <c r="B684" s="16" t="inlineStr">
        <is>
          <t>5012345175638</t>
        </is>
      </c>
      <c r="C684" s="7" t="inlineStr">
        <is>
          <t>HM CASHEW NUTS 200G</t>
        </is>
      </c>
      <c r="D684" s="7" t="inlineStr">
        <is>
          <t>Cashew nuts, 200g</t>
        </is>
      </c>
      <c r="E684" s="7" t="inlineStr">
        <is>
          <t>Harbour Market</t>
        </is>
      </c>
      <c r="F684" s="7" t="inlineStr">
        <is>
          <t>Grocery</t>
        </is>
      </c>
      <c r="G684" s="7" t="inlineStr">
        <is>
          <t>Nuts &amp; Seeds</t>
        </is>
      </c>
      <c r="H684" s="7" t="inlineStr">
        <is>
          <t>yes</t>
        </is>
      </c>
      <c r="I684" s="7" t="inlineStr">
        <is>
          <t>Plant-based core</t>
        </is>
      </c>
      <c r="J684" s="7" t="inlineStr">
        <is>
          <t>Nuts</t>
        </is>
      </c>
      <c r="K684" s="7" t="inlineStr">
        <is>
          <t>A</t>
        </is>
      </c>
      <c r="L684" s="7" t="inlineStr">
        <is>
          <t>All ingredients on one side</t>
        </is>
      </c>
      <c r="M684" s="51" t="n">
        <v>16.9</v>
      </c>
      <c r="N684" s="7" t="inlineStr">
        <is>
          <t>Declared by the retailer</t>
        </is>
      </c>
      <c r="O684" s="54" t="n">
        <v>16.9</v>
      </c>
      <c r="P684" s="54" t="n">
        <v>0</v>
      </c>
      <c r="Q684" s="7" t="inlineStr">
        <is>
          <t>yes</t>
        </is>
      </c>
      <c r="R684" s="7" t="inlineStr">
        <is>
          <t>whole</t>
        </is>
      </c>
      <c r="S684" s="7" t="inlineStr">
        <is>
          <t>FG1</t>
        </is>
      </c>
      <c r="T684" s="7" t="inlineStr">
        <is>
          <t>Nuts</t>
        </is>
      </c>
      <c r="U684" s="7" t="inlineStr">
        <is>
          <t>plant</t>
        </is>
      </c>
      <c r="V684" s="7" t="n"/>
      <c r="W684" s="7" t="n"/>
      <c r="X684" s="55" t="n">
        <v>1</v>
      </c>
      <c r="Y684" s="50" t="n">
        <v>0.2</v>
      </c>
      <c r="Z684" s="7" t="inlineStr">
        <is>
          <t>declared</t>
        </is>
      </c>
      <c r="AA684" s="19">
        <f>IF(ISBLANK(Welcome!D710),"",Welcome!D710)</f>
        <v/>
      </c>
      <c r="AB684" s="29">
        <f>IF(ISBLANK(Welcome!E710),"",Welcome!E710)</f>
        <v/>
      </c>
      <c r="AC684" s="29">
        <f>IF(N(AB684)&gt;0,N(AB684),N(AA684)*Y684)</f>
        <v/>
      </c>
      <c r="AD684" s="29">
        <f>IF(H684="yes",AC684,0)</f>
        <v/>
      </c>
      <c r="AE684" s="29">
        <f>AD684*N(M684)/100</f>
        <v/>
      </c>
      <c r="AF684" s="29">
        <f>AD684*N(O684)/100</f>
        <v/>
      </c>
      <c r="AG684" s="29">
        <f>AD684*N(P684)/100</f>
        <v/>
      </c>
      <c r="AH684" s="50">
        <f>IF(Q684="yes",AD684/1000,0)</f>
        <v/>
      </c>
      <c r="AI684" s="50">
        <f>IF(S684="FG2",AH684*X684,AH684)</f>
        <v/>
      </c>
    </row>
    <row r="685">
      <c r="A685" s="7" t="inlineStr">
        <is>
          <t>HM00466</t>
        </is>
      </c>
      <c r="B685" s="16" t="inlineStr">
        <is>
          <t>5012345385662</t>
        </is>
      </c>
      <c r="C685" s="7" t="inlineStr">
        <is>
          <t>HM CHOC ICE CREAM 4X110ML</t>
        </is>
      </c>
      <c r="D685" s="7" t="inlineStr">
        <is>
          <t>Chocolate ice cream, 4x110ml</t>
        </is>
      </c>
      <c r="E685" s="7" t="inlineStr">
        <is>
          <t>Harbour Market</t>
        </is>
      </c>
      <c r="F685" s="7" t="inlineStr">
        <is>
          <t>Frozen</t>
        </is>
      </c>
      <c r="G685" s="7" t="inlineStr">
        <is>
          <t>Ice Cream</t>
        </is>
      </c>
      <c r="H685" s="7" t="inlineStr">
        <is>
          <t>yes</t>
        </is>
      </c>
      <c r="I685" s="7" t="inlineStr">
        <is>
          <t>Animal core</t>
        </is>
      </c>
      <c r="J685" s="7" t="inlineStr">
        <is>
          <t>Discretionary products</t>
        </is>
      </c>
      <c r="K685" s="7" t="inlineStr">
        <is>
          <t>B</t>
        </is>
      </c>
      <c r="L685" s="7" t="inlineStr">
        <is>
          <t>First ingredient</t>
        </is>
      </c>
      <c r="M685" s="51" t="n">
        <v>3.5</v>
      </c>
      <c r="N685" s="7" t="inlineStr">
        <is>
          <t>Declared by the retailer</t>
        </is>
      </c>
      <c r="O685" s="54" t="n">
        <v>0</v>
      </c>
      <c r="P685" s="54" t="n">
        <v>3.5</v>
      </c>
      <c r="Q685" s="7" t="inlineStr">
        <is>
          <t>yes</t>
        </is>
      </c>
      <c r="R685" s="7" t="inlineStr">
        <is>
          <t>whole</t>
        </is>
      </c>
      <c r="S685" s="7" t="inlineStr">
        <is>
          <t>FG7</t>
        </is>
      </c>
      <c r="T685" s="7" t="n"/>
      <c r="U685" s="7" t="inlineStr">
        <is>
          <t>animal</t>
        </is>
      </c>
      <c r="V685" s="7" t="n"/>
      <c r="W685" s="7" t="n"/>
      <c r="X685" s="55" t="n">
        <v>1</v>
      </c>
      <c r="Y685" s="50" t="n">
        <v>0.28</v>
      </c>
      <c r="Z685" s="7" t="inlineStr">
        <is>
          <t>declared</t>
        </is>
      </c>
      <c r="AA685" s="19">
        <f>IF(ISBLANK(Welcome!D711),"",Welcome!D711)</f>
        <v/>
      </c>
      <c r="AB685" s="29">
        <f>IF(ISBLANK(Welcome!E711),"",Welcome!E711)</f>
        <v/>
      </c>
      <c r="AC685" s="29">
        <f>IF(N(AB685)&gt;0,N(AB685),N(AA685)*Y685)</f>
        <v/>
      </c>
      <c r="AD685" s="29">
        <f>IF(H685="yes",AC685,0)</f>
        <v/>
      </c>
      <c r="AE685" s="29">
        <f>AD685*N(M685)/100</f>
        <v/>
      </c>
      <c r="AF685" s="29">
        <f>AD685*N(O685)/100</f>
        <v/>
      </c>
      <c r="AG685" s="29">
        <f>AD685*N(P685)/100</f>
        <v/>
      </c>
      <c r="AH685" s="50">
        <f>IF(Q685="yes",AD685/1000,0)</f>
        <v/>
      </c>
      <c r="AI685" s="50">
        <f>IF(S685="FG2",AH685*X685,AH685)</f>
        <v/>
      </c>
    </row>
    <row r="686">
      <c r="A686" s="7" t="inlineStr">
        <is>
          <t>HM00675</t>
        </is>
      </c>
      <c r="B686" s="16" t="inlineStr">
        <is>
          <t>8712345165192</t>
        </is>
      </c>
      <c r="C686" s="7" t="inlineStr">
        <is>
          <t>WHOLE ALMONDS 200G PENROCK</t>
        </is>
      </c>
      <c r="D686" s="7" t="inlineStr">
        <is>
          <t>Whole almonds, 200g</t>
        </is>
      </c>
      <c r="E686" s="7" t="inlineStr">
        <is>
          <t>Penrock</t>
        </is>
      </c>
      <c r="F686" s="7" t="inlineStr">
        <is>
          <t>Grocery</t>
        </is>
      </c>
      <c r="G686" s="7" t="inlineStr">
        <is>
          <t>Nuts &amp; Seeds</t>
        </is>
      </c>
      <c r="H686" s="7" t="inlineStr">
        <is>
          <t>yes</t>
        </is>
      </c>
      <c r="I686" s="7" t="inlineStr">
        <is>
          <t>Plant-based core</t>
        </is>
      </c>
      <c r="J686" s="7" t="inlineStr">
        <is>
          <t>Nuts</t>
        </is>
      </c>
      <c r="K686" s="7" t="inlineStr">
        <is>
          <t>A</t>
        </is>
      </c>
      <c r="L686" s="7" t="inlineStr">
        <is>
          <t>All ingredients on one side</t>
        </is>
      </c>
      <c r="M686" s="51" t="n">
        <v>21.4</v>
      </c>
      <c r="N686" s="7" t="inlineStr">
        <is>
          <t>Altera reference base</t>
        </is>
      </c>
      <c r="O686" s="54" t="n">
        <v>21.4</v>
      </c>
      <c r="P686" s="54" t="n">
        <v>0</v>
      </c>
      <c r="Q686" s="7" t="inlineStr">
        <is>
          <t>yes</t>
        </is>
      </c>
      <c r="R686" s="7" t="inlineStr">
        <is>
          <t>whole</t>
        </is>
      </c>
      <c r="S686" s="7" t="inlineStr">
        <is>
          <t>FG1</t>
        </is>
      </c>
      <c r="T686" s="7" t="inlineStr">
        <is>
          <t>Nuts</t>
        </is>
      </c>
      <c r="U686" s="7" t="inlineStr">
        <is>
          <t>plant</t>
        </is>
      </c>
      <c r="V686" s="7" t="n"/>
      <c r="W686" s="7" t="n"/>
      <c r="X686" s="55" t="n">
        <v>1</v>
      </c>
      <c r="Y686" s="50" t="n">
        <v>0.2</v>
      </c>
      <c r="Z686" s="7" t="inlineStr">
        <is>
          <t>declared</t>
        </is>
      </c>
      <c r="AA686" s="19">
        <f>IF(ISBLANK(Welcome!D712),"",Welcome!D712)</f>
        <v/>
      </c>
      <c r="AB686" s="29">
        <f>IF(ISBLANK(Welcome!E712),"",Welcome!E712)</f>
        <v/>
      </c>
      <c r="AC686" s="29">
        <f>IF(N(AB686)&gt;0,N(AB686),N(AA686)*Y686)</f>
        <v/>
      </c>
      <c r="AD686" s="29">
        <f>IF(H686="yes",AC686,0)</f>
        <v/>
      </c>
      <c r="AE686" s="29">
        <f>AD686*N(M686)/100</f>
        <v/>
      </c>
      <c r="AF686" s="29">
        <f>AD686*N(O686)/100</f>
        <v/>
      </c>
      <c r="AG686" s="29">
        <f>AD686*N(P686)/100</f>
        <v/>
      </c>
      <c r="AH686" s="50">
        <f>IF(Q686="yes",AD686/1000,0)</f>
        <v/>
      </c>
      <c r="AI686" s="50">
        <f>IF(S686="FG2",AH686*X686,AH686)</f>
        <v/>
      </c>
    </row>
    <row r="687">
      <c r="A687" s="7" t="inlineStr">
        <is>
          <t>HM00235</t>
        </is>
      </c>
      <c r="B687" s="16" t="inlineStr">
        <is>
          <t>3012345634410</t>
        </is>
      </c>
      <c r="C687" s="7" t="inlineStr">
        <is>
          <t>HM BAKED BEANS TOM SCE 410G</t>
        </is>
      </c>
      <c r="D687" s="7" t="inlineStr">
        <is>
          <t>Baked beans in tomato sauce, 410g</t>
        </is>
      </c>
      <c r="E687" s="7" t="inlineStr">
        <is>
          <t>Harbour Market</t>
        </is>
      </c>
      <c r="F687" s="7" t="inlineStr">
        <is>
          <t>Grocery</t>
        </is>
      </c>
      <c r="G687" s="7" t="inlineStr">
        <is>
          <t>Pulses</t>
        </is>
      </c>
      <c r="H687" s="7" t="inlineStr">
        <is>
          <t>yes</t>
        </is>
      </c>
      <c r="I687" s="7" t="inlineStr">
        <is>
          <t>Plant-based core</t>
        </is>
      </c>
      <c r="J687" s="7" t="inlineStr">
        <is>
          <t>Pulses</t>
        </is>
      </c>
      <c r="K687" s="7" t="inlineStr">
        <is>
          <t>A</t>
        </is>
      </c>
      <c r="L687" s="7" t="inlineStr">
        <is>
          <t>All ingredients on one side</t>
        </is>
      </c>
      <c r="M687" s="51" t="n">
        <v>4.8</v>
      </c>
      <c r="N687" s="7" t="inlineStr">
        <is>
          <t>National food table (CIQUAL in France)</t>
        </is>
      </c>
      <c r="O687" s="54" t="n">
        <v>4.8</v>
      </c>
      <c r="P687" s="54" t="n">
        <v>0</v>
      </c>
      <c r="Q687" s="7" t="inlineStr">
        <is>
          <t>yes</t>
        </is>
      </c>
      <c r="R687" s="7" t="inlineStr">
        <is>
          <t>whole</t>
        </is>
      </c>
      <c r="S687" s="7" t="inlineStr">
        <is>
          <t>FG1</t>
        </is>
      </c>
      <c r="T687" s="7" t="inlineStr">
        <is>
          <t>Pulses</t>
        </is>
      </c>
      <c r="U687" s="7" t="inlineStr">
        <is>
          <t>plant</t>
        </is>
      </c>
      <c r="V687" s="7" t="n"/>
      <c r="W687" s="7" t="n"/>
      <c r="X687" s="55" t="n">
        <v>1</v>
      </c>
      <c r="Y687" s="50" t="n">
        <v>0.41</v>
      </c>
      <c r="Z687" s="7" t="inlineStr">
        <is>
          <t>declared</t>
        </is>
      </c>
      <c r="AA687" s="19">
        <f>IF(ISBLANK(Welcome!D713),"",Welcome!D713)</f>
        <v/>
      </c>
      <c r="AB687" s="29">
        <f>IF(ISBLANK(Welcome!E713),"",Welcome!E713)</f>
        <v/>
      </c>
      <c r="AC687" s="29">
        <f>IF(N(AB687)&gt;0,N(AB687),N(AA687)*Y687)</f>
        <v/>
      </c>
      <c r="AD687" s="29">
        <f>IF(H687="yes",AC687,0)</f>
        <v/>
      </c>
      <c r="AE687" s="29">
        <f>AD687*N(M687)/100</f>
        <v/>
      </c>
      <c r="AF687" s="29">
        <f>AD687*N(O687)/100</f>
        <v/>
      </c>
      <c r="AG687" s="29">
        <f>AD687*N(P687)/100</f>
        <v/>
      </c>
      <c r="AH687" s="50">
        <f>IF(Q687="yes",AD687/1000,0)</f>
        <v/>
      </c>
      <c r="AI687" s="50">
        <f>IF(S687="FG2",AH687*X687,AH687)</f>
        <v/>
      </c>
    </row>
    <row r="688">
      <c r="A688" s="7" t="inlineStr">
        <is>
          <t>HM00020</t>
        </is>
      </c>
      <c r="B688" s="16" t="inlineStr">
        <is>
          <t>8712345090920</t>
        </is>
      </c>
      <c r="C688" s="7" t="inlineStr">
        <is>
          <t>HM SMKD TOFU 200G</t>
        </is>
      </c>
      <c r="D688" s="7" t="inlineStr">
        <is>
          <t>Smoked tofu, 200g</t>
        </is>
      </c>
      <c r="E688" s="7" t="inlineStr">
        <is>
          <t>Harbour Market</t>
        </is>
      </c>
      <c r="F688" s="7" t="inlineStr">
        <is>
          <t>Plant-Based</t>
        </is>
      </c>
      <c r="G688" s="7" t="inlineStr">
        <is>
          <t>Tofu &amp; Tempeh</t>
        </is>
      </c>
      <c r="H688" s="7" t="inlineStr">
        <is>
          <t>yes</t>
        </is>
      </c>
      <c r="I688" s="7" t="inlineStr">
        <is>
          <t>Plant-based core</t>
        </is>
      </c>
      <c r="J688" s="7" t="inlineStr">
        <is>
          <t>Tofu, tempeh, seitan</t>
        </is>
      </c>
      <c r="K688" s="7" t="inlineStr">
        <is>
          <t>B</t>
        </is>
      </c>
      <c r="L688" s="7" t="inlineStr">
        <is>
          <t>Follows the class</t>
        </is>
      </c>
      <c r="M688" s="51" t="n">
        <v>12.5</v>
      </c>
      <c r="N688" s="7" t="inlineStr">
        <is>
          <t>Open Food Facts and NEVO, by EAN</t>
        </is>
      </c>
      <c r="O688" s="54" t="n">
        <v>12.5</v>
      </c>
      <c r="P688" s="54" t="n">
        <v>0</v>
      </c>
      <c r="Q688" s="7" t="inlineStr">
        <is>
          <t>yes</t>
        </is>
      </c>
      <c r="R688" s="7" t="inlineStr">
        <is>
          <t>whole</t>
        </is>
      </c>
      <c r="S688" s="7" t="inlineStr">
        <is>
          <t>FG1</t>
        </is>
      </c>
      <c r="T688" s="7" t="inlineStr">
        <is>
          <t>Tofu, tempeh &amp; seitan</t>
        </is>
      </c>
      <c r="U688" s="7" t="inlineStr">
        <is>
          <t>plant</t>
        </is>
      </c>
      <c r="V688" s="7" t="n"/>
      <c r="W688" s="7" t="n"/>
      <c r="X688" s="55" t="n">
        <v>1</v>
      </c>
      <c r="Y688" s="50" t="n">
        <v>0.2</v>
      </c>
      <c r="Z688" s="7" t="inlineStr">
        <is>
          <t>declared</t>
        </is>
      </c>
      <c r="AA688" s="19">
        <f>IF(ISBLANK(Welcome!D714),"",Welcome!D714)</f>
        <v/>
      </c>
      <c r="AB688" s="29">
        <f>IF(ISBLANK(Welcome!E714),"",Welcome!E714)</f>
        <v/>
      </c>
      <c r="AC688" s="29">
        <f>IF(N(AB688)&gt;0,N(AB688),N(AA688)*Y688)</f>
        <v/>
      </c>
      <c r="AD688" s="29">
        <f>IF(H688="yes",AC688,0)</f>
        <v/>
      </c>
      <c r="AE688" s="29">
        <f>AD688*N(M688)/100</f>
        <v/>
      </c>
      <c r="AF688" s="29">
        <f>AD688*N(O688)/100</f>
        <v/>
      </c>
      <c r="AG688" s="29">
        <f>AD688*N(P688)/100</f>
        <v/>
      </c>
      <c r="AH688" s="50">
        <f>IF(Q688="yes",AD688/1000,0)</f>
        <v/>
      </c>
      <c r="AI688" s="50">
        <f>IF(S688="FG2",AH688*X688,AH688)</f>
        <v/>
      </c>
    </row>
    <row r="689">
      <c r="A689" s="7" t="inlineStr">
        <is>
          <t>HM00076</t>
        </is>
      </c>
      <c r="B689" s="16" t="inlineStr">
        <is>
          <t>4012345509809</t>
        </is>
      </c>
      <c r="C689" s="7" t="inlineStr">
        <is>
          <t>PLANT BURGERS 300G SOLVANE</t>
        </is>
      </c>
      <c r="D689" s="7" t="inlineStr">
        <is>
          <t>Plant-based burgers, 300g</t>
        </is>
      </c>
      <c r="E689" s="7" t="inlineStr">
        <is>
          <t>Solvane</t>
        </is>
      </c>
      <c r="F689" s="7" t="inlineStr">
        <is>
          <t>Plant-Based</t>
        </is>
      </c>
      <c r="G689" s="7" t="inlineStr">
        <is>
          <t>Meat Alternatives</t>
        </is>
      </c>
      <c r="H689" s="7" t="inlineStr">
        <is>
          <t>yes</t>
        </is>
      </c>
      <c r="I689" s="7" t="inlineStr">
        <is>
          <t>Plant-based core</t>
        </is>
      </c>
      <c r="J689" s="7" t="inlineStr">
        <is>
          <t>Plant-based meat alternatives</t>
        </is>
      </c>
      <c r="K689" s="7" t="inlineStr">
        <is>
          <t>A</t>
        </is>
      </c>
      <c r="L689" s="7" t="inlineStr">
        <is>
          <t>All ingredients on one side</t>
        </is>
      </c>
      <c r="M689" s="51" t="n">
        <v>15.5</v>
      </c>
      <c r="N689" s="7" t="inlineStr">
        <is>
          <t>Median of the family</t>
        </is>
      </c>
      <c r="O689" s="54" t="n">
        <v>15.5</v>
      </c>
      <c r="P689" s="54" t="n">
        <v>0</v>
      </c>
      <c r="Q689" s="7" t="inlineStr">
        <is>
          <t>yes</t>
        </is>
      </c>
      <c r="R689" s="7" t="inlineStr">
        <is>
          <t>whole</t>
        </is>
      </c>
      <c r="S689" s="7" t="inlineStr">
        <is>
          <t>FG1</t>
        </is>
      </c>
      <c r="T689" s="7" t="inlineStr">
        <is>
          <t>Alternative products</t>
        </is>
      </c>
      <c r="U689" s="7" t="inlineStr">
        <is>
          <t>plant</t>
        </is>
      </c>
      <c r="V689" s="7" t="n"/>
      <c r="W689" s="7" t="n"/>
      <c r="X689" s="55" t="n">
        <v>1</v>
      </c>
      <c r="Y689" s="50" t="n">
        <v>0.3</v>
      </c>
      <c r="Z689" s="7" t="inlineStr">
        <is>
          <t>label</t>
        </is>
      </c>
      <c r="AA689" s="19">
        <f>IF(ISBLANK(Welcome!D715),"",Welcome!D715)</f>
        <v/>
      </c>
      <c r="AB689" s="29">
        <f>IF(ISBLANK(Welcome!E715),"",Welcome!E715)</f>
        <v/>
      </c>
      <c r="AC689" s="29">
        <f>IF(N(AB689)&gt;0,N(AB689),N(AA689)*Y689)</f>
        <v/>
      </c>
      <c r="AD689" s="29">
        <f>IF(H689="yes",AC689,0)</f>
        <v/>
      </c>
      <c r="AE689" s="29">
        <f>AD689*N(M689)/100</f>
        <v/>
      </c>
      <c r="AF689" s="29">
        <f>AD689*N(O689)/100</f>
        <v/>
      </c>
      <c r="AG689" s="29">
        <f>AD689*N(P689)/100</f>
        <v/>
      </c>
      <c r="AH689" s="50">
        <f>IF(Q689="yes",AD689/1000,0)</f>
        <v/>
      </c>
      <c r="AI689" s="50">
        <f>IF(S689="FG2",AH689*X689,AH689)</f>
        <v/>
      </c>
    </row>
    <row r="690">
      <c r="A690" s="7" t="inlineStr">
        <is>
          <t>HM00195</t>
        </is>
      </c>
      <c r="B690" s="16" t="inlineStr">
        <is>
          <t>4012345646757</t>
        </is>
      </c>
      <c r="C690" s="7" t="inlineStr">
        <is>
          <t>COTTAGE CHEESE 250G ALDERWICK</t>
        </is>
      </c>
      <c r="D690" s="7" t="inlineStr">
        <is>
          <t>Cottage cheese, 250g</t>
        </is>
      </c>
      <c r="E690" s="7" t="inlineStr">
        <is>
          <t>Alderwick</t>
        </is>
      </c>
      <c r="F690" s="7" t="inlineStr">
        <is>
          <t>Cheese</t>
        </is>
      </c>
      <c r="G690" s="7" t="inlineStr">
        <is>
          <t>Fresh Cheese</t>
        </is>
      </c>
      <c r="H690" s="7" t="inlineStr">
        <is>
          <t>yes</t>
        </is>
      </c>
      <c r="I690" s="7" t="inlineStr">
        <is>
          <t>Animal core</t>
        </is>
      </c>
      <c r="J690" s="7" t="inlineStr">
        <is>
          <t>Cheese</t>
        </is>
      </c>
      <c r="K690" s="7" t="inlineStr">
        <is>
          <t>A</t>
        </is>
      </c>
      <c r="L690" s="7" t="inlineStr">
        <is>
          <t>All ingredients on one side</t>
        </is>
      </c>
      <c r="M690" s="51" t="n">
        <v>10.8</v>
      </c>
      <c r="N690" s="7" t="inlineStr">
        <is>
          <t>Declared by the retailer</t>
        </is>
      </c>
      <c r="O690" s="54" t="n">
        <v>0</v>
      </c>
      <c r="P690" s="54" t="n">
        <v>10.8</v>
      </c>
      <c r="Q690" s="7" t="inlineStr">
        <is>
          <t>yes</t>
        </is>
      </c>
      <c r="R690" s="7" t="inlineStr">
        <is>
          <t>whole</t>
        </is>
      </c>
      <c r="S690" s="7" t="inlineStr">
        <is>
          <t>FG2</t>
        </is>
      </c>
      <c r="T690" s="7" t="inlineStr">
        <is>
          <t>Dairy</t>
        </is>
      </c>
      <c r="U690" s="7" t="inlineStr">
        <is>
          <t>animal</t>
        </is>
      </c>
      <c r="V690" s="7" t="n"/>
      <c r="W690" s="7" t="n"/>
      <c r="X690" s="55" t="n">
        <v>1</v>
      </c>
      <c r="Y690" s="50" t="n">
        <v>0.25</v>
      </c>
      <c r="Z690" s="7" t="inlineStr">
        <is>
          <t>declared</t>
        </is>
      </c>
      <c r="AA690" s="19">
        <f>IF(ISBLANK(Welcome!D716),"",Welcome!D716)</f>
        <v/>
      </c>
      <c r="AB690" s="29">
        <f>IF(ISBLANK(Welcome!E716),"",Welcome!E716)</f>
        <v/>
      </c>
      <c r="AC690" s="29">
        <f>IF(N(AB690)&gt;0,N(AB690),N(AA690)*Y690)</f>
        <v/>
      </c>
      <c r="AD690" s="29">
        <f>IF(H690="yes",AC690,0)</f>
        <v/>
      </c>
      <c r="AE690" s="29">
        <f>AD690*N(M690)/100</f>
        <v/>
      </c>
      <c r="AF690" s="29">
        <f>AD690*N(O690)/100</f>
        <v/>
      </c>
      <c r="AG690" s="29">
        <f>AD690*N(P690)/100</f>
        <v/>
      </c>
      <c r="AH690" s="50">
        <f>IF(Q690="yes",AD690/1000,0)</f>
        <v/>
      </c>
      <c r="AI690" s="50">
        <f>IF(S690="FG2",AH690*X690,AH690)</f>
        <v/>
      </c>
    </row>
    <row r="691">
      <c r="A691" s="7" t="inlineStr">
        <is>
          <t>HM00356</t>
        </is>
      </c>
      <c r="B691" s="16" t="inlineStr">
        <is>
          <t>8712345886998</t>
        </is>
      </c>
      <c r="C691" s="7" t="inlineStr">
        <is>
          <t>HM EGG CRESS SANDWICH XL EACH</t>
        </is>
      </c>
      <c r="D691" s="7" t="inlineStr">
        <is>
          <t>Egg &amp; cress sandwich</t>
        </is>
      </c>
      <c r="E691" s="7" t="inlineStr">
        <is>
          <t>Harbour Market</t>
        </is>
      </c>
      <c r="F691" s="7" t="inlineStr">
        <is>
          <t>Ready Meals</t>
        </is>
      </c>
      <c r="G691" s="7" t="inlineStr">
        <is>
          <t>Sandwiches</t>
        </is>
      </c>
      <c r="H691" s="7" t="inlineStr">
        <is>
          <t>yes</t>
        </is>
      </c>
      <c r="I691" s="7" t="inlineStr">
        <is>
          <t>Animal &amp; plant composite</t>
        </is>
      </c>
      <c r="J691" s="7" t="inlineStr">
        <is>
          <t>Vegetarian dishes</t>
        </is>
      </c>
      <c r="K691" s="7" t="inlineStr">
        <is>
          <t>B</t>
        </is>
      </c>
      <c r="L691" s="7" t="inlineStr">
        <is>
          <t>50/50 convention</t>
        </is>
      </c>
      <c r="M691" s="51" t="n">
        <v>10.8</v>
      </c>
      <c r="N691" s="7" t="inlineStr">
        <is>
          <t>Median of the family</t>
        </is>
      </c>
      <c r="O691" s="54" t="n">
        <v>5.4</v>
      </c>
      <c r="P691" s="54" t="n">
        <v>5.4</v>
      </c>
      <c r="Q691" s="7" t="inlineStr">
        <is>
          <t>yes</t>
        </is>
      </c>
      <c r="R691" s="7" t="inlineStr">
        <is>
          <t>composite</t>
        </is>
      </c>
      <c r="S691" s="7" t="n"/>
      <c r="T691" s="7" t="n"/>
      <c r="U691" s="7" t="n"/>
      <c r="V691" s="7" t="inlineStr">
        <is>
          <t>vegetarian</t>
        </is>
      </c>
      <c r="W691" s="7" t="n"/>
      <c r="X691" s="55" t="n">
        <v>1</v>
      </c>
      <c r="Y691" s="50" t="n">
        <v>0.18</v>
      </c>
      <c r="Z691" s="7" t="inlineStr">
        <is>
          <t>declared</t>
        </is>
      </c>
      <c r="AA691" s="19">
        <f>IF(ISBLANK(Welcome!D717),"",Welcome!D717)</f>
        <v/>
      </c>
      <c r="AB691" s="29">
        <f>IF(ISBLANK(Welcome!E717),"",Welcome!E717)</f>
        <v/>
      </c>
      <c r="AC691" s="29">
        <f>IF(N(AB691)&gt;0,N(AB691),N(AA691)*Y691)</f>
        <v/>
      </c>
      <c r="AD691" s="29">
        <f>IF(H691="yes",AC691,0)</f>
        <v/>
      </c>
      <c r="AE691" s="29">
        <f>AD691*N(M691)/100</f>
        <v/>
      </c>
      <c r="AF691" s="29">
        <f>AD691*N(O691)/100</f>
        <v/>
      </c>
      <c r="AG691" s="29">
        <f>AD691*N(P691)/100</f>
        <v/>
      </c>
      <c r="AH691" s="50">
        <f>IF(Q691="yes",AD691/1000,0)</f>
        <v/>
      </c>
      <c r="AI691" s="50">
        <f>IF(S691="FG2",AH691*X691,AH691)</f>
        <v/>
      </c>
    </row>
    <row r="692">
      <c r="A692" s="7" t="inlineStr">
        <is>
          <t>HM00566</t>
        </is>
      </c>
      <c r="B692" s="16" t="inlineStr">
        <is>
          <t>8712345945572</t>
        </is>
      </c>
      <c r="C692" s="7" t="inlineStr">
        <is>
          <t>CHOC CHIP COOKIES 200G MARLOWE</t>
        </is>
      </c>
      <c r="D692" s="7" t="inlineStr">
        <is>
          <t>Chocolate chip cookies, 200g</t>
        </is>
      </c>
      <c r="E692" s="7" t="inlineStr">
        <is>
          <t>Marlowe</t>
        </is>
      </c>
      <c r="F692" s="7" t="inlineStr">
        <is>
          <t>Breakfast &amp; Snacks</t>
        </is>
      </c>
      <c r="G692" s="7" t="inlineStr">
        <is>
          <t>Biscuits</t>
        </is>
      </c>
      <c r="H692" s="7" t="inlineStr">
        <is>
          <t>yes</t>
        </is>
      </c>
      <c r="I692" s="7" t="inlineStr">
        <is>
          <t>Animal &amp; plant composite</t>
        </is>
      </c>
      <c r="J692" s="7" t="inlineStr">
        <is>
          <t>Discretionary products</t>
        </is>
      </c>
      <c r="K692" s="7" t="inlineStr">
        <is>
          <t>B</t>
        </is>
      </c>
      <c r="L692" s="7" t="inlineStr">
        <is>
          <t>50/50 convention</t>
        </is>
      </c>
      <c r="M692" s="51" t="n">
        <v>6.6</v>
      </c>
      <c r="N692" s="7" t="inlineStr">
        <is>
          <t>Median of the family</t>
        </is>
      </c>
      <c r="O692" s="54" t="n">
        <v>3.3</v>
      </c>
      <c r="P692" s="54" t="n">
        <v>3.3</v>
      </c>
      <c r="Q692" s="7" t="inlineStr">
        <is>
          <t>yes</t>
        </is>
      </c>
      <c r="R692" s="7" t="inlineStr">
        <is>
          <t>whole</t>
        </is>
      </c>
      <c r="S692" s="7" t="inlineStr">
        <is>
          <t>FG7</t>
        </is>
      </c>
      <c r="T692" s="7" t="n"/>
      <c r="U692" s="7" t="inlineStr">
        <is>
          <t>plant</t>
        </is>
      </c>
      <c r="V692" s="7" t="n"/>
      <c r="W692" s="7" t="n"/>
      <c r="X692" s="55" t="n">
        <v>1</v>
      </c>
      <c r="Y692" s="50" t="n">
        <v>0.2</v>
      </c>
      <c r="Z692" s="7" t="inlineStr">
        <is>
          <t>label</t>
        </is>
      </c>
      <c r="AA692" s="19">
        <f>IF(ISBLANK(Welcome!D718),"",Welcome!D718)</f>
        <v/>
      </c>
      <c r="AB692" s="29">
        <f>IF(ISBLANK(Welcome!E718),"",Welcome!E718)</f>
        <v/>
      </c>
      <c r="AC692" s="29">
        <f>IF(N(AB692)&gt;0,N(AB692),N(AA692)*Y692)</f>
        <v/>
      </c>
      <c r="AD692" s="29">
        <f>IF(H692="yes",AC692,0)</f>
        <v/>
      </c>
      <c r="AE692" s="29">
        <f>AD692*N(M692)/100</f>
        <v/>
      </c>
      <c r="AF692" s="29">
        <f>AD692*N(O692)/100</f>
        <v/>
      </c>
      <c r="AG692" s="29">
        <f>AD692*N(P692)/100</f>
        <v/>
      </c>
      <c r="AH692" s="50">
        <f>IF(Q692="yes",AD692/1000,0)</f>
        <v/>
      </c>
      <c r="AI692" s="50">
        <f>IF(S692="FG2",AH692*X692,AH692)</f>
        <v/>
      </c>
    </row>
    <row r="693">
      <c r="A693" s="7" t="inlineStr">
        <is>
          <t>HM00610</t>
        </is>
      </c>
      <c r="B693" s="16" t="inlineStr">
        <is>
          <t>8712345028473</t>
        </is>
      </c>
      <c r="C693" s="7" t="inlineStr">
        <is>
          <t>COOKED MUSSELS 150G KESTREL</t>
        </is>
      </c>
      <c r="D693" s="7" t="inlineStr">
        <is>
          <t>Cooked mussels, 150g</t>
        </is>
      </c>
      <c r="E693" s="7" t="inlineStr">
        <is>
          <t>Kestrel Bay</t>
        </is>
      </c>
      <c r="F693" s="7" t="inlineStr">
        <is>
          <t>Fish &amp; Seafood</t>
        </is>
      </c>
      <c r="G693" s="7" t="inlineStr">
        <is>
          <t>Shellfish</t>
        </is>
      </c>
      <c r="H693" s="7" t="inlineStr">
        <is>
          <t>yes</t>
        </is>
      </c>
      <c r="I693" s="7" t="inlineStr">
        <is>
          <t>Animal core</t>
        </is>
      </c>
      <c r="J693" s="7" t="inlineStr">
        <is>
          <t>Fish and seafood</t>
        </is>
      </c>
      <c r="K693" s="7" t="inlineStr">
        <is>
          <t>B</t>
        </is>
      </c>
      <c r="L693" s="7" t="inlineStr">
        <is>
          <t>Follows the class</t>
        </is>
      </c>
      <c r="M693" s="51" t="n">
        <v>12.4</v>
      </c>
      <c r="N693" s="7" t="inlineStr">
        <is>
          <t>Altera reference base</t>
        </is>
      </c>
      <c r="O693" s="54" t="n">
        <v>0</v>
      </c>
      <c r="P693" s="54" t="n">
        <v>12.4</v>
      </c>
      <c r="Q693" s="7" t="inlineStr">
        <is>
          <t>yes</t>
        </is>
      </c>
      <c r="R693" s="7" t="inlineStr">
        <is>
          <t>whole</t>
        </is>
      </c>
      <c r="S693" s="7" t="inlineStr">
        <is>
          <t>FG1</t>
        </is>
      </c>
      <c r="T693" s="7" t="inlineStr">
        <is>
          <t>Fish &amp; shellfish</t>
        </is>
      </c>
      <c r="U693" s="7" t="inlineStr">
        <is>
          <t>animal</t>
        </is>
      </c>
      <c r="V693" s="7" t="n"/>
      <c r="W693" s="7" t="n"/>
      <c r="X693" s="55" t="n">
        <v>1</v>
      </c>
      <c r="Y693" s="50" t="n">
        <v>0.15</v>
      </c>
      <c r="Z693" s="7" t="inlineStr">
        <is>
          <t>declared</t>
        </is>
      </c>
      <c r="AA693" s="19">
        <f>IF(ISBLANK(Welcome!D719),"",Welcome!D719)</f>
        <v/>
      </c>
      <c r="AB693" s="29">
        <f>IF(ISBLANK(Welcome!E719),"",Welcome!E719)</f>
        <v/>
      </c>
      <c r="AC693" s="29">
        <f>IF(N(AB693)&gt;0,N(AB693),N(AA693)*Y693)</f>
        <v/>
      </c>
      <c r="AD693" s="29">
        <f>IF(H693="yes",AC693,0)</f>
        <v/>
      </c>
      <c r="AE693" s="29">
        <f>AD693*N(M693)/100</f>
        <v/>
      </c>
      <c r="AF693" s="29">
        <f>AD693*N(O693)/100</f>
        <v/>
      </c>
      <c r="AG693" s="29">
        <f>AD693*N(P693)/100</f>
        <v/>
      </c>
      <c r="AH693" s="50">
        <f>IF(Q693="yes",AD693/1000,0)</f>
        <v/>
      </c>
      <c r="AI693" s="50">
        <f>IF(S693="FG2",AH693*X693,AH693)</f>
        <v/>
      </c>
    </row>
    <row r="694">
      <c r="A694" s="7" t="inlineStr">
        <is>
          <t>HM00038</t>
        </is>
      </c>
      <c r="B694" s="16" t="inlineStr">
        <is>
          <t>4012345913798</t>
        </is>
      </c>
      <c r="C694" s="7" t="inlineStr">
        <is>
          <t>PENNE RIGATE 500G ORVALIS</t>
        </is>
      </c>
      <c r="D694" s="7" t="inlineStr">
        <is>
          <t>Penne rigate, 500g</t>
        </is>
      </c>
      <c r="E694" s="7" t="inlineStr">
        <is>
          <t>Orvalis</t>
        </is>
      </c>
      <c r="F694" s="7" t="inlineStr">
        <is>
          <t>Grocery</t>
        </is>
      </c>
      <c r="G694" s="7" t="inlineStr">
        <is>
          <t>Pasta</t>
        </is>
      </c>
      <c r="H694" s="7" t="inlineStr">
        <is>
          <t>yes</t>
        </is>
      </c>
      <c r="I694" s="7" t="inlineStr">
        <is>
          <t>Plant-based non-core</t>
        </is>
      </c>
      <c r="J694" s="7" t="inlineStr">
        <is>
          <t>Refined grains</t>
        </is>
      </c>
      <c r="K694" s="7" t="inlineStr">
        <is>
          <t>A</t>
        </is>
      </c>
      <c r="L694" s="7" t="inlineStr">
        <is>
          <t>All ingredients on one side</t>
        </is>
      </c>
      <c r="M694" s="51" t="n">
        <v>12.4</v>
      </c>
      <c r="N694" s="7" t="inlineStr">
        <is>
          <t>Declared by the retailer</t>
        </is>
      </c>
      <c r="O694" s="54" t="n">
        <v>12.4</v>
      </c>
      <c r="P694" s="54" t="n">
        <v>0</v>
      </c>
      <c r="Q694" s="7" t="inlineStr">
        <is>
          <t>yes</t>
        </is>
      </c>
      <c r="R694" s="7" t="inlineStr">
        <is>
          <t>whole</t>
        </is>
      </c>
      <c r="S694" s="7" t="inlineStr">
        <is>
          <t>FG5</t>
        </is>
      </c>
      <c r="T694" s="7" t="inlineStr">
        <is>
          <t>Refined grain</t>
        </is>
      </c>
      <c r="U694" s="7" t="inlineStr">
        <is>
          <t>plant</t>
        </is>
      </c>
      <c r="V694" s="7" t="n"/>
      <c r="W694" s="7" t="n"/>
      <c r="X694" s="55" t="n">
        <v>1</v>
      </c>
      <c r="Y694" s="50" t="n">
        <v>0.5</v>
      </c>
      <c r="Z694" s="7" t="inlineStr">
        <is>
          <t>declared</t>
        </is>
      </c>
      <c r="AA694" s="19">
        <f>IF(ISBLANK(Welcome!D720),"",Welcome!D720)</f>
        <v/>
      </c>
      <c r="AB694" s="29">
        <f>IF(ISBLANK(Welcome!E720),"",Welcome!E720)</f>
        <v/>
      </c>
      <c r="AC694" s="29">
        <f>IF(N(AB694)&gt;0,N(AB694),N(AA694)*Y694)</f>
        <v/>
      </c>
      <c r="AD694" s="29">
        <f>IF(H694="yes",AC694,0)</f>
        <v/>
      </c>
      <c r="AE694" s="29">
        <f>AD694*N(M694)/100</f>
        <v/>
      </c>
      <c r="AF694" s="29">
        <f>AD694*N(O694)/100</f>
        <v/>
      </c>
      <c r="AG694" s="29">
        <f>AD694*N(P694)/100</f>
        <v/>
      </c>
      <c r="AH694" s="50">
        <f>IF(Q694="yes",AD694/1000,0)</f>
        <v/>
      </c>
      <c r="AI694" s="50">
        <f>IF(S694="FG2",AH694*X694,AH694)</f>
        <v/>
      </c>
    </row>
    <row r="695">
      <c r="A695" s="7" t="inlineStr">
        <is>
          <t>HM00449</t>
        </is>
      </c>
      <c r="B695" s="16" t="inlineStr">
        <is>
          <t>8712345679835</t>
        </is>
      </c>
      <c r="C695" s="7" t="inlineStr">
        <is>
          <t>LAMB MINCE 400G TARROW</t>
        </is>
      </c>
      <c r="D695" s="7" t="inlineStr">
        <is>
          <t>Lamb mince, 400g</t>
        </is>
      </c>
      <c r="E695" s="7" t="inlineStr">
        <is>
          <t>Tarrow Farm</t>
        </is>
      </c>
      <c r="F695" s="7" t="inlineStr">
        <is>
          <t>Fresh Meat &amp; Poultry</t>
        </is>
      </c>
      <c r="G695" s="7" t="inlineStr">
        <is>
          <t>Turkey &amp; Lamb</t>
        </is>
      </c>
      <c r="H695" s="7" t="inlineStr">
        <is>
          <t>yes</t>
        </is>
      </c>
      <c r="I695" s="7" t="inlineStr">
        <is>
          <t>Animal core</t>
        </is>
      </c>
      <c r="J695" s="7" t="inlineStr">
        <is>
          <t>Red meat</t>
        </is>
      </c>
      <c r="K695" s="7" t="inlineStr">
        <is>
          <t>B</t>
        </is>
      </c>
      <c r="L695" s="7" t="inlineStr">
        <is>
          <t>Follows the class</t>
        </is>
      </c>
      <c r="M695" s="51" t="n">
        <v>18.3</v>
      </c>
      <c r="N695" s="7" t="inlineStr">
        <is>
          <t>Declared by the retailer</t>
        </is>
      </c>
      <c r="O695" s="54" t="n">
        <v>0</v>
      </c>
      <c r="P695" s="54" t="n">
        <v>18.3</v>
      </c>
      <c r="Q695" s="7" t="inlineStr">
        <is>
          <t>yes</t>
        </is>
      </c>
      <c r="R695" s="7" t="inlineStr">
        <is>
          <t>whole</t>
        </is>
      </c>
      <c r="S695" s="7" t="inlineStr">
        <is>
          <t>FG1</t>
        </is>
      </c>
      <c r="T695" s="7" t="inlineStr">
        <is>
          <t>Red meat</t>
        </is>
      </c>
      <c r="U695" s="7" t="inlineStr">
        <is>
          <t>animal</t>
        </is>
      </c>
      <c r="V695" s="7" t="n"/>
      <c r="W695" s="7" t="n"/>
      <c r="X695" s="55" t="n">
        <v>1</v>
      </c>
      <c r="Y695" s="50" t="n">
        <v>0.4</v>
      </c>
      <c r="Z695" s="7" t="inlineStr">
        <is>
          <t>declared</t>
        </is>
      </c>
      <c r="AA695" s="19">
        <f>IF(ISBLANK(Welcome!D721),"",Welcome!D721)</f>
        <v/>
      </c>
      <c r="AB695" s="29">
        <f>IF(ISBLANK(Welcome!E721),"",Welcome!E721)</f>
        <v/>
      </c>
      <c r="AC695" s="29">
        <f>IF(N(AB695)&gt;0,N(AB695),N(AA695)*Y695)</f>
        <v/>
      </c>
      <c r="AD695" s="29">
        <f>IF(H695="yes",AC695,0)</f>
        <v/>
      </c>
      <c r="AE695" s="29">
        <f>AD695*N(M695)/100</f>
        <v/>
      </c>
      <c r="AF695" s="29">
        <f>AD695*N(O695)/100</f>
        <v/>
      </c>
      <c r="AG695" s="29">
        <f>AD695*N(P695)/100</f>
        <v/>
      </c>
      <c r="AH695" s="50">
        <f>IF(Q695="yes",AD695/1000,0)</f>
        <v/>
      </c>
      <c r="AI695" s="50">
        <f>IF(S695="FG2",AH695*X695,AH695)</f>
        <v/>
      </c>
    </row>
    <row r="696">
      <c r="A696" s="7" t="inlineStr">
        <is>
          <t>HM00365</t>
        </is>
      </c>
      <c r="B696" s="16" t="inlineStr">
        <is>
          <t>3012345470636</t>
        </is>
      </c>
      <c r="C696" s="7" t="inlineStr">
        <is>
          <t>HM SCAMPI 4PK 440G</t>
        </is>
      </c>
      <c r="D696" s="7" t="inlineStr">
        <is>
          <t>Breaded scampi, 4pk 440g</t>
        </is>
      </c>
      <c r="E696" s="7" t="inlineStr">
        <is>
          <t>Harbour Market</t>
        </is>
      </c>
      <c r="F696" s="7" t="inlineStr">
        <is>
          <t>Frozen</t>
        </is>
      </c>
      <c r="G696" s="7" t="inlineStr">
        <is>
          <t>Frozen Fish</t>
        </is>
      </c>
      <c r="H696" s="7" t="inlineStr">
        <is>
          <t>yes</t>
        </is>
      </c>
      <c r="I696" s="7" t="inlineStr">
        <is>
          <t>Animal core</t>
        </is>
      </c>
      <c r="J696" s="7" t="inlineStr">
        <is>
          <t>Fish and seafood</t>
        </is>
      </c>
      <c r="K696" s="7" t="inlineStr">
        <is>
          <t>B</t>
        </is>
      </c>
      <c r="L696" s="7" t="inlineStr">
        <is>
          <t>First ingredient</t>
        </is>
      </c>
      <c r="M696" s="51" t="n">
        <v>10.2</v>
      </c>
      <c r="N696" s="7" t="inlineStr">
        <is>
          <t>Declared by the retailer</t>
        </is>
      </c>
      <c r="O696" s="54" t="n">
        <v>0</v>
      </c>
      <c r="P696" s="54" t="n">
        <v>10.2</v>
      </c>
      <c r="Q696" s="7" t="inlineStr">
        <is>
          <t>yes</t>
        </is>
      </c>
      <c r="R696" s="7" t="inlineStr">
        <is>
          <t>whole</t>
        </is>
      </c>
      <c r="S696" s="7" t="inlineStr">
        <is>
          <t>FG1</t>
        </is>
      </c>
      <c r="T696" s="7" t="inlineStr">
        <is>
          <t>Fish &amp; shellfish</t>
        </is>
      </c>
      <c r="U696" s="7" t="inlineStr">
        <is>
          <t>animal</t>
        </is>
      </c>
      <c r="V696" s="7" t="n"/>
      <c r="W696" s="7" t="n"/>
      <c r="X696" s="55" t="n">
        <v>1</v>
      </c>
      <c r="Y696" s="50" t="n">
        <v>0.44</v>
      </c>
      <c r="Z696" s="7" t="inlineStr">
        <is>
          <t>declared</t>
        </is>
      </c>
      <c r="AA696" s="19">
        <f>IF(ISBLANK(Welcome!D722),"",Welcome!D722)</f>
        <v/>
      </c>
      <c r="AB696" s="29">
        <f>IF(ISBLANK(Welcome!E722),"",Welcome!E722)</f>
        <v/>
      </c>
      <c r="AC696" s="29">
        <f>IF(N(AB696)&gt;0,N(AB696),N(AA696)*Y696)</f>
        <v/>
      </c>
      <c r="AD696" s="29">
        <f>IF(H696="yes",AC696,0)</f>
        <v/>
      </c>
      <c r="AE696" s="29">
        <f>AD696*N(M696)/100</f>
        <v/>
      </c>
      <c r="AF696" s="29">
        <f>AD696*N(O696)/100</f>
        <v/>
      </c>
      <c r="AG696" s="29">
        <f>AD696*N(P696)/100</f>
        <v/>
      </c>
      <c r="AH696" s="50">
        <f>IF(Q696="yes",AD696/1000,0)</f>
        <v/>
      </c>
      <c r="AI696" s="50">
        <f>IF(S696="FG2",AH696*X696,AH696)</f>
        <v/>
      </c>
    </row>
    <row r="697">
      <c r="A697" s="7" t="inlineStr">
        <is>
          <t>HM00058</t>
        </is>
      </c>
      <c r="B697" s="16" t="inlineStr">
        <is>
          <t>5012345713557</t>
        </is>
      </c>
      <c r="C697" s="7" t="inlineStr">
        <is>
          <t>MACKEREL TOM SCE 125G KESTREL</t>
        </is>
      </c>
      <c r="D697" s="7" t="inlineStr">
        <is>
          <t>Mackerel fillets in tomato sauce, 125g</t>
        </is>
      </c>
      <c r="E697" s="7" t="inlineStr">
        <is>
          <t>Kestrel Bay</t>
        </is>
      </c>
      <c r="F697" s="7" t="inlineStr">
        <is>
          <t>Fish &amp; Seafood</t>
        </is>
      </c>
      <c r="G697" s="7" t="inlineStr">
        <is>
          <t>Canned Fish</t>
        </is>
      </c>
      <c r="H697" s="7" t="inlineStr">
        <is>
          <t>yes</t>
        </is>
      </c>
      <c r="I697" s="7" t="inlineStr">
        <is>
          <t>Animal core</t>
        </is>
      </c>
      <c r="J697" s="7" t="inlineStr">
        <is>
          <t>Fish and seafood</t>
        </is>
      </c>
      <c r="K697" s="7" t="inlineStr">
        <is>
          <t>A</t>
        </is>
      </c>
      <c r="L697" s="7" t="inlineStr">
        <is>
          <t>All ingredients on one side</t>
        </is>
      </c>
      <c r="M697" s="51" t="n">
        <v>14.2</v>
      </c>
      <c r="N697" s="7" t="inlineStr">
        <is>
          <t>Declared by the retailer</t>
        </is>
      </c>
      <c r="O697" s="54" t="n">
        <v>0</v>
      </c>
      <c r="P697" s="54" t="n">
        <v>14.2</v>
      </c>
      <c r="Q697" s="7" t="inlineStr">
        <is>
          <t>yes</t>
        </is>
      </c>
      <c r="R697" s="7" t="inlineStr">
        <is>
          <t>whole</t>
        </is>
      </c>
      <c r="S697" s="7" t="inlineStr">
        <is>
          <t>FG1</t>
        </is>
      </c>
      <c r="T697" s="7" t="inlineStr">
        <is>
          <t>Fish &amp; shellfish</t>
        </is>
      </c>
      <c r="U697" s="7" t="inlineStr">
        <is>
          <t>animal</t>
        </is>
      </c>
      <c r="V697" s="7" t="n"/>
      <c r="W697" s="7" t="n"/>
      <c r="X697" s="55" t="n">
        <v>1</v>
      </c>
      <c r="Y697" s="50" t="n">
        <v>0.125</v>
      </c>
      <c r="Z697" s="7" t="inlineStr">
        <is>
          <t>declared</t>
        </is>
      </c>
      <c r="AA697" s="19">
        <f>IF(ISBLANK(Welcome!D723),"",Welcome!D723)</f>
        <v/>
      </c>
      <c r="AB697" s="29">
        <f>IF(ISBLANK(Welcome!E723),"",Welcome!E723)</f>
        <v/>
      </c>
      <c r="AC697" s="29">
        <f>IF(N(AB697)&gt;0,N(AB697),N(AA697)*Y697)</f>
        <v/>
      </c>
      <c r="AD697" s="29">
        <f>IF(H697="yes",AC697,0)</f>
        <v/>
      </c>
      <c r="AE697" s="29">
        <f>AD697*N(M697)/100</f>
        <v/>
      </c>
      <c r="AF697" s="29">
        <f>AD697*N(O697)/100</f>
        <v/>
      </c>
      <c r="AG697" s="29">
        <f>AD697*N(P697)/100</f>
        <v/>
      </c>
      <c r="AH697" s="50">
        <f>IF(Q697="yes",AD697/1000,0)</f>
        <v/>
      </c>
      <c r="AI697" s="50">
        <f>IF(S697="FG2",AH697*X697,AH697)</f>
        <v/>
      </c>
    </row>
    <row r="698">
      <c r="A698" s="7" t="inlineStr">
        <is>
          <t>HM00655</t>
        </is>
      </c>
      <c r="B698" s="16" t="inlineStr">
        <is>
          <t>4012345274400</t>
        </is>
      </c>
      <c r="C698" s="7" t="inlineStr">
        <is>
          <t>HM BRIOCHE ROLLS 4PK 180G</t>
        </is>
      </c>
      <c r="D698" s="7" t="inlineStr">
        <is>
          <t>Brioche rolls, 4pk 180g</t>
        </is>
      </c>
      <c r="E698" s="7" t="inlineStr">
        <is>
          <t>Harbour Market</t>
        </is>
      </c>
      <c r="F698" s="7" t="inlineStr">
        <is>
          <t>Bakery</t>
        </is>
      </c>
      <c r="G698" s="7" t="inlineStr">
        <is>
          <t>Pastries</t>
        </is>
      </c>
      <c r="H698" s="7" t="inlineStr">
        <is>
          <t>yes</t>
        </is>
      </c>
      <c r="I698" s="7" t="inlineStr">
        <is>
          <t>Animal &amp; plant composite</t>
        </is>
      </c>
      <c r="J698" s="7" t="inlineStr">
        <is>
          <t>Discretionary products</t>
        </is>
      </c>
      <c r="K698" s="7" t="inlineStr">
        <is>
          <t>B</t>
        </is>
      </c>
      <c r="L698" s="7" t="inlineStr">
        <is>
          <t>50/50 convention</t>
        </is>
      </c>
      <c r="M698" s="51" t="n">
        <v>8.5</v>
      </c>
      <c r="N698" s="7" t="inlineStr">
        <is>
          <t>Declared by the retailer</t>
        </is>
      </c>
      <c r="O698" s="54" t="n">
        <v>4.25</v>
      </c>
      <c r="P698" s="54" t="n">
        <v>4.25</v>
      </c>
      <c r="Q698" s="7" t="inlineStr">
        <is>
          <t>yes</t>
        </is>
      </c>
      <c r="R698" s="7" t="inlineStr">
        <is>
          <t>whole</t>
        </is>
      </c>
      <c r="S698" s="7" t="inlineStr">
        <is>
          <t>FG7</t>
        </is>
      </c>
      <c r="T698" s="7" t="n"/>
      <c r="U698" s="7" t="inlineStr">
        <is>
          <t>plant</t>
        </is>
      </c>
      <c r="V698" s="7" t="n"/>
      <c r="W698" s="7" t="n"/>
      <c r="X698" s="55" t="n">
        <v>1</v>
      </c>
      <c r="Y698" s="50" t="n">
        <v>0.18</v>
      </c>
      <c r="Z698" s="7" t="inlineStr">
        <is>
          <t>declared</t>
        </is>
      </c>
      <c r="AA698" s="19">
        <f>IF(ISBLANK(Welcome!D724),"",Welcome!D724)</f>
        <v/>
      </c>
      <c r="AB698" s="29">
        <f>IF(ISBLANK(Welcome!E724),"",Welcome!E724)</f>
        <v/>
      </c>
      <c r="AC698" s="29">
        <f>IF(N(AB698)&gt;0,N(AB698),N(AA698)*Y698)</f>
        <v/>
      </c>
      <c r="AD698" s="29">
        <f>IF(H698="yes",AC698,0)</f>
        <v/>
      </c>
      <c r="AE698" s="29">
        <f>AD698*N(M698)/100</f>
        <v/>
      </c>
      <c r="AF698" s="29">
        <f>AD698*N(O698)/100</f>
        <v/>
      </c>
      <c r="AG698" s="29">
        <f>AD698*N(P698)/100</f>
        <v/>
      </c>
      <c r="AH698" s="50">
        <f>IF(Q698="yes",AD698/1000,0)</f>
        <v/>
      </c>
      <c r="AI698" s="50">
        <f>IF(S698="FG2",AH698*X698,AH698)</f>
        <v/>
      </c>
    </row>
    <row r="699">
      <c r="A699" s="7" t="inlineStr">
        <is>
          <t>HM00014</t>
        </is>
      </c>
      <c r="B699" s="16" t="inlineStr">
        <is>
          <t>8712345015398</t>
        </is>
      </c>
      <c r="C699" s="7" t="inlineStr">
        <is>
          <t>HM CHORIZO SLICES 70G</t>
        </is>
      </c>
      <c r="D699" s="7" t="inlineStr">
        <is>
          <t>Chorizo slices, 70g</t>
        </is>
      </c>
      <c r="E699" s="7" t="inlineStr">
        <is>
          <t>Harbour Market</t>
        </is>
      </c>
      <c r="F699" s="7" t="inlineStr">
        <is>
          <t>Deli</t>
        </is>
      </c>
      <c r="G699" s="7" t="inlineStr">
        <is>
          <t>Cured Meats</t>
        </is>
      </c>
      <c r="H699" s="7" t="inlineStr">
        <is>
          <t>yes</t>
        </is>
      </c>
      <c r="I699" s="7" t="inlineStr">
        <is>
          <t>Animal core</t>
        </is>
      </c>
      <c r="J699" s="7" t="inlineStr">
        <is>
          <t>Dishes and processed products</t>
        </is>
      </c>
      <c r="K699" s="7" t="inlineStr">
        <is>
          <t>A</t>
        </is>
      </c>
      <c r="L699" s="7" t="inlineStr">
        <is>
          <t>All ingredients on one side</t>
        </is>
      </c>
      <c r="M699" s="51" t="n">
        <v>24.5</v>
      </c>
      <c r="N699" s="7" t="inlineStr">
        <is>
          <t>Declared by the retailer</t>
        </is>
      </c>
      <c r="O699" s="54" t="n">
        <v>0</v>
      </c>
      <c r="P699" s="54" t="n">
        <v>24.5</v>
      </c>
      <c r="Q699" s="7" t="inlineStr">
        <is>
          <t>yes</t>
        </is>
      </c>
      <c r="R699" s="7" t="inlineStr">
        <is>
          <t>whole</t>
        </is>
      </c>
      <c r="S699" s="7" t="inlineStr">
        <is>
          <t>FG1</t>
        </is>
      </c>
      <c r="T699" s="7" t="inlineStr">
        <is>
          <t>Red meat</t>
        </is>
      </c>
      <c r="U699" s="7" t="inlineStr">
        <is>
          <t>animal</t>
        </is>
      </c>
      <c r="V699" s="7" t="n"/>
      <c r="W699" s="7" t="n"/>
      <c r="X699" s="55" t="n">
        <v>1</v>
      </c>
      <c r="Y699" s="50" t="n">
        <v>0.07000000000000001</v>
      </c>
      <c r="Z699" s="7" t="inlineStr">
        <is>
          <t>declared</t>
        </is>
      </c>
      <c r="AA699" s="19">
        <f>IF(ISBLANK(Welcome!D725),"",Welcome!D725)</f>
        <v/>
      </c>
      <c r="AB699" s="29">
        <f>IF(ISBLANK(Welcome!E725),"",Welcome!E725)</f>
        <v/>
      </c>
      <c r="AC699" s="29">
        <f>IF(N(AB699)&gt;0,N(AB699),N(AA699)*Y699)</f>
        <v/>
      </c>
      <c r="AD699" s="29">
        <f>IF(H699="yes",AC699,0)</f>
        <v/>
      </c>
      <c r="AE699" s="29">
        <f>AD699*N(M699)/100</f>
        <v/>
      </c>
      <c r="AF699" s="29">
        <f>AD699*N(O699)/100</f>
        <v/>
      </c>
      <c r="AG699" s="29">
        <f>AD699*N(P699)/100</f>
        <v/>
      </c>
      <c r="AH699" s="50">
        <f>IF(Q699="yes",AD699/1000,0)</f>
        <v/>
      </c>
      <c r="AI699" s="50">
        <f>IF(S699="FG2",AH699*X699,AH699)</f>
        <v/>
      </c>
    </row>
    <row r="700">
      <c r="A700" s="7" t="inlineStr">
        <is>
          <t>HM00678</t>
        </is>
      </c>
      <c r="B700" s="16" t="inlineStr">
        <is>
          <t>8712345338312</t>
        </is>
      </c>
      <c r="C700" s="7" t="inlineStr">
        <is>
          <t>FETA 200G ALDERWICK</t>
        </is>
      </c>
      <c r="D700" s="7" t="inlineStr">
        <is>
          <t>Feta, 200g</t>
        </is>
      </c>
      <c r="E700" s="7" t="inlineStr">
        <is>
          <t>Alderwick</t>
        </is>
      </c>
      <c r="F700" s="7" t="inlineStr">
        <is>
          <t>Cheese</t>
        </is>
      </c>
      <c r="G700" s="7" t="inlineStr">
        <is>
          <t>Soft Cheese</t>
        </is>
      </c>
      <c r="H700" s="7" t="inlineStr">
        <is>
          <t>yes</t>
        </is>
      </c>
      <c r="I700" s="7" t="inlineStr">
        <is>
          <t>Animal core</t>
        </is>
      </c>
      <c r="J700" s="7" t="inlineStr">
        <is>
          <t>Cheese</t>
        </is>
      </c>
      <c r="K700" s="7" t="inlineStr">
        <is>
          <t>B</t>
        </is>
      </c>
      <c r="L700" s="7" t="inlineStr">
        <is>
          <t>Follows the class</t>
        </is>
      </c>
      <c r="M700" s="51" t="n">
        <v>17.2</v>
      </c>
      <c r="N700" s="7" t="inlineStr">
        <is>
          <t>Declared by the retailer</t>
        </is>
      </c>
      <c r="O700" s="54" t="n">
        <v>0</v>
      </c>
      <c r="P700" s="54" t="n">
        <v>17.2</v>
      </c>
      <c r="Q700" s="7" t="inlineStr">
        <is>
          <t>yes</t>
        </is>
      </c>
      <c r="R700" s="7" t="inlineStr">
        <is>
          <t>whole</t>
        </is>
      </c>
      <c r="S700" s="7" t="inlineStr">
        <is>
          <t>FG2</t>
        </is>
      </c>
      <c r="T700" s="7" t="inlineStr">
        <is>
          <t>Dairy</t>
        </is>
      </c>
      <c r="U700" s="7" t="inlineStr">
        <is>
          <t>animal</t>
        </is>
      </c>
      <c r="V700" s="7" t="n"/>
      <c r="W700" s="7" t="n"/>
      <c r="X700" s="55" t="n">
        <v>10</v>
      </c>
      <c r="Y700" s="50" t="n">
        <v>0.2</v>
      </c>
      <c r="Z700" s="7" t="inlineStr">
        <is>
          <t>declared</t>
        </is>
      </c>
      <c r="AA700" s="19">
        <f>IF(ISBLANK(Welcome!D726),"",Welcome!D726)</f>
        <v/>
      </c>
      <c r="AB700" s="29">
        <f>IF(ISBLANK(Welcome!E726),"",Welcome!E726)</f>
        <v/>
      </c>
      <c r="AC700" s="29">
        <f>IF(N(AB700)&gt;0,N(AB700),N(AA700)*Y700)</f>
        <v/>
      </c>
      <c r="AD700" s="29">
        <f>IF(H700="yes",AC700,0)</f>
        <v/>
      </c>
      <c r="AE700" s="29">
        <f>AD700*N(M700)/100</f>
        <v/>
      </c>
      <c r="AF700" s="29">
        <f>AD700*N(O700)/100</f>
        <v/>
      </c>
      <c r="AG700" s="29">
        <f>AD700*N(P700)/100</f>
        <v/>
      </c>
      <c r="AH700" s="50">
        <f>IF(Q700="yes",AD700/1000,0)</f>
        <v/>
      </c>
      <c r="AI700" s="50">
        <f>IF(S700="FG2",AH700*X700,AH700)</f>
        <v/>
      </c>
    </row>
    <row r="701">
      <c r="A701" s="7" t="inlineStr">
        <is>
          <t>HM00095</t>
        </is>
      </c>
      <c r="B701" s="16" t="inlineStr">
        <is>
          <t>8712345253837</t>
        </is>
      </c>
      <c r="C701" s="7" t="inlineStr">
        <is>
          <t>HM TKY MINCE 300G</t>
        </is>
      </c>
      <c r="D701" s="7" t="inlineStr">
        <is>
          <t>Turkey mince, 300g</t>
        </is>
      </c>
      <c r="E701" s="7" t="inlineStr">
        <is>
          <t>Harbour Market</t>
        </is>
      </c>
      <c r="F701" s="7" t="inlineStr">
        <is>
          <t>Fresh Meat &amp; Poultry</t>
        </is>
      </c>
      <c r="G701" s="7" t="inlineStr">
        <is>
          <t>Turkey &amp; Lamb</t>
        </is>
      </c>
      <c r="H701" s="7" t="inlineStr">
        <is>
          <t>yes</t>
        </is>
      </c>
      <c r="I701" s="7" t="inlineStr">
        <is>
          <t>Animal core</t>
        </is>
      </c>
      <c r="J701" s="7" t="inlineStr">
        <is>
          <t>Poultry</t>
        </is>
      </c>
      <c r="K701" s="7" t="inlineStr">
        <is>
          <t>B</t>
        </is>
      </c>
      <c r="L701" s="7" t="inlineStr">
        <is>
          <t>Follows the class</t>
        </is>
      </c>
      <c r="M701" s="51" t="n">
        <v>21.4</v>
      </c>
      <c r="N701" s="7" t="inlineStr">
        <is>
          <t>Declared by the retailer</t>
        </is>
      </c>
      <c r="O701" s="54" t="n">
        <v>0</v>
      </c>
      <c r="P701" s="54" t="n">
        <v>21.4</v>
      </c>
      <c r="Q701" s="7" t="inlineStr">
        <is>
          <t>yes</t>
        </is>
      </c>
      <c r="R701" s="7" t="inlineStr">
        <is>
          <t>whole</t>
        </is>
      </c>
      <c r="S701" s="7" t="inlineStr">
        <is>
          <t>FG1</t>
        </is>
      </c>
      <c r="T701" s="7" t="inlineStr">
        <is>
          <t>Poultry</t>
        </is>
      </c>
      <c r="U701" s="7" t="inlineStr">
        <is>
          <t>animal</t>
        </is>
      </c>
      <c r="V701" s="7" t="n"/>
      <c r="W701" s="7" t="n"/>
      <c r="X701" s="55" t="n">
        <v>1</v>
      </c>
      <c r="Y701" s="50" t="n">
        <v>0.3</v>
      </c>
      <c r="Z701" s="7" t="inlineStr">
        <is>
          <t>declared</t>
        </is>
      </c>
      <c r="AA701" s="19">
        <f>IF(ISBLANK(Welcome!D727),"",Welcome!D727)</f>
        <v/>
      </c>
      <c r="AB701" s="29">
        <f>IF(ISBLANK(Welcome!E727),"",Welcome!E727)</f>
        <v/>
      </c>
      <c r="AC701" s="29">
        <f>IF(N(AB701)&gt;0,N(AB701),N(AA701)*Y701)</f>
        <v/>
      </c>
      <c r="AD701" s="29">
        <f>IF(H701="yes",AC701,0)</f>
        <v/>
      </c>
      <c r="AE701" s="29">
        <f>AD701*N(M701)/100</f>
        <v/>
      </c>
      <c r="AF701" s="29">
        <f>AD701*N(O701)/100</f>
        <v/>
      </c>
      <c r="AG701" s="29">
        <f>AD701*N(P701)/100</f>
        <v/>
      </c>
      <c r="AH701" s="50">
        <f>IF(Q701="yes",AD701/1000,0)</f>
        <v/>
      </c>
      <c r="AI701" s="50">
        <f>IF(S701="FG2",AH701*X701,AH701)</f>
        <v/>
      </c>
    </row>
    <row r="702">
      <c r="A702" s="7" t="inlineStr">
        <is>
          <t>HM00147</t>
        </is>
      </c>
      <c r="B702" s="16" t="inlineStr">
        <is>
          <t>8712345436384</t>
        </is>
      </c>
      <c r="C702" s="7" t="inlineStr">
        <is>
          <t>HM QUARK 180G</t>
        </is>
      </c>
      <c r="D702" s="7" t="inlineStr">
        <is>
          <t>Quark, 180g</t>
        </is>
      </c>
      <c r="E702" s="7" t="inlineStr">
        <is>
          <t>Harbour Market</t>
        </is>
      </c>
      <c r="F702" s="7" t="inlineStr">
        <is>
          <t>Cheese</t>
        </is>
      </c>
      <c r="G702" s="7" t="inlineStr">
        <is>
          <t>Fresh Cheese</t>
        </is>
      </c>
      <c r="H702" s="7" t="inlineStr">
        <is>
          <t>yes</t>
        </is>
      </c>
      <c r="I702" s="7" t="inlineStr">
        <is>
          <t>Animal core</t>
        </is>
      </c>
      <c r="J702" s="7" t="inlineStr">
        <is>
          <t>Cheese</t>
        </is>
      </c>
      <c r="K702" s="7" t="inlineStr">
        <is>
          <t>A</t>
        </is>
      </c>
      <c r="L702" s="7" t="inlineStr">
        <is>
          <t>All ingredients on one side</t>
        </is>
      </c>
      <c r="M702" s="51" t="n">
        <v>12.7</v>
      </c>
      <c r="N702" s="7" t="inlineStr">
        <is>
          <t>Open Food Facts and NEVO, by EAN</t>
        </is>
      </c>
      <c r="O702" s="54" t="n">
        <v>0</v>
      </c>
      <c r="P702" s="54" t="n">
        <v>12.7</v>
      </c>
      <c r="Q702" s="7" t="inlineStr">
        <is>
          <t>yes</t>
        </is>
      </c>
      <c r="R702" s="7" t="inlineStr">
        <is>
          <t>whole</t>
        </is>
      </c>
      <c r="S702" s="7" t="inlineStr">
        <is>
          <t>FG2</t>
        </is>
      </c>
      <c r="T702" s="7" t="inlineStr">
        <is>
          <t>Dairy</t>
        </is>
      </c>
      <c r="U702" s="7" t="inlineStr">
        <is>
          <t>animal</t>
        </is>
      </c>
      <c r="V702" s="7" t="n"/>
      <c r="W702" s="7" t="n"/>
      <c r="X702" s="55" t="n">
        <v>1</v>
      </c>
      <c r="Y702" s="50" t="n">
        <v>0.18</v>
      </c>
      <c r="Z702" s="7" t="inlineStr">
        <is>
          <t>declared</t>
        </is>
      </c>
      <c r="AA702" s="19">
        <f>IF(ISBLANK(Welcome!D728),"",Welcome!D728)</f>
        <v/>
      </c>
      <c r="AB702" s="29">
        <f>IF(ISBLANK(Welcome!E728),"",Welcome!E728)</f>
        <v/>
      </c>
      <c r="AC702" s="29">
        <f>IF(N(AB702)&gt;0,N(AB702),N(AA702)*Y702)</f>
        <v/>
      </c>
      <c r="AD702" s="29">
        <f>IF(H702="yes",AC702,0)</f>
        <v/>
      </c>
      <c r="AE702" s="29">
        <f>AD702*N(M702)/100</f>
        <v/>
      </c>
      <c r="AF702" s="29">
        <f>AD702*N(O702)/100</f>
        <v/>
      </c>
      <c r="AG702" s="29">
        <f>AD702*N(P702)/100</f>
        <v/>
      </c>
      <c r="AH702" s="50">
        <f>IF(Q702="yes",AD702/1000,0)</f>
        <v/>
      </c>
      <c r="AI702" s="50">
        <f>IF(S702="FG2",AH702*X702,AH702)</f>
        <v/>
      </c>
    </row>
    <row r="703">
      <c r="A703" s="7" t="inlineStr">
        <is>
          <t>HM00063</t>
        </is>
      </c>
      <c r="B703" s="16" t="inlineStr">
        <is>
          <t>3012345128223</t>
        </is>
      </c>
      <c r="C703" s="7" t="inlineStr">
        <is>
          <t>VELOCE INSTANT COFFEE 80PK 250G</t>
        </is>
      </c>
      <c r="D703" s="7" t="inlineStr">
        <is>
          <t>Instant coffee, 80pk 250g</t>
        </is>
      </c>
      <c r="E703" s="7" t="inlineStr">
        <is>
          <t>Veloce</t>
        </is>
      </c>
      <c r="F703" s="7" t="inlineStr">
        <is>
          <t>Grocery</t>
        </is>
      </c>
      <c r="G703" s="7" t="inlineStr">
        <is>
          <t>Tea &amp; Coffee</t>
        </is>
      </c>
      <c r="H703" s="7" t="inlineStr">
        <is>
          <t>yes</t>
        </is>
      </c>
      <c r="I703" s="7" t="inlineStr">
        <is>
          <t>Plant-based non-core</t>
        </is>
      </c>
      <c r="J703" s="7" t="inlineStr">
        <is>
          <t>Outside the WWF scope</t>
        </is>
      </c>
      <c r="K703" s="7" t="inlineStr">
        <is>
          <t>A</t>
        </is>
      </c>
      <c r="L703" s="7" t="inlineStr">
        <is>
          <t>All ingredients on one side</t>
        </is>
      </c>
      <c r="M703" s="51" t="n">
        <v>7.4</v>
      </c>
      <c r="N703" s="7" t="inlineStr">
        <is>
          <t>Altera reference base</t>
        </is>
      </c>
      <c r="O703" s="54" t="n">
        <v>7.4</v>
      </c>
      <c r="P703" s="54" t="n">
        <v>0</v>
      </c>
      <c r="Q703" s="7" t="inlineStr">
        <is>
          <t>no</t>
        </is>
      </c>
      <c r="R703" s="7" t="n"/>
      <c r="S703" s="7" t="n"/>
      <c r="T703" s="7" t="n"/>
      <c r="U703" s="7" t="n"/>
      <c r="V703" s="7" t="n"/>
      <c r="W703" s="7" t="inlineStr">
        <is>
          <t>coffee tea</t>
        </is>
      </c>
      <c r="X703" s="55" t="n">
        <v>1</v>
      </c>
      <c r="Y703" s="50" t="n">
        <v>0.25</v>
      </c>
      <c r="Z703" s="7" t="inlineStr">
        <is>
          <t>declared</t>
        </is>
      </c>
      <c r="AA703" s="19">
        <f>IF(ISBLANK(Welcome!D729),"",Welcome!D729)</f>
        <v/>
      </c>
      <c r="AB703" s="29">
        <f>IF(ISBLANK(Welcome!E729),"",Welcome!E729)</f>
        <v/>
      </c>
      <c r="AC703" s="29">
        <f>IF(N(AB703)&gt;0,N(AB703),N(AA703)*Y703)</f>
        <v/>
      </c>
      <c r="AD703" s="29">
        <f>IF(H703="yes",AC703,0)</f>
        <v/>
      </c>
      <c r="AE703" s="29">
        <f>AD703*N(M703)/100</f>
        <v/>
      </c>
      <c r="AF703" s="29">
        <f>AD703*N(O703)/100</f>
        <v/>
      </c>
      <c r="AG703" s="29">
        <f>AD703*N(P703)/100</f>
        <v/>
      </c>
      <c r="AH703" s="50">
        <f>IF(Q703="yes",AD703/1000,0)</f>
        <v/>
      </c>
      <c r="AI703" s="50">
        <f>IF(S703="FG2",AH703*X703,AH703)</f>
        <v/>
      </c>
    </row>
    <row r="704">
      <c r="A704" s="7" t="inlineStr">
        <is>
          <t>HM00040</t>
        </is>
      </c>
      <c r="B704" s="16" t="inlineStr">
        <is>
          <t>5012345668888</t>
        </is>
      </c>
      <c r="C704" s="7" t="inlineStr">
        <is>
          <t>PENROCK SALTED PEANUTS 500G</t>
        </is>
      </c>
      <c r="D704" s="7" t="inlineStr">
        <is>
          <t>Salted peanuts, 500g</t>
        </is>
      </c>
      <c r="E704" s="7" t="inlineStr">
        <is>
          <t>Penrock</t>
        </is>
      </c>
      <c r="F704" s="7" t="inlineStr">
        <is>
          <t>Grocery</t>
        </is>
      </c>
      <c r="G704" s="7" t="inlineStr">
        <is>
          <t>Nuts &amp; Seeds</t>
        </is>
      </c>
      <c r="H704" s="7" t="inlineStr">
        <is>
          <t>yes</t>
        </is>
      </c>
      <c r="I704" s="7" t="inlineStr">
        <is>
          <t>Plant-based core</t>
        </is>
      </c>
      <c r="J704" s="7" t="inlineStr">
        <is>
          <t>Nuts</t>
        </is>
      </c>
      <c r="K704" s="7" t="inlineStr">
        <is>
          <t>B</t>
        </is>
      </c>
      <c r="L704" s="7" t="inlineStr">
        <is>
          <t>Follows the class</t>
        </is>
      </c>
      <c r="M704" s="51" t="n">
        <v>23.6</v>
      </c>
      <c r="N704" s="7" t="inlineStr">
        <is>
          <t>Declared by the retailer</t>
        </is>
      </c>
      <c r="O704" s="54" t="n">
        <v>23.6</v>
      </c>
      <c r="P704" s="54" t="n">
        <v>0</v>
      </c>
      <c r="Q704" s="7" t="inlineStr">
        <is>
          <t>yes</t>
        </is>
      </c>
      <c r="R704" s="7" t="inlineStr">
        <is>
          <t>whole</t>
        </is>
      </c>
      <c r="S704" s="7" t="inlineStr">
        <is>
          <t>FG1</t>
        </is>
      </c>
      <c r="T704" s="7" t="inlineStr">
        <is>
          <t>Nuts</t>
        </is>
      </c>
      <c r="U704" s="7" t="inlineStr">
        <is>
          <t>plant</t>
        </is>
      </c>
      <c r="V704" s="7" t="n"/>
      <c r="W704" s="7" t="n"/>
      <c r="X704" s="55" t="n">
        <v>1</v>
      </c>
      <c r="Y704" s="50" t="n">
        <v>0.5</v>
      </c>
      <c r="Z704" s="7" t="inlineStr">
        <is>
          <t>declared</t>
        </is>
      </c>
      <c r="AA704" s="19">
        <f>IF(ISBLANK(Welcome!D730),"",Welcome!D730)</f>
        <v/>
      </c>
      <c r="AB704" s="29">
        <f>IF(ISBLANK(Welcome!E730),"",Welcome!E730)</f>
        <v/>
      </c>
      <c r="AC704" s="29">
        <f>IF(N(AB704)&gt;0,N(AB704),N(AA704)*Y704)</f>
        <v/>
      </c>
      <c r="AD704" s="29">
        <f>IF(H704="yes",AC704,0)</f>
        <v/>
      </c>
      <c r="AE704" s="29">
        <f>AD704*N(M704)/100</f>
        <v/>
      </c>
      <c r="AF704" s="29">
        <f>AD704*N(O704)/100</f>
        <v/>
      </c>
      <c r="AG704" s="29">
        <f>AD704*N(P704)/100</f>
        <v/>
      </c>
      <c r="AH704" s="50">
        <f>IF(Q704="yes",AD704/1000,0)</f>
        <v/>
      </c>
      <c r="AI704" s="50">
        <f>IF(S704="FG2",AH704*X704,AH704)</f>
        <v/>
      </c>
    </row>
    <row r="705">
      <c r="A705" s="7" t="inlineStr">
        <is>
          <t>HM00432</t>
        </is>
      </c>
      <c r="B705" s="16" t="inlineStr">
        <is>
          <t>3012345853545</t>
        </is>
      </c>
      <c r="C705" s="7" t="inlineStr">
        <is>
          <t>HM ALUMINIUM FOIL 4PK</t>
        </is>
      </c>
      <c r="D705" s="7" t="inlineStr">
        <is>
          <t>Aluminium foil, 4pk</t>
        </is>
      </c>
      <c r="E705" s="7" t="inlineStr">
        <is>
          <t>Harbour Market</t>
        </is>
      </c>
      <c r="F705" s="7" t="inlineStr">
        <is>
          <t>Household</t>
        </is>
      </c>
      <c r="G705" s="7" t="inlineStr">
        <is>
          <t>Household</t>
        </is>
      </c>
      <c r="H705" s="7" t="inlineStr">
        <is>
          <t>no</t>
        </is>
      </c>
      <c r="I705" s="7" t="n"/>
      <c r="J705" s="7" t="n"/>
      <c r="K705" s="7" t="n"/>
      <c r="L705" s="7" t="n"/>
      <c r="M705" s="51" t="n"/>
      <c r="N705" s="7" t="n"/>
      <c r="O705" s="54" t="n"/>
      <c r="P705" s="54" t="n"/>
      <c r="Q705" s="7" t="inlineStr">
        <is>
          <t>no</t>
        </is>
      </c>
      <c r="R705" s="7" t="n"/>
      <c r="S705" s="7" t="n"/>
      <c r="T705" s="7" t="n"/>
      <c r="U705" s="7" t="n"/>
      <c r="V705" s="7" t="n"/>
      <c r="W705" s="7" t="n"/>
      <c r="X705" s="55" t="n">
        <v>1</v>
      </c>
      <c r="Y705" s="50" t="n">
        <v>0.5</v>
      </c>
      <c r="Z705" s="7" t="inlineStr">
        <is>
          <t>declared</t>
        </is>
      </c>
      <c r="AA705" s="19">
        <f>IF(ISBLANK(Welcome!D731),"",Welcome!D731)</f>
        <v/>
      </c>
      <c r="AB705" s="29">
        <f>IF(ISBLANK(Welcome!E731),"",Welcome!E731)</f>
        <v/>
      </c>
      <c r="AC705" s="29">
        <f>IF(N(AB705)&gt;0,N(AB705),N(AA705)*Y705)</f>
        <v/>
      </c>
      <c r="AD705" s="29">
        <f>IF(H705="yes",AC705,0)</f>
        <v/>
      </c>
      <c r="AE705" s="29">
        <f>AD705*N(M705)/100</f>
        <v/>
      </c>
      <c r="AF705" s="29">
        <f>AD705*N(O705)/100</f>
        <v/>
      </c>
      <c r="AG705" s="29">
        <f>AD705*N(P705)/100</f>
        <v/>
      </c>
      <c r="AH705" s="50">
        <f>IF(Q705="yes",AD705/1000,0)</f>
        <v/>
      </c>
      <c r="AI705" s="50">
        <f>IF(S705="FG2",AH705*X705,AH705)</f>
        <v/>
      </c>
    </row>
    <row r="706">
      <c r="A706" s="7" t="inlineStr">
        <is>
          <t>HM00703</t>
        </is>
      </c>
      <c r="B706" s="16" t="inlineStr">
        <is>
          <t>8712345830281</t>
        </is>
      </c>
      <c r="C706" s="7" t="inlineStr">
        <is>
          <t>HM CHKN MAYO SANDWICH 170G</t>
        </is>
      </c>
      <c r="D706" s="7" t="inlineStr">
        <is>
          <t>Chicken mayo sandwich, 170g</t>
        </is>
      </c>
      <c r="E706" s="7" t="inlineStr">
        <is>
          <t>Harbour Market</t>
        </is>
      </c>
      <c r="F706" s="7" t="inlineStr">
        <is>
          <t>Ready Meals</t>
        </is>
      </c>
      <c r="G706" s="7" t="inlineStr">
        <is>
          <t>Sandwiches</t>
        </is>
      </c>
      <c r="H706" s="7" t="inlineStr">
        <is>
          <t>yes</t>
        </is>
      </c>
      <c r="I706" s="7" t="inlineStr">
        <is>
          <t>Animal &amp; plant composite</t>
        </is>
      </c>
      <c r="J706" s="7" t="inlineStr">
        <is>
          <t>Meat-based dishes</t>
        </is>
      </c>
      <c r="K706" s="7" t="inlineStr">
        <is>
          <t>B</t>
        </is>
      </c>
      <c r="L706" s="7" t="inlineStr">
        <is>
          <t>50/50 convention</t>
        </is>
      </c>
      <c r="M706" s="51" t="n">
        <v>10.9</v>
      </c>
      <c r="N706" s="7" t="inlineStr">
        <is>
          <t>Declared by the retailer</t>
        </is>
      </c>
      <c r="O706" s="54" t="n">
        <v>5.45</v>
      </c>
      <c r="P706" s="54" t="n">
        <v>5.45</v>
      </c>
      <c r="Q706" s="7" t="inlineStr">
        <is>
          <t>yes</t>
        </is>
      </c>
      <c r="R706" s="7" t="inlineStr">
        <is>
          <t>composite</t>
        </is>
      </c>
      <c r="S706" s="7" t="n"/>
      <c r="T706" s="7" t="n"/>
      <c r="U706" s="7" t="n"/>
      <c r="V706" s="7" t="inlineStr">
        <is>
          <t>meat-based</t>
        </is>
      </c>
      <c r="W706" s="7" t="n"/>
      <c r="X706" s="55" t="n">
        <v>1</v>
      </c>
      <c r="Y706" s="50" t="n">
        <v>0.17</v>
      </c>
      <c r="Z706" s="7" t="inlineStr">
        <is>
          <t>declared</t>
        </is>
      </c>
      <c r="AA706" s="19">
        <f>IF(ISBLANK(Welcome!D732),"",Welcome!D732)</f>
        <v/>
      </c>
      <c r="AB706" s="29">
        <f>IF(ISBLANK(Welcome!E732),"",Welcome!E732)</f>
        <v/>
      </c>
      <c r="AC706" s="29">
        <f>IF(N(AB706)&gt;0,N(AB706),N(AA706)*Y706)</f>
        <v/>
      </c>
      <c r="AD706" s="29">
        <f>IF(H706="yes",AC706,0)</f>
        <v/>
      </c>
      <c r="AE706" s="29">
        <f>AD706*N(M706)/100</f>
        <v/>
      </c>
      <c r="AF706" s="29">
        <f>AD706*N(O706)/100</f>
        <v/>
      </c>
      <c r="AG706" s="29">
        <f>AD706*N(P706)/100</f>
        <v/>
      </c>
      <c r="AH706" s="50">
        <f>IF(Q706="yes",AD706/1000,0)</f>
        <v/>
      </c>
      <c r="AI706" s="50">
        <f>IF(S706="FG2",AH706*X706,AH706)</f>
        <v/>
      </c>
    </row>
    <row r="707">
      <c r="A707" s="7" t="inlineStr">
        <is>
          <t>HM00030</t>
        </is>
      </c>
      <c r="B707" s="16" t="inlineStr">
        <is>
          <t>8712345591663</t>
        </is>
      </c>
      <c r="C707" s="7" t="inlineStr">
        <is>
          <t>HM PLANT MINCE 400G</t>
        </is>
      </c>
      <c r="D707" s="7" t="inlineStr">
        <is>
          <t>Plant-based mince, 400g</t>
        </is>
      </c>
      <c r="E707" s="7" t="inlineStr">
        <is>
          <t>Harbour Market</t>
        </is>
      </c>
      <c r="F707" s="7" t="inlineStr">
        <is>
          <t>Plant-Based</t>
        </is>
      </c>
      <c r="G707" s="7" t="inlineStr">
        <is>
          <t>Meat Alternatives</t>
        </is>
      </c>
      <c r="H707" s="7" t="inlineStr">
        <is>
          <t>yes</t>
        </is>
      </c>
      <c r="I707" s="7" t="inlineStr">
        <is>
          <t>Plant-based core</t>
        </is>
      </c>
      <c r="J707" s="7" t="inlineStr">
        <is>
          <t>Plant-based meat alternatives</t>
        </is>
      </c>
      <c r="K707" s="7" t="inlineStr">
        <is>
          <t>A</t>
        </is>
      </c>
      <c r="L707" s="7" t="inlineStr">
        <is>
          <t>All ingredients on one side</t>
        </is>
      </c>
      <c r="M707" s="51" t="n">
        <v>18</v>
      </c>
      <c r="N707" s="7" t="inlineStr">
        <is>
          <t>Altera reference base</t>
        </is>
      </c>
      <c r="O707" s="54" t="n">
        <v>18</v>
      </c>
      <c r="P707" s="54" t="n">
        <v>0</v>
      </c>
      <c r="Q707" s="7" t="inlineStr">
        <is>
          <t>yes</t>
        </is>
      </c>
      <c r="R707" s="7" t="inlineStr">
        <is>
          <t>whole</t>
        </is>
      </c>
      <c r="S707" s="7" t="inlineStr">
        <is>
          <t>FG1</t>
        </is>
      </c>
      <c r="T707" s="7" t="inlineStr">
        <is>
          <t>Alternative products</t>
        </is>
      </c>
      <c r="U707" s="7" t="inlineStr">
        <is>
          <t>plant</t>
        </is>
      </c>
      <c r="V707" s="7" t="n"/>
      <c r="W707" s="7" t="n"/>
      <c r="X707" s="55" t="n">
        <v>1</v>
      </c>
      <c r="Y707" s="50" t="n">
        <v>0.4</v>
      </c>
      <c r="Z707" s="7" t="inlineStr">
        <is>
          <t>label</t>
        </is>
      </c>
      <c r="AA707" s="19">
        <f>IF(ISBLANK(Welcome!D733),"",Welcome!D733)</f>
        <v/>
      </c>
      <c r="AB707" s="29">
        <f>IF(ISBLANK(Welcome!E733),"",Welcome!E733)</f>
        <v/>
      </c>
      <c r="AC707" s="29">
        <f>IF(N(AB707)&gt;0,N(AB707),N(AA707)*Y707)</f>
        <v/>
      </c>
      <c r="AD707" s="29">
        <f>IF(H707="yes",AC707,0)</f>
        <v/>
      </c>
      <c r="AE707" s="29">
        <f>AD707*N(M707)/100</f>
        <v/>
      </c>
      <c r="AF707" s="29">
        <f>AD707*N(O707)/100</f>
        <v/>
      </c>
      <c r="AG707" s="29">
        <f>AD707*N(P707)/100</f>
        <v/>
      </c>
      <c r="AH707" s="50">
        <f>IF(Q707="yes",AD707/1000,0)</f>
        <v/>
      </c>
      <c r="AI707" s="50">
        <f>IF(S707="FG2",AH707*X707,AH707)</f>
        <v/>
      </c>
    </row>
    <row r="708">
      <c r="A708" s="7" t="inlineStr">
        <is>
          <t>HM00261</t>
        </is>
      </c>
      <c r="B708" s="16" t="inlineStr">
        <is>
          <t>3012345136068</t>
        </is>
      </c>
      <c r="C708" s="7" t="inlineStr">
        <is>
          <t>HM TEALIGHTS 50PK EACH</t>
        </is>
      </c>
      <c r="D708" s="7" t="inlineStr">
        <is>
          <t>Tealights</t>
        </is>
      </c>
      <c r="E708" s="7" t="inlineStr">
        <is>
          <t>Harbour Market</t>
        </is>
      </c>
      <c r="F708" s="7" t="inlineStr">
        <is>
          <t>Household</t>
        </is>
      </c>
      <c r="G708" s="7" t="inlineStr">
        <is>
          <t>Household</t>
        </is>
      </c>
      <c r="H708" s="7" t="inlineStr">
        <is>
          <t>no</t>
        </is>
      </c>
      <c r="I708" s="7" t="n"/>
      <c r="J708" s="7" t="n"/>
      <c r="K708" s="7" t="n"/>
      <c r="L708" s="7" t="n"/>
      <c r="M708" s="51" t="n"/>
      <c r="N708" s="7" t="n"/>
      <c r="O708" s="54" t="n"/>
      <c r="P708" s="54" t="n"/>
      <c r="Q708" s="7" t="inlineStr">
        <is>
          <t>no</t>
        </is>
      </c>
      <c r="R708" s="7" t="n"/>
      <c r="S708" s="7" t="n"/>
      <c r="T708" s="7" t="n"/>
      <c r="U708" s="7" t="n"/>
      <c r="V708" s="7" t="n"/>
      <c r="W708" s="7" t="n"/>
      <c r="X708" s="55" t="n">
        <v>1</v>
      </c>
      <c r="Y708" s="50" t="n">
        <v>0.2</v>
      </c>
      <c r="Z708" s="7" t="inlineStr">
        <is>
          <t>declared</t>
        </is>
      </c>
      <c r="AA708" s="19">
        <f>IF(ISBLANK(Welcome!D734),"",Welcome!D734)</f>
        <v/>
      </c>
      <c r="AB708" s="29">
        <f>IF(ISBLANK(Welcome!E734),"",Welcome!E734)</f>
        <v/>
      </c>
      <c r="AC708" s="29">
        <f>IF(N(AB708)&gt;0,N(AB708),N(AA708)*Y708)</f>
        <v/>
      </c>
      <c r="AD708" s="29">
        <f>IF(H708="yes",AC708,0)</f>
        <v/>
      </c>
      <c r="AE708" s="29">
        <f>AD708*N(M708)/100</f>
        <v/>
      </c>
      <c r="AF708" s="29">
        <f>AD708*N(O708)/100</f>
        <v/>
      </c>
      <c r="AG708" s="29">
        <f>AD708*N(P708)/100</f>
        <v/>
      </c>
      <c r="AH708" s="50">
        <f>IF(Q708="yes",AD708/1000,0)</f>
        <v/>
      </c>
      <c r="AI708" s="50">
        <f>IF(S708="FG2",AH708*X708,AH708)</f>
        <v/>
      </c>
    </row>
    <row r="709">
      <c r="A709" s="7" t="inlineStr">
        <is>
          <t>HM00110</t>
        </is>
      </c>
      <c r="B709" s="16" t="inlineStr">
        <is>
          <t>4012345551655</t>
        </is>
      </c>
      <c r="C709" s="7" t="inlineStr">
        <is>
          <t>HM BIN BAGS 50L 4PK</t>
        </is>
      </c>
      <c r="D709" s="7" t="inlineStr">
        <is>
          <t>Bin bags, 50 L, 4pk</t>
        </is>
      </c>
      <c r="E709" s="7" t="inlineStr">
        <is>
          <t>Harbour Market</t>
        </is>
      </c>
      <c r="F709" s="7" t="inlineStr">
        <is>
          <t>Household</t>
        </is>
      </c>
      <c r="G709" s="7" t="inlineStr">
        <is>
          <t>Household</t>
        </is>
      </c>
      <c r="H709" s="7" t="inlineStr">
        <is>
          <t>no</t>
        </is>
      </c>
      <c r="I709" s="7" t="n"/>
      <c r="J709" s="7" t="n"/>
      <c r="K709" s="7" t="n"/>
      <c r="L709" s="7" t="n"/>
      <c r="M709" s="51" t="n"/>
      <c r="N709" s="7" t="n"/>
      <c r="O709" s="54" t="n"/>
      <c r="P709" s="54" t="n"/>
      <c r="Q709" s="7" t="inlineStr">
        <is>
          <t>no</t>
        </is>
      </c>
      <c r="R709" s="7" t="n"/>
      <c r="S709" s="7" t="n"/>
      <c r="T709" s="7" t="n"/>
      <c r="U709" s="7" t="n"/>
      <c r="V709" s="7" t="n"/>
      <c r="W709" s="7" t="n"/>
      <c r="X709" s="55" t="n">
        <v>1</v>
      </c>
      <c r="Y709" s="50" t="n">
        <v>0.5</v>
      </c>
      <c r="Z709" s="7" t="inlineStr">
        <is>
          <t>declared</t>
        </is>
      </c>
      <c r="AA709" s="19">
        <f>IF(ISBLANK(Welcome!D735),"",Welcome!D735)</f>
        <v/>
      </c>
      <c r="AB709" s="29">
        <f>IF(ISBLANK(Welcome!E735),"",Welcome!E735)</f>
        <v/>
      </c>
      <c r="AC709" s="29">
        <f>IF(N(AB709)&gt;0,N(AB709),N(AA709)*Y709)</f>
        <v/>
      </c>
      <c r="AD709" s="29">
        <f>IF(H709="yes",AC709,0)</f>
        <v/>
      </c>
      <c r="AE709" s="29">
        <f>AD709*N(M709)/100</f>
        <v/>
      </c>
      <c r="AF709" s="29">
        <f>AD709*N(O709)/100</f>
        <v/>
      </c>
      <c r="AG709" s="29">
        <f>AD709*N(P709)/100</f>
        <v/>
      </c>
      <c r="AH709" s="50">
        <f>IF(Q709="yes",AD709/1000,0)</f>
        <v/>
      </c>
      <c r="AI709" s="50">
        <f>IF(S709="FG2",AH709*X709,AH709)</f>
        <v/>
      </c>
    </row>
    <row r="710">
      <c r="A710" s="7" t="inlineStr">
        <is>
          <t>HM00342</t>
        </is>
      </c>
      <c r="B710" s="16" t="inlineStr">
        <is>
          <t>4012345205589</t>
        </is>
      </c>
      <c r="C710" s="7" t="inlineStr">
        <is>
          <t>HM MIXED VEG 500G</t>
        </is>
      </c>
      <c r="D710" s="7" t="inlineStr">
        <is>
          <t>Mixed vegetables, 500g</t>
        </is>
      </c>
      <c r="E710" s="7" t="inlineStr">
        <is>
          <t>Harbour Market</t>
        </is>
      </c>
      <c r="F710" s="7" t="inlineStr">
        <is>
          <t>Frozen</t>
        </is>
      </c>
      <c r="G710" s="7" t="inlineStr">
        <is>
          <t>Frozen Vegetables</t>
        </is>
      </c>
      <c r="H710" s="7" t="inlineStr">
        <is>
          <t>yes</t>
        </is>
      </c>
      <c r="I710" s="7" t="inlineStr">
        <is>
          <t>Plant-based non-core</t>
        </is>
      </c>
      <c r="J710" s="7" t="inlineStr">
        <is>
          <t>Fruit and vegetables</t>
        </is>
      </c>
      <c r="K710" s="7" t="inlineStr">
        <is>
          <t>A</t>
        </is>
      </c>
      <c r="L710" s="7" t="inlineStr">
        <is>
          <t>All ingredients on one side</t>
        </is>
      </c>
      <c r="M710" s="51" t="n">
        <v>2.6</v>
      </c>
      <c r="N710" s="7" t="inlineStr">
        <is>
          <t>Median of the family</t>
        </is>
      </c>
      <c r="O710" s="54" t="n">
        <v>2.6</v>
      </c>
      <c r="P710" s="54" t="n">
        <v>0</v>
      </c>
      <c r="Q710" s="7" t="inlineStr">
        <is>
          <t>yes</t>
        </is>
      </c>
      <c r="R710" s="7" t="inlineStr">
        <is>
          <t>whole</t>
        </is>
      </c>
      <c r="S710" s="7" t="inlineStr">
        <is>
          <t>FG4</t>
        </is>
      </c>
      <c r="T710" s="7" t="n"/>
      <c r="U710" s="7" t="inlineStr">
        <is>
          <t>plant</t>
        </is>
      </c>
      <c r="V710" s="7" t="n"/>
      <c r="W710" s="7" t="n"/>
      <c r="X710" s="55" t="n">
        <v>1</v>
      </c>
      <c r="Y710" s="50" t="n">
        <v>0.5</v>
      </c>
      <c r="Z710" s="7" t="inlineStr">
        <is>
          <t>declared</t>
        </is>
      </c>
      <c r="AA710" s="19">
        <f>IF(ISBLANK(Welcome!D736),"",Welcome!D736)</f>
        <v/>
      </c>
      <c r="AB710" s="29">
        <f>IF(ISBLANK(Welcome!E736),"",Welcome!E736)</f>
        <v/>
      </c>
      <c r="AC710" s="29">
        <f>IF(N(AB710)&gt;0,N(AB710),N(AA710)*Y710)</f>
        <v/>
      </c>
      <c r="AD710" s="29">
        <f>IF(H710="yes",AC710,0)</f>
        <v/>
      </c>
      <c r="AE710" s="29">
        <f>AD710*N(M710)/100</f>
        <v/>
      </c>
      <c r="AF710" s="29">
        <f>AD710*N(O710)/100</f>
        <v/>
      </c>
      <c r="AG710" s="29">
        <f>AD710*N(P710)/100</f>
        <v/>
      </c>
      <c r="AH710" s="50">
        <f>IF(Q710="yes",AD710/1000,0)</f>
        <v/>
      </c>
      <c r="AI710" s="50">
        <f>IF(S710="FG2",AH710*X710,AH710)</f>
        <v/>
      </c>
    </row>
    <row r="711">
      <c r="A711" s="7" t="inlineStr">
        <is>
          <t>HM00384</t>
        </is>
      </c>
      <c r="B711" s="16" t="inlineStr">
        <is>
          <t>8712345197773</t>
        </is>
      </c>
      <c r="C711" s="7" t="inlineStr">
        <is>
          <t>HM PARMESAN WEDGE 400G</t>
        </is>
      </c>
      <c r="D711" s="7" t="inlineStr">
        <is>
          <t>Parmesan wedge, 400g</t>
        </is>
      </c>
      <c r="E711" s="7" t="inlineStr">
        <is>
          <t>Harbour Market</t>
        </is>
      </c>
      <c r="F711" s="7" t="inlineStr">
        <is>
          <t>Cheese</t>
        </is>
      </c>
      <c r="G711" s="7" t="inlineStr">
        <is>
          <t>Hard Cheese</t>
        </is>
      </c>
      <c r="H711" s="7" t="inlineStr">
        <is>
          <t>yes</t>
        </is>
      </c>
      <c r="I711" s="7" t="inlineStr">
        <is>
          <t>Animal core</t>
        </is>
      </c>
      <c r="J711" s="7" t="inlineStr">
        <is>
          <t>Cheese</t>
        </is>
      </c>
      <c r="K711" s="7" t="inlineStr">
        <is>
          <t>A</t>
        </is>
      </c>
      <c r="L711" s="7" t="inlineStr">
        <is>
          <t>All ingredients on one side</t>
        </is>
      </c>
      <c r="M711" s="51" t="n">
        <v>33.8</v>
      </c>
      <c r="N711" s="7" t="inlineStr">
        <is>
          <t>Median of the family</t>
        </is>
      </c>
      <c r="O711" s="54" t="n">
        <v>0</v>
      </c>
      <c r="P711" s="54" t="n">
        <v>33.8</v>
      </c>
      <c r="Q711" s="7" t="inlineStr">
        <is>
          <t>yes</t>
        </is>
      </c>
      <c r="R711" s="7" t="inlineStr">
        <is>
          <t>whole</t>
        </is>
      </c>
      <c r="S711" s="7" t="inlineStr">
        <is>
          <t>FG2</t>
        </is>
      </c>
      <c r="T711" s="7" t="inlineStr">
        <is>
          <t>Dairy</t>
        </is>
      </c>
      <c r="U711" s="7" t="inlineStr">
        <is>
          <t>animal</t>
        </is>
      </c>
      <c r="V711" s="7" t="n"/>
      <c r="W711" s="7" t="n"/>
      <c r="X711" s="55" t="n">
        <v>10</v>
      </c>
      <c r="Y711" s="50" t="n">
        <v>0.4</v>
      </c>
      <c r="Z711" s="7" t="inlineStr">
        <is>
          <t>declared</t>
        </is>
      </c>
      <c r="AA711" s="19">
        <f>IF(ISBLANK(Welcome!D737),"",Welcome!D737)</f>
        <v/>
      </c>
      <c r="AB711" s="29">
        <f>IF(ISBLANK(Welcome!E737),"",Welcome!E737)</f>
        <v/>
      </c>
      <c r="AC711" s="29">
        <f>IF(N(AB711)&gt;0,N(AB711),N(AA711)*Y711)</f>
        <v/>
      </c>
      <c r="AD711" s="29">
        <f>IF(H711="yes",AC711,0)</f>
        <v/>
      </c>
      <c r="AE711" s="29">
        <f>AD711*N(M711)/100</f>
        <v/>
      </c>
      <c r="AF711" s="29">
        <f>AD711*N(O711)/100</f>
        <v/>
      </c>
      <c r="AG711" s="29">
        <f>AD711*N(P711)/100</f>
        <v/>
      </c>
      <c r="AH711" s="50">
        <f>IF(Q711="yes",AD711/1000,0)</f>
        <v/>
      </c>
      <c r="AI711" s="50">
        <f>IF(S711="FG2",AH711*X711,AH711)</f>
        <v/>
      </c>
    </row>
    <row r="712">
      <c r="A712" s="7" t="inlineStr">
        <is>
          <t>HM00158</t>
        </is>
      </c>
      <c r="B712" s="16" t="inlineStr">
        <is>
          <t>8712345751968</t>
        </is>
      </c>
      <c r="C712" s="7" t="inlineStr">
        <is>
          <t>HM CHEESE PICKLE SANDWICH EACH</t>
        </is>
      </c>
      <c r="D712" s="7" t="inlineStr">
        <is>
          <t>Cheese &amp; pickle sandwich</t>
        </is>
      </c>
      <c r="E712" s="7" t="inlineStr">
        <is>
          <t>Harbour Market</t>
        </is>
      </c>
      <c r="F712" s="7" t="inlineStr">
        <is>
          <t>Ready Meals</t>
        </is>
      </c>
      <c r="G712" s="7" t="inlineStr">
        <is>
          <t>Sandwiches</t>
        </is>
      </c>
      <c r="H712" s="7" t="inlineStr">
        <is>
          <t>yes</t>
        </is>
      </c>
      <c r="I712" s="7" t="inlineStr">
        <is>
          <t>Animal &amp; plant composite</t>
        </is>
      </c>
      <c r="J712" s="7" t="inlineStr">
        <is>
          <t>Vegetarian dishes</t>
        </is>
      </c>
      <c r="K712" s="7" t="inlineStr">
        <is>
          <t>B</t>
        </is>
      </c>
      <c r="L712" s="7" t="inlineStr">
        <is>
          <t>50/50 convention</t>
        </is>
      </c>
      <c r="M712" s="51" t="n">
        <v>10.4</v>
      </c>
      <c r="N712" s="7" t="inlineStr">
        <is>
          <t>Declared by the retailer</t>
        </is>
      </c>
      <c r="O712" s="54" t="n">
        <v>5.2</v>
      </c>
      <c r="P712" s="54" t="n">
        <v>5.2</v>
      </c>
      <c r="Q712" s="7" t="inlineStr">
        <is>
          <t>yes</t>
        </is>
      </c>
      <c r="R712" s="7" t="inlineStr">
        <is>
          <t>composite</t>
        </is>
      </c>
      <c r="S712" s="7" t="n"/>
      <c r="T712" s="7" t="n"/>
      <c r="U712" s="7" t="n"/>
      <c r="V712" s="7" t="inlineStr">
        <is>
          <t>vegetarian</t>
        </is>
      </c>
      <c r="W712" s="7" t="n"/>
      <c r="X712" s="55" t="n">
        <v>1</v>
      </c>
      <c r="Y712" s="50" t="n">
        <v>0.18</v>
      </c>
      <c r="Z712" s="7" t="inlineStr">
        <is>
          <t>declared</t>
        </is>
      </c>
      <c r="AA712" s="19">
        <f>IF(ISBLANK(Welcome!D738),"",Welcome!D738)</f>
        <v/>
      </c>
      <c r="AB712" s="29">
        <f>IF(ISBLANK(Welcome!E738),"",Welcome!E738)</f>
        <v/>
      </c>
      <c r="AC712" s="29">
        <f>IF(N(AB712)&gt;0,N(AB712),N(AA712)*Y712)</f>
        <v/>
      </c>
      <c r="AD712" s="29">
        <f>IF(H712="yes",AC712,0)</f>
        <v/>
      </c>
      <c r="AE712" s="29">
        <f>AD712*N(M712)/100</f>
        <v/>
      </c>
      <c r="AF712" s="29">
        <f>AD712*N(O712)/100</f>
        <v/>
      </c>
      <c r="AG712" s="29">
        <f>AD712*N(P712)/100</f>
        <v/>
      </c>
      <c r="AH712" s="50">
        <f>IF(Q712="yes",AD712/1000,0)</f>
        <v/>
      </c>
      <c r="AI712" s="50">
        <f>IF(S712="FG2",AH712*X712,AH712)</f>
        <v/>
      </c>
    </row>
    <row r="713">
      <c r="A713" s="7" t="inlineStr">
        <is>
          <t>HM00509</t>
        </is>
      </c>
      <c r="B713" s="16" t="inlineStr">
        <is>
          <t>3012345170307</t>
        </is>
      </c>
      <c r="C713" s="7" t="inlineStr">
        <is>
          <t>TUNA STEAK OLV OIL 125G KESTREL</t>
        </is>
      </c>
      <c r="D713" s="7" t="inlineStr">
        <is>
          <t>Tuna steak in olive oil, 125g</t>
        </is>
      </c>
      <c r="E713" s="7" t="inlineStr">
        <is>
          <t>Kestrel Bay</t>
        </is>
      </c>
      <c r="F713" s="7" t="inlineStr">
        <is>
          <t>Fish &amp; Seafood</t>
        </is>
      </c>
      <c r="G713" s="7" t="inlineStr">
        <is>
          <t>Canned Fish</t>
        </is>
      </c>
      <c r="H713" s="7" t="inlineStr">
        <is>
          <t>yes</t>
        </is>
      </c>
      <c r="I713" s="7" t="inlineStr">
        <is>
          <t>Animal core</t>
        </is>
      </c>
      <c r="J713" s="7" t="inlineStr">
        <is>
          <t>Fish and seafood</t>
        </is>
      </c>
      <c r="K713" s="7" t="inlineStr">
        <is>
          <t>A</t>
        </is>
      </c>
      <c r="L713" s="7" t="inlineStr">
        <is>
          <t>All ingredients on one side</t>
        </is>
      </c>
      <c r="M713" s="51" t="n">
        <v>23.6</v>
      </c>
      <c r="N713" s="7" t="inlineStr">
        <is>
          <t>Median of the family</t>
        </is>
      </c>
      <c r="O713" s="54" t="n">
        <v>0</v>
      </c>
      <c r="P713" s="54" t="n">
        <v>23.6</v>
      </c>
      <c r="Q713" s="7" t="inlineStr">
        <is>
          <t>yes</t>
        </is>
      </c>
      <c r="R713" s="7" t="inlineStr">
        <is>
          <t>whole</t>
        </is>
      </c>
      <c r="S713" s="7" t="inlineStr">
        <is>
          <t>FG1</t>
        </is>
      </c>
      <c r="T713" s="7" t="inlineStr">
        <is>
          <t>Fish &amp; shellfish</t>
        </is>
      </c>
      <c r="U713" s="7" t="inlineStr">
        <is>
          <t>animal</t>
        </is>
      </c>
      <c r="V713" s="7" t="n"/>
      <c r="W713" s="7" t="n"/>
      <c r="X713" s="55" t="n">
        <v>1</v>
      </c>
      <c r="Y713" s="50" t="n">
        <v>0.125</v>
      </c>
      <c r="Z713" s="7" t="inlineStr">
        <is>
          <t>declared</t>
        </is>
      </c>
      <c r="AA713" s="19">
        <f>IF(ISBLANK(Welcome!D739),"",Welcome!D739)</f>
        <v/>
      </c>
      <c r="AB713" s="29">
        <f>IF(ISBLANK(Welcome!E739),"",Welcome!E739)</f>
        <v/>
      </c>
      <c r="AC713" s="29">
        <f>IF(N(AB713)&gt;0,N(AB713),N(AA713)*Y713)</f>
        <v/>
      </c>
      <c r="AD713" s="29">
        <f>IF(H713="yes",AC713,0)</f>
        <v/>
      </c>
      <c r="AE713" s="29">
        <f>AD713*N(M713)/100</f>
        <v/>
      </c>
      <c r="AF713" s="29">
        <f>AD713*N(O713)/100</f>
        <v/>
      </c>
      <c r="AG713" s="29">
        <f>AD713*N(P713)/100</f>
        <v/>
      </c>
      <c r="AH713" s="50">
        <f>IF(Q713="yes",AD713/1000,0)</f>
        <v/>
      </c>
      <c r="AI713" s="50">
        <f>IF(S713="FG2",AH713*X713,AH713)</f>
        <v/>
      </c>
    </row>
    <row r="714">
      <c r="A714" s="7" t="inlineStr">
        <is>
          <t>HM00413</t>
        </is>
      </c>
      <c r="B714" s="16" t="inlineStr">
        <is>
          <t>5012345155005</t>
        </is>
      </c>
      <c r="C714" s="7" t="inlineStr">
        <is>
          <t>HM HOUMOUS CLASSIC 200G</t>
        </is>
      </c>
      <c r="D714" s="7" t="inlineStr">
        <is>
          <t>Classic houmous, 200g</t>
        </is>
      </c>
      <c r="E714" s="7" t="inlineStr">
        <is>
          <t>Harbour Market</t>
        </is>
      </c>
      <c r="F714" s="7" t="inlineStr">
        <is>
          <t>Deli</t>
        </is>
      </c>
      <c r="G714" s="7" t="inlineStr">
        <is>
          <t>Dips</t>
        </is>
      </c>
      <c r="H714" s="7" t="inlineStr">
        <is>
          <t>yes</t>
        </is>
      </c>
      <c r="I714" s="7" t="inlineStr">
        <is>
          <t>Plant-based core</t>
        </is>
      </c>
      <c r="J714" s="7" t="inlineStr">
        <is>
          <t>Pulses</t>
        </is>
      </c>
      <c r="K714" s="7" t="inlineStr">
        <is>
          <t>A</t>
        </is>
      </c>
      <c r="L714" s="7" t="inlineStr">
        <is>
          <t>All ingredients on one side</t>
        </is>
      </c>
      <c r="M714" s="51" t="n">
        <v>7</v>
      </c>
      <c r="N714" s="7" t="inlineStr">
        <is>
          <t>Median of the family</t>
        </is>
      </c>
      <c r="O714" s="54" t="n">
        <v>7</v>
      </c>
      <c r="P714" s="54" t="n">
        <v>0</v>
      </c>
      <c r="Q714" s="7" t="inlineStr">
        <is>
          <t>yes</t>
        </is>
      </c>
      <c r="R714" s="7" t="inlineStr">
        <is>
          <t>whole</t>
        </is>
      </c>
      <c r="S714" s="7" t="inlineStr">
        <is>
          <t>FG1</t>
        </is>
      </c>
      <c r="T714" s="7" t="inlineStr">
        <is>
          <t>Pulses</t>
        </is>
      </c>
      <c r="U714" s="7" t="inlineStr">
        <is>
          <t>plant</t>
        </is>
      </c>
      <c r="V714" s="7" t="n"/>
      <c r="W714" s="7" t="n"/>
      <c r="X714" s="55" t="n">
        <v>1</v>
      </c>
      <c r="Y714" s="50" t="n">
        <v>0.2</v>
      </c>
      <c r="Z714" s="7" t="inlineStr">
        <is>
          <t>label</t>
        </is>
      </c>
      <c r="AA714" s="19">
        <f>IF(ISBLANK(Welcome!D740),"",Welcome!D740)</f>
        <v/>
      </c>
      <c r="AB714" s="29">
        <f>IF(ISBLANK(Welcome!E740),"",Welcome!E740)</f>
        <v/>
      </c>
      <c r="AC714" s="29">
        <f>IF(N(AB714)&gt;0,N(AB714),N(AA714)*Y714)</f>
        <v/>
      </c>
      <c r="AD714" s="29">
        <f>IF(H714="yes",AC714,0)</f>
        <v/>
      </c>
      <c r="AE714" s="29">
        <f>AD714*N(M714)/100</f>
        <v/>
      </c>
      <c r="AF714" s="29">
        <f>AD714*N(O714)/100</f>
        <v/>
      </c>
      <c r="AG714" s="29">
        <f>AD714*N(P714)/100</f>
        <v/>
      </c>
      <c r="AH714" s="50">
        <f>IF(Q714="yes",AD714/1000,0)</f>
        <v/>
      </c>
      <c r="AI714" s="50">
        <f>IF(S714="FG2",AH714*X714,AH714)</f>
        <v/>
      </c>
    </row>
    <row r="715">
      <c r="A715" s="7" t="inlineStr">
        <is>
          <t>HM00435</t>
        </is>
      </c>
      <c r="B715" s="16" t="inlineStr">
        <is>
          <t>4012345774672</t>
        </is>
      </c>
      <c r="C715" s="7" t="inlineStr">
        <is>
          <t>HM BABY POTATOES 750G</t>
        </is>
      </c>
      <c r="D715" s="7" t="inlineStr">
        <is>
          <t>Baby potatoes, 750g</t>
        </is>
      </c>
      <c r="E715" s="7" t="inlineStr">
        <is>
          <t>Harbour Market</t>
        </is>
      </c>
      <c r="F715" s="7" t="inlineStr">
        <is>
          <t>Fruit &amp; Vegetables</t>
        </is>
      </c>
      <c r="G715" s="7" t="inlineStr">
        <is>
          <t>Potatoes</t>
        </is>
      </c>
      <c r="H715" s="7" t="inlineStr">
        <is>
          <t>yes</t>
        </is>
      </c>
      <c r="I715" s="7" t="inlineStr">
        <is>
          <t>Plant-based non-core</t>
        </is>
      </c>
      <c r="J715" s="7" t="inlineStr">
        <is>
          <t>Starchy foods</t>
        </is>
      </c>
      <c r="K715" s="7" t="inlineStr">
        <is>
          <t>B</t>
        </is>
      </c>
      <c r="L715" s="7" t="inlineStr">
        <is>
          <t>Follows the class</t>
        </is>
      </c>
      <c r="M715" s="51" t="n">
        <v>2.1</v>
      </c>
      <c r="N715" s="7" t="inlineStr">
        <is>
          <t>Declared by the retailer</t>
        </is>
      </c>
      <c r="O715" s="54" t="n">
        <v>2.1</v>
      </c>
      <c r="P715" s="54" t="n">
        <v>0</v>
      </c>
      <c r="Q715" s="7" t="inlineStr">
        <is>
          <t>yes</t>
        </is>
      </c>
      <c r="R715" s="7" t="inlineStr">
        <is>
          <t>whole</t>
        </is>
      </c>
      <c r="S715" s="7" t="inlineStr">
        <is>
          <t>FG6</t>
        </is>
      </c>
      <c r="T715" s="7" t="n"/>
      <c r="U715" s="7" t="inlineStr">
        <is>
          <t>plant</t>
        </is>
      </c>
      <c r="V715" s="7" t="n"/>
      <c r="W715" s="7" t="n"/>
      <c r="X715" s="55" t="n">
        <v>1</v>
      </c>
      <c r="Y715" s="50" t="n">
        <v>0.75</v>
      </c>
      <c r="Z715" s="7" t="inlineStr">
        <is>
          <t>declared</t>
        </is>
      </c>
      <c r="AA715" s="19">
        <f>IF(ISBLANK(Welcome!D741),"",Welcome!D741)</f>
        <v/>
      </c>
      <c r="AB715" s="29">
        <f>IF(ISBLANK(Welcome!E741),"",Welcome!E741)</f>
        <v/>
      </c>
      <c r="AC715" s="29">
        <f>IF(N(AB715)&gt;0,N(AB715),N(AA715)*Y715)</f>
        <v/>
      </c>
      <c r="AD715" s="29">
        <f>IF(H715="yes",AC715,0)</f>
        <v/>
      </c>
      <c r="AE715" s="29">
        <f>AD715*N(M715)/100</f>
        <v/>
      </c>
      <c r="AF715" s="29">
        <f>AD715*N(O715)/100</f>
        <v/>
      </c>
      <c r="AG715" s="29">
        <f>AD715*N(P715)/100</f>
        <v/>
      </c>
      <c r="AH715" s="50">
        <f>IF(Q715="yes",AD715/1000,0)</f>
        <v/>
      </c>
      <c r="AI715" s="50">
        <f>IF(S715="FG2",AH715*X715,AH715)</f>
        <v/>
      </c>
    </row>
    <row r="716">
      <c r="A716" s="7" t="inlineStr">
        <is>
          <t>HM00644</t>
        </is>
      </c>
      <c r="B716" s="16" t="inlineStr">
        <is>
          <t>8712345932268</t>
        </is>
      </c>
      <c r="C716" s="7" t="inlineStr">
        <is>
          <t>HM SELF RAISING FLOUR 500G</t>
        </is>
      </c>
      <c r="D716" s="7" t="inlineStr">
        <is>
          <t>Self-raising flour, 500g</t>
        </is>
      </c>
      <c r="E716" s="7" t="inlineStr">
        <is>
          <t>Harbour Market</t>
        </is>
      </c>
      <c r="F716" s="7" t="inlineStr">
        <is>
          <t>Grocery</t>
        </is>
      </c>
      <c r="G716" s="7" t="inlineStr">
        <is>
          <t>Baking</t>
        </is>
      </c>
      <c r="H716" s="7" t="inlineStr">
        <is>
          <t>yes</t>
        </is>
      </c>
      <c r="I716" s="7" t="inlineStr">
        <is>
          <t>Plant-based non-core</t>
        </is>
      </c>
      <c r="J716" s="7" t="inlineStr">
        <is>
          <t>Refined grains</t>
        </is>
      </c>
      <c r="K716" s="7" t="inlineStr">
        <is>
          <t>B</t>
        </is>
      </c>
      <c r="L716" s="7" t="inlineStr">
        <is>
          <t>Follows the class</t>
        </is>
      </c>
      <c r="M716" s="51" t="n">
        <v>10.4</v>
      </c>
      <c r="N716" s="7" t="inlineStr">
        <is>
          <t>National food table (CIQUAL in France)</t>
        </is>
      </c>
      <c r="O716" s="54" t="n">
        <v>10.4</v>
      </c>
      <c r="P716" s="54" t="n">
        <v>0</v>
      </c>
      <c r="Q716" s="7" t="inlineStr">
        <is>
          <t>yes</t>
        </is>
      </c>
      <c r="R716" s="7" t="inlineStr">
        <is>
          <t>whole</t>
        </is>
      </c>
      <c r="S716" s="7" t="inlineStr">
        <is>
          <t>FG5</t>
        </is>
      </c>
      <c r="T716" s="7" t="inlineStr">
        <is>
          <t>Refined grain</t>
        </is>
      </c>
      <c r="U716" s="7" t="inlineStr">
        <is>
          <t>plant</t>
        </is>
      </c>
      <c r="V716" s="7" t="n"/>
      <c r="W716" s="7" t="n"/>
      <c r="X716" s="55" t="n">
        <v>1</v>
      </c>
      <c r="Y716" s="50" t="n">
        <v>0.5</v>
      </c>
      <c r="Z716" s="7" t="inlineStr">
        <is>
          <t>declared</t>
        </is>
      </c>
      <c r="AA716" s="19">
        <f>IF(ISBLANK(Welcome!D742),"",Welcome!D742)</f>
        <v/>
      </c>
      <c r="AB716" s="29">
        <f>IF(ISBLANK(Welcome!E742),"",Welcome!E742)</f>
        <v/>
      </c>
      <c r="AC716" s="29">
        <f>IF(N(AB716)&gt;0,N(AB716),N(AA716)*Y716)</f>
        <v/>
      </c>
      <c r="AD716" s="29">
        <f>IF(H716="yes",AC716,0)</f>
        <v/>
      </c>
      <c r="AE716" s="29">
        <f>AD716*N(M716)/100</f>
        <v/>
      </c>
      <c r="AF716" s="29">
        <f>AD716*N(O716)/100</f>
        <v/>
      </c>
      <c r="AG716" s="29">
        <f>AD716*N(P716)/100</f>
        <v/>
      </c>
      <c r="AH716" s="50">
        <f>IF(Q716="yes",AD716/1000,0)</f>
        <v/>
      </c>
      <c r="AI716" s="50">
        <f>IF(S716="FG2",AH716*X716,AH716)</f>
        <v/>
      </c>
    </row>
    <row r="717">
      <c r="A717" s="7" t="inlineStr">
        <is>
          <t>HM00269</t>
        </is>
      </c>
      <c r="B717" s="16" t="inlineStr">
        <is>
          <t>4012345133905</t>
        </is>
      </c>
      <c r="C717" s="7" t="inlineStr">
        <is>
          <t>MAC CHEESE 400G QUILLAN</t>
        </is>
      </c>
      <c r="D717" s="7" t="inlineStr">
        <is>
          <t>Macaroni cheese, 400g</t>
        </is>
      </c>
      <c r="E717" s="7" t="inlineStr">
        <is>
          <t>Quillan</t>
        </is>
      </c>
      <c r="F717" s="7" t="inlineStr">
        <is>
          <t>Ready Meals</t>
        </is>
      </c>
      <c r="G717" s="7" t="inlineStr">
        <is>
          <t>Ready Meals</t>
        </is>
      </c>
      <c r="H717" s="7" t="inlineStr">
        <is>
          <t>yes</t>
        </is>
      </c>
      <c r="I717" s="7" t="inlineStr">
        <is>
          <t>Animal &amp; plant composite</t>
        </is>
      </c>
      <c r="J717" s="7" t="inlineStr">
        <is>
          <t>Vegetarian dishes</t>
        </is>
      </c>
      <c r="K717" s="7" t="inlineStr">
        <is>
          <t>B</t>
        </is>
      </c>
      <c r="L717" s="7" t="inlineStr">
        <is>
          <t>50/50 convention</t>
        </is>
      </c>
      <c r="M717" s="51" t="n">
        <v>8.300000000000001</v>
      </c>
      <c r="N717" s="7" t="inlineStr">
        <is>
          <t>Declared by the retailer</t>
        </is>
      </c>
      <c r="O717" s="54" t="n">
        <v>4.15</v>
      </c>
      <c r="P717" s="54" t="n">
        <v>4.15</v>
      </c>
      <c r="Q717" s="7" t="inlineStr">
        <is>
          <t>yes</t>
        </is>
      </c>
      <c r="R717" s="7" t="inlineStr">
        <is>
          <t>composite</t>
        </is>
      </c>
      <c r="S717" s="7" t="n"/>
      <c r="T717" s="7" t="n"/>
      <c r="U717" s="7" t="n"/>
      <c r="V717" s="7" t="inlineStr">
        <is>
          <t>vegetarian</t>
        </is>
      </c>
      <c r="W717" s="7" t="n"/>
      <c r="X717" s="55" t="n">
        <v>1</v>
      </c>
      <c r="Y717" s="50" t="n">
        <v>0.4</v>
      </c>
      <c r="Z717" s="7" t="inlineStr">
        <is>
          <t>declared</t>
        </is>
      </c>
      <c r="AA717" s="19">
        <f>IF(ISBLANK(Welcome!D743),"",Welcome!D743)</f>
        <v/>
      </c>
      <c r="AB717" s="29">
        <f>IF(ISBLANK(Welcome!E743),"",Welcome!E743)</f>
        <v/>
      </c>
      <c r="AC717" s="29">
        <f>IF(N(AB717)&gt;0,N(AB717),N(AA717)*Y717)</f>
        <v/>
      </c>
      <c r="AD717" s="29">
        <f>IF(H717="yes",AC717,0)</f>
        <v/>
      </c>
      <c r="AE717" s="29">
        <f>AD717*N(M717)/100</f>
        <v/>
      </c>
      <c r="AF717" s="29">
        <f>AD717*N(O717)/100</f>
        <v/>
      </c>
      <c r="AG717" s="29">
        <f>AD717*N(P717)/100</f>
        <v/>
      </c>
      <c r="AH717" s="50">
        <f>IF(Q717="yes",AD717/1000,0)</f>
        <v/>
      </c>
      <c r="AI717" s="50">
        <f>IF(S717="FG2",AH717*X717,AH717)</f>
        <v/>
      </c>
    </row>
    <row r="718">
      <c r="A718" s="7" t="inlineStr">
        <is>
          <t>HM00122</t>
        </is>
      </c>
      <c r="B718" s="16" t="inlineStr">
        <is>
          <t>3012345945219</t>
        </is>
      </c>
      <c r="C718" s="7" t="inlineStr">
        <is>
          <t>MARLOWE ICE CREAM CONES 4PK 1.8L</t>
        </is>
      </c>
      <c r="D718" s="7" t="inlineStr">
        <is>
          <t>Vanilla ice cream cones, 1.8l</t>
        </is>
      </c>
      <c r="E718" s="7" t="inlineStr">
        <is>
          <t>Marlowe</t>
        </is>
      </c>
      <c r="F718" s="7" t="inlineStr">
        <is>
          <t>Frozen</t>
        </is>
      </c>
      <c r="G718" s="7" t="inlineStr">
        <is>
          <t>Ice Cream</t>
        </is>
      </c>
      <c r="H718" s="7" t="inlineStr">
        <is>
          <t>yes</t>
        </is>
      </c>
      <c r="I718" s="7" t="inlineStr">
        <is>
          <t>Animal core</t>
        </is>
      </c>
      <c r="J718" s="7" t="inlineStr">
        <is>
          <t>Discretionary products</t>
        </is>
      </c>
      <c r="K718" s="7" t="inlineStr">
        <is>
          <t>B</t>
        </is>
      </c>
      <c r="L718" s="7" t="inlineStr">
        <is>
          <t>First ingredient</t>
        </is>
      </c>
      <c r="M718" s="51" t="n">
        <v>3.6</v>
      </c>
      <c r="N718" s="7" t="inlineStr">
        <is>
          <t>Median of the family</t>
        </is>
      </c>
      <c r="O718" s="54" t="n">
        <v>0</v>
      </c>
      <c r="P718" s="54" t="n">
        <v>3.6</v>
      </c>
      <c r="Q718" s="7" t="inlineStr">
        <is>
          <t>yes</t>
        </is>
      </c>
      <c r="R718" s="7" t="inlineStr">
        <is>
          <t>whole</t>
        </is>
      </c>
      <c r="S718" s="7" t="inlineStr">
        <is>
          <t>FG7</t>
        </is>
      </c>
      <c r="T718" s="7" t="n"/>
      <c r="U718" s="7" t="inlineStr">
        <is>
          <t>animal</t>
        </is>
      </c>
      <c r="V718" s="7" t="n"/>
      <c r="W718" s="7" t="n"/>
      <c r="X718" s="55" t="n">
        <v>1</v>
      </c>
      <c r="Y718" s="50" t="n">
        <v>1</v>
      </c>
      <c r="Z718" s="7" t="inlineStr">
        <is>
          <t>declared</t>
        </is>
      </c>
      <c r="AA718" s="19">
        <f>IF(ISBLANK(Welcome!D744),"",Welcome!D744)</f>
        <v/>
      </c>
      <c r="AB718" s="29">
        <f>IF(ISBLANK(Welcome!E744),"",Welcome!E744)</f>
        <v/>
      </c>
      <c r="AC718" s="29">
        <f>IF(N(AB718)&gt;0,N(AB718),N(AA718)*Y718)</f>
        <v/>
      </c>
      <c r="AD718" s="29">
        <f>IF(H718="yes",AC718,0)</f>
        <v/>
      </c>
      <c r="AE718" s="29">
        <f>AD718*N(M718)/100</f>
        <v/>
      </c>
      <c r="AF718" s="29">
        <f>AD718*N(O718)/100</f>
        <v/>
      </c>
      <c r="AG718" s="29">
        <f>AD718*N(P718)/100</f>
        <v/>
      </c>
      <c r="AH718" s="50">
        <f>IF(Q718="yes",AD718/1000,0)</f>
        <v/>
      </c>
      <c r="AI718" s="50">
        <f>IF(S718="FG2",AH718*X718,AH718)</f>
        <v/>
      </c>
    </row>
    <row r="719">
      <c r="A719" s="7" t="inlineStr">
        <is>
          <t>HM00161</t>
        </is>
      </c>
      <c r="B719" s="16" t="inlineStr">
        <is>
          <t>5012345680170</t>
        </is>
      </c>
      <c r="C719" s="7" t="inlineStr">
        <is>
          <t>HM GINGER NUTS 400G</t>
        </is>
      </c>
      <c r="D719" s="7" t="inlineStr">
        <is>
          <t>Ginger nut biscuits, 400g</t>
        </is>
      </c>
      <c r="E719" s="7" t="inlineStr">
        <is>
          <t>Harbour Market</t>
        </is>
      </c>
      <c r="F719" s="7" t="inlineStr">
        <is>
          <t>Breakfast &amp; Snacks</t>
        </is>
      </c>
      <c r="G719" s="7" t="inlineStr">
        <is>
          <t>Biscuits</t>
        </is>
      </c>
      <c r="H719" s="7" t="inlineStr">
        <is>
          <t>yes</t>
        </is>
      </c>
      <c r="I719" s="7" t="inlineStr">
        <is>
          <t>Plant-based non-core</t>
        </is>
      </c>
      <c r="J719" s="7" t="inlineStr">
        <is>
          <t>Discretionary products</t>
        </is>
      </c>
      <c r="K719" s="7" t="inlineStr">
        <is>
          <t>A</t>
        </is>
      </c>
      <c r="L719" s="7" t="inlineStr">
        <is>
          <t>All ingredients on one side</t>
        </is>
      </c>
      <c r="M719" s="51" t="n">
        <v>6.7</v>
      </c>
      <c r="N719" s="7" t="inlineStr">
        <is>
          <t>Median of the family</t>
        </is>
      </c>
      <c r="O719" s="54" t="n">
        <v>6.7</v>
      </c>
      <c r="P719" s="54" t="n">
        <v>0</v>
      </c>
      <c r="Q719" s="7" t="inlineStr">
        <is>
          <t>yes</t>
        </is>
      </c>
      <c r="R719" s="7" t="inlineStr">
        <is>
          <t>whole</t>
        </is>
      </c>
      <c r="S719" s="7" t="inlineStr">
        <is>
          <t>FG7</t>
        </is>
      </c>
      <c r="T719" s="7" t="n"/>
      <c r="U719" s="7" t="inlineStr">
        <is>
          <t>plant</t>
        </is>
      </c>
      <c r="V719" s="7" t="n"/>
      <c r="W719" s="7" t="n"/>
      <c r="X719" s="55" t="n">
        <v>1</v>
      </c>
      <c r="Y719" s="50" t="n">
        <v>0.4</v>
      </c>
      <c r="Z719" s="7" t="inlineStr">
        <is>
          <t>declared</t>
        </is>
      </c>
      <c r="AA719" s="19">
        <f>IF(ISBLANK(Welcome!D745),"",Welcome!D745)</f>
        <v/>
      </c>
      <c r="AB719" s="29">
        <f>IF(ISBLANK(Welcome!E745),"",Welcome!E745)</f>
        <v/>
      </c>
      <c r="AC719" s="29">
        <f>IF(N(AB719)&gt;0,N(AB719),N(AA719)*Y719)</f>
        <v/>
      </c>
      <c r="AD719" s="29">
        <f>IF(H719="yes",AC719,0)</f>
        <v/>
      </c>
      <c r="AE719" s="29">
        <f>AD719*N(M719)/100</f>
        <v/>
      </c>
      <c r="AF719" s="29">
        <f>AD719*N(O719)/100</f>
        <v/>
      </c>
      <c r="AG719" s="29">
        <f>AD719*N(P719)/100</f>
        <v/>
      </c>
      <c r="AH719" s="50">
        <f>IF(Q719="yes",AD719/1000,0)</f>
        <v/>
      </c>
      <c r="AI719" s="50">
        <f>IF(S719="FG2",AH719*X719,AH719)</f>
        <v/>
      </c>
    </row>
    <row r="720">
      <c r="A720" s="7" t="inlineStr">
        <is>
          <t>HM00055</t>
        </is>
      </c>
      <c r="B720" s="16" t="inlineStr">
        <is>
          <t>5012345015279</t>
        </is>
      </c>
      <c r="C720" s="7" t="inlineStr">
        <is>
          <t>HM TKY BREAST SLICES 100G</t>
        </is>
      </c>
      <c r="D720" s="7" t="inlineStr">
        <is>
          <t>Turkey breast slices, 100g</t>
        </is>
      </c>
      <c r="E720" s="7" t="inlineStr">
        <is>
          <t>Harbour Market</t>
        </is>
      </c>
      <c r="F720" s="7" t="inlineStr">
        <is>
          <t>Deli</t>
        </is>
      </c>
      <c r="G720" s="7" t="inlineStr">
        <is>
          <t>Cooked Meats</t>
        </is>
      </c>
      <c r="H720" s="7" t="inlineStr">
        <is>
          <t>yes</t>
        </is>
      </c>
      <c r="I720" s="7" t="inlineStr">
        <is>
          <t>Animal core</t>
        </is>
      </c>
      <c r="J720" s="7" t="inlineStr">
        <is>
          <t>Dishes and processed products</t>
        </is>
      </c>
      <c r="K720" s="7" t="inlineStr">
        <is>
          <t>A</t>
        </is>
      </c>
      <c r="L720" s="7" t="inlineStr">
        <is>
          <t>All ingredients on one side</t>
        </is>
      </c>
      <c r="M720" s="51" t="n">
        <v>23</v>
      </c>
      <c r="N720" s="7" t="inlineStr">
        <is>
          <t>Declared by the retailer</t>
        </is>
      </c>
      <c r="O720" s="54" t="n">
        <v>0</v>
      </c>
      <c r="P720" s="54" t="n">
        <v>23</v>
      </c>
      <c r="Q720" s="7" t="inlineStr">
        <is>
          <t>yes</t>
        </is>
      </c>
      <c r="R720" s="7" t="inlineStr">
        <is>
          <t>whole</t>
        </is>
      </c>
      <c r="S720" s="7" t="inlineStr">
        <is>
          <t>FG1</t>
        </is>
      </c>
      <c r="T720" s="7" t="inlineStr">
        <is>
          <t>Poultry</t>
        </is>
      </c>
      <c r="U720" s="7" t="inlineStr">
        <is>
          <t>animal</t>
        </is>
      </c>
      <c r="V720" s="7" t="n"/>
      <c r="W720" s="7" t="n"/>
      <c r="X720" s="55" t="n">
        <v>1</v>
      </c>
      <c r="Y720" s="50" t="n">
        <v>0.1</v>
      </c>
      <c r="Z720" s="7" t="inlineStr">
        <is>
          <t>declared</t>
        </is>
      </c>
      <c r="AA720" s="19">
        <f>IF(ISBLANK(Welcome!D746),"",Welcome!D746)</f>
        <v/>
      </c>
      <c r="AB720" s="29">
        <f>IF(ISBLANK(Welcome!E746),"",Welcome!E746)</f>
        <v/>
      </c>
      <c r="AC720" s="29">
        <f>IF(N(AB720)&gt;0,N(AB720),N(AA720)*Y720)</f>
        <v/>
      </c>
      <c r="AD720" s="29">
        <f>IF(H720="yes",AC720,0)</f>
        <v/>
      </c>
      <c r="AE720" s="29">
        <f>AD720*N(M720)/100</f>
        <v/>
      </c>
      <c r="AF720" s="29">
        <f>AD720*N(O720)/100</f>
        <v/>
      </c>
      <c r="AG720" s="29">
        <f>AD720*N(P720)/100</f>
        <v/>
      </c>
      <c r="AH720" s="50">
        <f>IF(Q720="yes",AD720/1000,0)</f>
        <v/>
      </c>
      <c r="AI720" s="50">
        <f>IF(S720="FG2",AH720*X720,AH720)</f>
        <v/>
      </c>
    </row>
    <row r="721">
      <c r="A721" s="7" t="inlineStr">
        <is>
          <t>HM00708</t>
        </is>
      </c>
      <c r="B721" s="16" t="inlineStr">
        <is>
          <t>8712345982102</t>
        </is>
      </c>
      <c r="C721" s="7" t="inlineStr">
        <is>
          <t>HM GREEN LENTILS 500G</t>
        </is>
      </c>
      <c r="D721" s="7" t="inlineStr">
        <is>
          <t>Green lentils, 500g</t>
        </is>
      </c>
      <c r="E721" s="7" t="inlineStr">
        <is>
          <t>Harbour Market</t>
        </is>
      </c>
      <c r="F721" s="7" t="inlineStr">
        <is>
          <t>Grocery</t>
        </is>
      </c>
      <c r="G721" s="7" t="inlineStr">
        <is>
          <t>Pulses</t>
        </is>
      </c>
      <c r="H721" s="7" t="inlineStr">
        <is>
          <t>yes</t>
        </is>
      </c>
      <c r="I721" s="7" t="inlineStr">
        <is>
          <t>Plant-based core</t>
        </is>
      </c>
      <c r="J721" s="7" t="inlineStr">
        <is>
          <t>Pulses</t>
        </is>
      </c>
      <c r="K721" s="7" t="inlineStr">
        <is>
          <t>B</t>
        </is>
      </c>
      <c r="L721" s="7" t="inlineStr">
        <is>
          <t>Follows the class</t>
        </is>
      </c>
      <c r="M721" s="51" t="n">
        <v>25</v>
      </c>
      <c r="N721" s="7" t="inlineStr">
        <is>
          <t>Declared by the retailer</t>
        </is>
      </c>
      <c r="O721" s="54" t="n">
        <v>25</v>
      </c>
      <c r="P721" s="54" t="n">
        <v>0</v>
      </c>
      <c r="Q721" s="7" t="inlineStr">
        <is>
          <t>yes</t>
        </is>
      </c>
      <c r="R721" s="7" t="inlineStr">
        <is>
          <t>whole</t>
        </is>
      </c>
      <c r="S721" s="7" t="inlineStr">
        <is>
          <t>FG1</t>
        </is>
      </c>
      <c r="T721" s="7" t="inlineStr">
        <is>
          <t>Pulses</t>
        </is>
      </c>
      <c r="U721" s="7" t="inlineStr">
        <is>
          <t>plant</t>
        </is>
      </c>
      <c r="V721" s="7" t="n"/>
      <c r="W721" s="7" t="n"/>
      <c r="X721" s="55" t="n">
        <v>1</v>
      </c>
      <c r="Y721" s="50" t="n">
        <v>0.5</v>
      </c>
      <c r="Z721" s="7" t="inlineStr">
        <is>
          <t>declared</t>
        </is>
      </c>
      <c r="AA721" s="19">
        <f>IF(ISBLANK(Welcome!D747),"",Welcome!D747)</f>
        <v/>
      </c>
      <c r="AB721" s="29">
        <f>IF(ISBLANK(Welcome!E747),"",Welcome!E747)</f>
        <v/>
      </c>
      <c r="AC721" s="29">
        <f>IF(N(AB721)&gt;0,N(AB721),N(AA721)*Y721)</f>
        <v/>
      </c>
      <c r="AD721" s="29">
        <f>IF(H721="yes",AC721,0)</f>
        <v/>
      </c>
      <c r="AE721" s="29">
        <f>AD721*N(M721)/100</f>
        <v/>
      </c>
      <c r="AF721" s="29">
        <f>AD721*N(O721)/100</f>
        <v/>
      </c>
      <c r="AG721" s="29">
        <f>AD721*N(P721)/100</f>
        <v/>
      </c>
      <c r="AH721" s="50">
        <f>IF(Q721="yes",AD721/1000,0)</f>
        <v/>
      </c>
      <c r="AI721" s="50">
        <f>IF(S721="FG2",AH721*X721,AH721)</f>
        <v/>
      </c>
    </row>
    <row r="722">
      <c r="A722" s="7" t="inlineStr">
        <is>
          <t>HM00732</t>
        </is>
      </c>
      <c r="B722" s="16" t="inlineStr">
        <is>
          <t>3012345892384</t>
        </is>
      </c>
      <c r="C722" s="7" t="inlineStr">
        <is>
          <t>HM CASHEW NUTS 100G</t>
        </is>
      </c>
      <c r="D722" s="7" t="inlineStr">
        <is>
          <t>Cashew nuts, 100g</t>
        </is>
      </c>
      <c r="E722" s="7" t="inlineStr">
        <is>
          <t>Harbour Market</t>
        </is>
      </c>
      <c r="F722" s="7" t="inlineStr">
        <is>
          <t>Grocery</t>
        </is>
      </c>
      <c r="G722" s="7" t="inlineStr">
        <is>
          <t>Nuts &amp; Seeds</t>
        </is>
      </c>
      <c r="H722" s="7" t="inlineStr">
        <is>
          <t>yes</t>
        </is>
      </c>
      <c r="I722" s="7" t="inlineStr">
        <is>
          <t>Plant-based core</t>
        </is>
      </c>
      <c r="J722" s="7" t="inlineStr">
        <is>
          <t>Nuts</t>
        </is>
      </c>
      <c r="K722" s="7" t="inlineStr">
        <is>
          <t>A</t>
        </is>
      </c>
      <c r="L722" s="7" t="inlineStr">
        <is>
          <t>All ingredients on one side</t>
        </is>
      </c>
      <c r="M722" s="51" t="n">
        <v>18.7</v>
      </c>
      <c r="N722" s="7" t="inlineStr">
        <is>
          <t>Open Food Facts and NEVO, by EAN</t>
        </is>
      </c>
      <c r="O722" s="54" t="n">
        <v>18.7</v>
      </c>
      <c r="P722" s="54" t="n">
        <v>0</v>
      </c>
      <c r="Q722" s="7" t="inlineStr">
        <is>
          <t>yes</t>
        </is>
      </c>
      <c r="R722" s="7" t="inlineStr">
        <is>
          <t>whole</t>
        </is>
      </c>
      <c r="S722" s="7" t="inlineStr">
        <is>
          <t>FG1</t>
        </is>
      </c>
      <c r="T722" s="7" t="inlineStr">
        <is>
          <t>Nuts</t>
        </is>
      </c>
      <c r="U722" s="7" t="inlineStr">
        <is>
          <t>plant</t>
        </is>
      </c>
      <c r="V722" s="7" t="n"/>
      <c r="W722" s="7" t="n"/>
      <c r="X722" s="55" t="n">
        <v>1</v>
      </c>
      <c r="Y722" s="50" t="n">
        <v>0.1</v>
      </c>
      <c r="Z722" s="7" t="inlineStr">
        <is>
          <t>declared</t>
        </is>
      </c>
      <c r="AA722" s="19">
        <f>IF(ISBLANK(Welcome!D748),"",Welcome!D748)</f>
        <v/>
      </c>
      <c r="AB722" s="29">
        <f>IF(ISBLANK(Welcome!E748),"",Welcome!E748)</f>
        <v/>
      </c>
      <c r="AC722" s="29">
        <f>IF(N(AB722)&gt;0,N(AB722),N(AA722)*Y722)</f>
        <v/>
      </c>
      <c r="AD722" s="29">
        <f>IF(H722="yes",AC722,0)</f>
        <v/>
      </c>
      <c r="AE722" s="29">
        <f>AD722*N(M722)/100</f>
        <v/>
      </c>
      <c r="AF722" s="29">
        <f>AD722*N(O722)/100</f>
        <v/>
      </c>
      <c r="AG722" s="29">
        <f>AD722*N(P722)/100</f>
        <v/>
      </c>
      <c r="AH722" s="50">
        <f>IF(Q722="yes",AD722/1000,0)</f>
        <v/>
      </c>
      <c r="AI722" s="50">
        <f>IF(S722="FG2",AH722*X722,AH722)</f>
        <v/>
      </c>
    </row>
    <row r="723">
      <c r="A723" s="7" t="inlineStr">
        <is>
          <t>HM00559</t>
        </is>
      </c>
      <c r="B723" s="16" t="inlineStr">
        <is>
          <t>8712345372811</t>
        </is>
      </c>
      <c r="C723" s="7" t="inlineStr">
        <is>
          <t>HM BLENDED WHISKY 1L</t>
        </is>
      </c>
      <c r="D723" s="7" t="inlineStr">
        <is>
          <t>Blended whisky, 1l</t>
        </is>
      </c>
      <c r="E723" s="7" t="inlineStr">
        <is>
          <t>Harbour Market</t>
        </is>
      </c>
      <c r="F723" s="7" t="inlineStr">
        <is>
          <t>Beer, Wine &amp; Spirits</t>
        </is>
      </c>
      <c r="G723" s="7" t="inlineStr">
        <is>
          <t>Spirits</t>
        </is>
      </c>
      <c r="H723" s="7" t="inlineStr">
        <is>
          <t>yes</t>
        </is>
      </c>
      <c r="I723" s="7" t="inlineStr">
        <is>
          <t>Plant-based non-core</t>
        </is>
      </c>
      <c r="J723" s="7" t="inlineStr">
        <is>
          <t>Outside the WWF scope</t>
        </is>
      </c>
      <c r="K723" s="7" t="inlineStr">
        <is>
          <t>B</t>
        </is>
      </c>
      <c r="L723" s="7" t="inlineStr">
        <is>
          <t>Follows the class</t>
        </is>
      </c>
      <c r="M723" s="51" t="n">
        <v>0</v>
      </c>
      <c r="N723" s="7" t="inlineStr">
        <is>
          <t>Declared by the retailer</t>
        </is>
      </c>
      <c r="O723" s="54" t="n">
        <v>0</v>
      </c>
      <c r="P723" s="54" t="n">
        <v>0</v>
      </c>
      <c r="Q723" s="7" t="inlineStr">
        <is>
          <t>no</t>
        </is>
      </c>
      <c r="R723" s="7" t="n"/>
      <c r="S723" s="7" t="n"/>
      <c r="T723" s="7" t="n"/>
      <c r="U723" s="7" t="n"/>
      <c r="V723" s="7" t="n"/>
      <c r="W723" s="7" t="inlineStr">
        <is>
          <t>alcohol</t>
        </is>
      </c>
      <c r="X723" s="55" t="n">
        <v>1</v>
      </c>
      <c r="Y723" s="50" t="n">
        <v>1</v>
      </c>
      <c r="Z723" s="7" t="inlineStr">
        <is>
          <t>declared</t>
        </is>
      </c>
      <c r="AA723" s="19">
        <f>IF(ISBLANK(Welcome!D749),"",Welcome!D749)</f>
        <v/>
      </c>
      <c r="AB723" s="29">
        <f>IF(ISBLANK(Welcome!E749),"",Welcome!E749)</f>
        <v/>
      </c>
      <c r="AC723" s="29">
        <f>IF(N(AB723)&gt;0,N(AB723),N(AA723)*Y723)</f>
        <v/>
      </c>
      <c r="AD723" s="29">
        <f>IF(H723="yes",AC723,0)</f>
        <v/>
      </c>
      <c r="AE723" s="29">
        <f>AD723*N(M723)/100</f>
        <v/>
      </c>
      <c r="AF723" s="29">
        <f>AD723*N(O723)/100</f>
        <v/>
      </c>
      <c r="AG723" s="29">
        <f>AD723*N(P723)/100</f>
        <v/>
      </c>
      <c r="AH723" s="50">
        <f>IF(Q723="yes",AD723/1000,0)</f>
        <v/>
      </c>
      <c r="AI723" s="50">
        <f>IF(S723="FG2",AH723*X723,AH723)</f>
        <v/>
      </c>
    </row>
    <row r="724">
      <c r="A724" s="7" t="inlineStr">
        <is>
          <t>HM00299</t>
        </is>
      </c>
      <c r="B724" s="16" t="inlineStr">
        <is>
          <t>5012345255620</t>
        </is>
      </c>
      <c r="C724" s="7" t="inlineStr">
        <is>
          <t>HM BLENDED WHISKY 70CL</t>
        </is>
      </c>
      <c r="D724" s="7" t="inlineStr">
        <is>
          <t>Blended whisky, 70cl</t>
        </is>
      </c>
      <c r="E724" s="7" t="inlineStr">
        <is>
          <t>Harbour Market</t>
        </is>
      </c>
      <c r="F724" s="7" t="inlineStr">
        <is>
          <t>Beer, Wine &amp; Spirits</t>
        </is>
      </c>
      <c r="G724" s="7" t="inlineStr">
        <is>
          <t>Spirits</t>
        </is>
      </c>
      <c r="H724" s="7" t="inlineStr">
        <is>
          <t>yes</t>
        </is>
      </c>
      <c r="I724" s="7" t="inlineStr">
        <is>
          <t>Plant-based non-core</t>
        </is>
      </c>
      <c r="J724" s="7" t="inlineStr">
        <is>
          <t>Outside the WWF scope</t>
        </is>
      </c>
      <c r="K724" s="7" t="inlineStr">
        <is>
          <t>A</t>
        </is>
      </c>
      <c r="L724" s="7" t="inlineStr">
        <is>
          <t>All ingredients on one side</t>
        </is>
      </c>
      <c r="M724" s="51" t="n">
        <v>0</v>
      </c>
      <c r="N724" s="7" t="inlineStr">
        <is>
          <t>Altera reference base</t>
        </is>
      </c>
      <c r="O724" s="54" t="n">
        <v>0</v>
      </c>
      <c r="P724" s="54" t="n">
        <v>0</v>
      </c>
      <c r="Q724" s="7" t="inlineStr">
        <is>
          <t>no</t>
        </is>
      </c>
      <c r="R724" s="7" t="n"/>
      <c r="S724" s="7" t="n"/>
      <c r="T724" s="7" t="n"/>
      <c r="U724" s="7" t="n"/>
      <c r="V724" s="7" t="n"/>
      <c r="W724" s="7" t="inlineStr">
        <is>
          <t>alcohol</t>
        </is>
      </c>
      <c r="X724" s="55" t="n">
        <v>1</v>
      </c>
      <c r="Y724" s="50" t="n">
        <v>0.7</v>
      </c>
      <c r="Z724" s="7" t="inlineStr">
        <is>
          <t>declared</t>
        </is>
      </c>
      <c r="AA724" s="19">
        <f>IF(ISBLANK(Welcome!D750),"",Welcome!D750)</f>
        <v/>
      </c>
      <c r="AB724" s="29">
        <f>IF(ISBLANK(Welcome!E750),"",Welcome!E750)</f>
        <v/>
      </c>
      <c r="AC724" s="29">
        <f>IF(N(AB724)&gt;0,N(AB724),N(AA724)*Y724)</f>
        <v/>
      </c>
      <c r="AD724" s="29">
        <f>IF(H724="yes",AC724,0)</f>
        <v/>
      </c>
      <c r="AE724" s="29">
        <f>AD724*N(M724)/100</f>
        <v/>
      </c>
      <c r="AF724" s="29">
        <f>AD724*N(O724)/100</f>
        <v/>
      </c>
      <c r="AG724" s="29">
        <f>AD724*N(P724)/100</f>
        <v/>
      </c>
      <c r="AH724" s="50">
        <f>IF(Q724="yes",AD724/1000,0)</f>
        <v/>
      </c>
      <c r="AI724" s="50">
        <f>IF(S724="FG2",AH724*X724,AH724)</f>
        <v/>
      </c>
    </row>
    <row r="725">
      <c r="A725" s="7" t="inlineStr">
        <is>
          <t>HM00608</t>
        </is>
      </c>
      <c r="B725" s="16" t="inlineStr">
        <is>
          <t>3012345838603</t>
        </is>
      </c>
      <c r="C725" s="7" t="inlineStr">
        <is>
          <t>ORVALIS GREEN LENTILS 500G</t>
        </is>
      </c>
      <c r="D725" s="7" t="inlineStr">
        <is>
          <t>Green lentils, 500g</t>
        </is>
      </c>
      <c r="E725" s="7" t="inlineStr">
        <is>
          <t>Orvalis</t>
        </is>
      </c>
      <c r="F725" s="7" t="inlineStr">
        <is>
          <t>Grocery</t>
        </is>
      </c>
      <c r="G725" s="7" t="inlineStr">
        <is>
          <t>Pulses</t>
        </is>
      </c>
      <c r="H725" s="7" t="inlineStr">
        <is>
          <t>yes</t>
        </is>
      </c>
      <c r="I725" s="7" t="inlineStr">
        <is>
          <t>Plant-based core</t>
        </is>
      </c>
      <c r="J725" s="7" t="inlineStr">
        <is>
          <t>Pulses</t>
        </is>
      </c>
      <c r="K725" s="7" t="inlineStr">
        <is>
          <t>A</t>
        </is>
      </c>
      <c r="L725" s="7" t="inlineStr">
        <is>
          <t>All ingredients on one side</t>
        </is>
      </c>
      <c r="M725" s="51" t="n">
        <v>24.3</v>
      </c>
      <c r="N725" s="7" t="inlineStr">
        <is>
          <t>Declared by the retailer</t>
        </is>
      </c>
      <c r="O725" s="54" t="n">
        <v>24.3</v>
      </c>
      <c r="P725" s="54" t="n">
        <v>0</v>
      </c>
      <c r="Q725" s="7" t="inlineStr">
        <is>
          <t>yes</t>
        </is>
      </c>
      <c r="R725" s="7" t="inlineStr">
        <is>
          <t>whole</t>
        </is>
      </c>
      <c r="S725" s="7" t="inlineStr">
        <is>
          <t>FG1</t>
        </is>
      </c>
      <c r="T725" s="7" t="inlineStr">
        <is>
          <t>Pulses</t>
        </is>
      </c>
      <c r="U725" s="7" t="inlineStr">
        <is>
          <t>plant</t>
        </is>
      </c>
      <c r="V725" s="7" t="n"/>
      <c r="W725" s="7" t="n"/>
      <c r="X725" s="55" t="n">
        <v>1</v>
      </c>
      <c r="Y725" s="50" t="n">
        <v>0.5</v>
      </c>
      <c r="Z725" s="7" t="inlineStr">
        <is>
          <t>declared</t>
        </is>
      </c>
      <c r="AA725" s="19">
        <f>IF(ISBLANK(Welcome!D751),"",Welcome!D751)</f>
        <v/>
      </c>
      <c r="AB725" s="29">
        <f>IF(ISBLANK(Welcome!E751),"",Welcome!E751)</f>
        <v/>
      </c>
      <c r="AC725" s="29">
        <f>IF(N(AB725)&gt;0,N(AB725),N(AA725)*Y725)</f>
        <v/>
      </c>
      <c r="AD725" s="29">
        <f>IF(H725="yes",AC725,0)</f>
        <v/>
      </c>
      <c r="AE725" s="29">
        <f>AD725*N(M725)/100</f>
        <v/>
      </c>
      <c r="AF725" s="29">
        <f>AD725*N(O725)/100</f>
        <v/>
      </c>
      <c r="AG725" s="29">
        <f>AD725*N(P725)/100</f>
        <v/>
      </c>
      <c r="AH725" s="50">
        <f>IF(Q725="yes",AD725/1000,0)</f>
        <v/>
      </c>
      <c r="AI725" s="50">
        <f>IF(S725="FG2",AH725*X725,AH725)</f>
        <v/>
      </c>
    </row>
    <row r="726">
      <c r="A726" s="7" t="inlineStr">
        <is>
          <t>HM00691</t>
        </is>
      </c>
      <c r="B726" s="16" t="inlineStr">
        <is>
          <t>3012345314992</t>
        </is>
      </c>
      <c r="C726" s="7" t="inlineStr">
        <is>
          <t>HM LAMB LEG STEAKS 500G</t>
        </is>
      </c>
      <c r="D726" s="7" t="inlineStr">
        <is>
          <t>Lamb leg steaks, 500g</t>
        </is>
      </c>
      <c r="E726" s="7" t="inlineStr">
        <is>
          <t>Harbour Market</t>
        </is>
      </c>
      <c r="F726" s="7" t="inlineStr">
        <is>
          <t>Fresh Meat &amp; Poultry</t>
        </is>
      </c>
      <c r="G726" s="7" t="inlineStr">
        <is>
          <t>Turkey &amp; Lamb</t>
        </is>
      </c>
      <c r="H726" s="7" t="inlineStr">
        <is>
          <t>yes</t>
        </is>
      </c>
      <c r="I726" s="7" t="inlineStr">
        <is>
          <t>Animal core</t>
        </is>
      </c>
      <c r="J726" s="7" t="inlineStr">
        <is>
          <t>Red meat</t>
        </is>
      </c>
      <c r="K726" s="7" t="inlineStr">
        <is>
          <t>B</t>
        </is>
      </c>
      <c r="L726" s="7" t="inlineStr">
        <is>
          <t>Follows the class</t>
        </is>
      </c>
      <c r="M726" s="51" t="n">
        <v>20.8</v>
      </c>
      <c r="N726" s="7" t="inlineStr">
        <is>
          <t>Altera reference base</t>
        </is>
      </c>
      <c r="O726" s="54" t="n">
        <v>0</v>
      </c>
      <c r="P726" s="54" t="n">
        <v>20.8</v>
      </c>
      <c r="Q726" s="7" t="inlineStr">
        <is>
          <t>yes</t>
        </is>
      </c>
      <c r="R726" s="7" t="inlineStr">
        <is>
          <t>whole</t>
        </is>
      </c>
      <c r="S726" s="7" t="inlineStr">
        <is>
          <t>FG1</t>
        </is>
      </c>
      <c r="T726" s="7" t="inlineStr">
        <is>
          <t>Red meat</t>
        </is>
      </c>
      <c r="U726" s="7" t="inlineStr">
        <is>
          <t>animal</t>
        </is>
      </c>
      <c r="V726" s="7" t="n"/>
      <c r="W726" s="7" t="n"/>
      <c r="X726" s="55" t="n">
        <v>1</v>
      </c>
      <c r="Y726" s="50" t="n">
        <v>0.5</v>
      </c>
      <c r="Z726" s="7" t="inlineStr">
        <is>
          <t>declared</t>
        </is>
      </c>
      <c r="AA726" s="19">
        <f>IF(ISBLANK(Welcome!D752),"",Welcome!D752)</f>
        <v/>
      </c>
      <c r="AB726" s="29">
        <f>IF(ISBLANK(Welcome!E752),"",Welcome!E752)</f>
        <v/>
      </c>
      <c r="AC726" s="29">
        <f>IF(N(AB726)&gt;0,N(AB726),N(AA726)*Y726)</f>
        <v/>
      </c>
      <c r="AD726" s="29">
        <f>IF(H726="yes",AC726,0)</f>
        <v/>
      </c>
      <c r="AE726" s="29">
        <f>AD726*N(M726)/100</f>
        <v/>
      </c>
      <c r="AF726" s="29">
        <f>AD726*N(O726)/100</f>
        <v/>
      </c>
      <c r="AG726" s="29">
        <f>AD726*N(P726)/100</f>
        <v/>
      </c>
      <c r="AH726" s="50">
        <f>IF(Q726="yes",AD726/1000,0)</f>
        <v/>
      </c>
      <c r="AI726" s="50">
        <f>IF(S726="FG2",AH726*X726,AH726)</f>
        <v/>
      </c>
    </row>
    <row r="727">
      <c r="A727" s="7" t="inlineStr">
        <is>
          <t>HM00032</t>
        </is>
      </c>
      <c r="B727" s="16" t="inlineStr">
        <is>
          <t>4012345753233</t>
        </is>
      </c>
      <c r="C727" s="7" t="inlineStr">
        <is>
          <t>ALDERWICK SOFT CHEESE PLAIN 250G</t>
        </is>
      </c>
      <c r="D727" s="7" t="inlineStr">
        <is>
          <t>Plain soft cheese, 250g</t>
        </is>
      </c>
      <c r="E727" s="7" t="inlineStr">
        <is>
          <t>Alderwick</t>
        </is>
      </c>
      <c r="F727" s="7" t="inlineStr">
        <is>
          <t>Cheese</t>
        </is>
      </c>
      <c r="G727" s="7" t="inlineStr">
        <is>
          <t>Fresh Cheese</t>
        </is>
      </c>
      <c r="H727" s="7" t="inlineStr">
        <is>
          <t>yes</t>
        </is>
      </c>
      <c r="I727" s="7" t="inlineStr">
        <is>
          <t>Animal core</t>
        </is>
      </c>
      <c r="J727" s="7" t="inlineStr">
        <is>
          <t>Cheese</t>
        </is>
      </c>
      <c r="K727" s="7" t="inlineStr">
        <is>
          <t>B</t>
        </is>
      </c>
      <c r="L727" s="7" t="inlineStr">
        <is>
          <t>Follows the class</t>
        </is>
      </c>
      <c r="M727" s="51" t="n">
        <v>6.9</v>
      </c>
      <c r="N727" s="7" t="inlineStr">
        <is>
          <t>Median of the family</t>
        </is>
      </c>
      <c r="O727" s="54" t="n">
        <v>0</v>
      </c>
      <c r="P727" s="54" t="n">
        <v>6.9</v>
      </c>
      <c r="Q727" s="7" t="inlineStr">
        <is>
          <t>yes</t>
        </is>
      </c>
      <c r="R727" s="7" t="inlineStr">
        <is>
          <t>whole</t>
        </is>
      </c>
      <c r="S727" s="7" t="inlineStr">
        <is>
          <t>FG2</t>
        </is>
      </c>
      <c r="T727" s="7" t="inlineStr">
        <is>
          <t>Dairy</t>
        </is>
      </c>
      <c r="U727" s="7" t="inlineStr">
        <is>
          <t>animal</t>
        </is>
      </c>
      <c r="V727" s="7" t="n"/>
      <c r="W727" s="7" t="n"/>
      <c r="X727" s="55" t="n">
        <v>1</v>
      </c>
      <c r="Y727" s="50" t="n">
        <v>0.25</v>
      </c>
      <c r="Z727" s="7" t="inlineStr">
        <is>
          <t>declared</t>
        </is>
      </c>
      <c r="AA727" s="19">
        <f>IF(ISBLANK(Welcome!D753),"",Welcome!D753)</f>
        <v/>
      </c>
      <c r="AB727" s="29">
        <f>IF(ISBLANK(Welcome!E753),"",Welcome!E753)</f>
        <v/>
      </c>
      <c r="AC727" s="29">
        <f>IF(N(AB727)&gt;0,N(AB727),N(AA727)*Y727)</f>
        <v/>
      </c>
      <c r="AD727" s="29">
        <f>IF(H727="yes",AC727,0)</f>
        <v/>
      </c>
      <c r="AE727" s="29">
        <f>AD727*N(M727)/100</f>
        <v/>
      </c>
      <c r="AF727" s="29">
        <f>AD727*N(O727)/100</f>
        <v/>
      </c>
      <c r="AG727" s="29">
        <f>AD727*N(P727)/100</f>
        <v/>
      </c>
      <c r="AH727" s="50">
        <f>IF(Q727="yes",AD727/1000,0)</f>
        <v/>
      </c>
      <c r="AI727" s="50">
        <f>IF(S727="FG2",AH727*X727,AH727)</f>
        <v/>
      </c>
    </row>
    <row r="728">
      <c r="A728" s="7" t="inlineStr">
        <is>
          <t>HM00665</t>
        </is>
      </c>
      <c r="B728" s="16" t="inlineStr">
        <is>
          <t>5012345352473</t>
        </is>
      </c>
      <c r="C728" s="7" t="inlineStr">
        <is>
          <t>TOFU FIRM 280G SOLVANE</t>
        </is>
      </c>
      <c r="D728" s="7" t="inlineStr">
        <is>
          <t>Firm tofu, 280g</t>
        </is>
      </c>
      <c r="E728" s="7" t="inlineStr">
        <is>
          <t>Solvane</t>
        </is>
      </c>
      <c r="F728" s="7" t="inlineStr">
        <is>
          <t>Plant-Based</t>
        </is>
      </c>
      <c r="G728" s="7" t="inlineStr">
        <is>
          <t>Tofu &amp; Tempeh</t>
        </is>
      </c>
      <c r="H728" s="7" t="inlineStr">
        <is>
          <t>yes</t>
        </is>
      </c>
      <c r="I728" s="7" t="inlineStr">
        <is>
          <t>Plant-based core</t>
        </is>
      </c>
      <c r="J728" s="7" t="inlineStr">
        <is>
          <t>Tofu, tempeh, seitan</t>
        </is>
      </c>
      <c r="K728" s="7" t="inlineStr">
        <is>
          <t>B</t>
        </is>
      </c>
      <c r="L728" s="7" t="inlineStr">
        <is>
          <t>Follows the class</t>
        </is>
      </c>
      <c r="M728" s="51" t="n">
        <v>12.5</v>
      </c>
      <c r="N728" s="7" t="inlineStr">
        <is>
          <t>Open Food Facts and NEVO, by EAN</t>
        </is>
      </c>
      <c r="O728" s="54" t="n">
        <v>12.5</v>
      </c>
      <c r="P728" s="54" t="n">
        <v>0</v>
      </c>
      <c r="Q728" s="7" t="inlineStr">
        <is>
          <t>yes</t>
        </is>
      </c>
      <c r="R728" s="7" t="inlineStr">
        <is>
          <t>whole</t>
        </is>
      </c>
      <c r="S728" s="7" t="inlineStr">
        <is>
          <t>FG1</t>
        </is>
      </c>
      <c r="T728" s="7" t="inlineStr">
        <is>
          <t>Tofu, tempeh &amp; seitan</t>
        </is>
      </c>
      <c r="U728" s="7" t="inlineStr">
        <is>
          <t>plant</t>
        </is>
      </c>
      <c r="V728" s="7" t="n"/>
      <c r="W728" s="7" t="n"/>
      <c r="X728" s="55" t="n">
        <v>1</v>
      </c>
      <c r="Y728" s="50" t="n">
        <v>0.28</v>
      </c>
      <c r="Z728" s="7" t="inlineStr">
        <is>
          <t>declared</t>
        </is>
      </c>
      <c r="AA728" s="19">
        <f>IF(ISBLANK(Welcome!D754),"",Welcome!D754)</f>
        <v/>
      </c>
      <c r="AB728" s="29">
        <f>IF(ISBLANK(Welcome!E754),"",Welcome!E754)</f>
        <v/>
      </c>
      <c r="AC728" s="29">
        <f>IF(N(AB728)&gt;0,N(AB728),N(AA728)*Y728)</f>
        <v/>
      </c>
      <c r="AD728" s="29">
        <f>IF(H728="yes",AC728,0)</f>
        <v/>
      </c>
      <c r="AE728" s="29">
        <f>AD728*N(M728)/100</f>
        <v/>
      </c>
      <c r="AF728" s="29">
        <f>AD728*N(O728)/100</f>
        <v/>
      </c>
      <c r="AG728" s="29">
        <f>AD728*N(P728)/100</f>
        <v/>
      </c>
      <c r="AH728" s="50">
        <f>IF(Q728="yes",AD728/1000,0)</f>
        <v/>
      </c>
      <c r="AI728" s="50">
        <f>IF(S728="FG2",AH728*X728,AH728)</f>
        <v/>
      </c>
    </row>
    <row r="729">
      <c r="A729" s="7" t="inlineStr">
        <is>
          <t>HM00647</t>
        </is>
      </c>
      <c r="B729" s="16" t="inlineStr">
        <is>
          <t>4012345824742</t>
        </is>
      </c>
      <c r="C729" s="7" t="inlineStr">
        <is>
          <t>HM TKY MINCE 500G</t>
        </is>
      </c>
      <c r="D729" s="7" t="inlineStr">
        <is>
          <t>Turkey mince, 500g</t>
        </is>
      </c>
      <c r="E729" s="7" t="inlineStr">
        <is>
          <t>Harbour Market</t>
        </is>
      </c>
      <c r="F729" s="7" t="inlineStr">
        <is>
          <t>Fresh Meat &amp; Poultry</t>
        </is>
      </c>
      <c r="G729" s="7" t="inlineStr">
        <is>
          <t>Turkey &amp; Lamb</t>
        </is>
      </c>
      <c r="H729" s="7" t="inlineStr">
        <is>
          <t>yes</t>
        </is>
      </c>
      <c r="I729" s="7" t="inlineStr">
        <is>
          <t>Animal core</t>
        </is>
      </c>
      <c r="J729" s="7" t="inlineStr">
        <is>
          <t>Poultry</t>
        </is>
      </c>
      <c r="K729" s="7" t="inlineStr">
        <is>
          <t>B</t>
        </is>
      </c>
      <c r="L729" s="7" t="inlineStr">
        <is>
          <t>Follows the class</t>
        </is>
      </c>
      <c r="M729" s="51" t="n">
        <v>20.1</v>
      </c>
      <c r="N729" s="7" t="inlineStr">
        <is>
          <t>Declared by the retailer</t>
        </is>
      </c>
      <c r="O729" s="54" t="n">
        <v>0</v>
      </c>
      <c r="P729" s="54" t="n">
        <v>20.1</v>
      </c>
      <c r="Q729" s="7" t="inlineStr">
        <is>
          <t>yes</t>
        </is>
      </c>
      <c r="R729" s="7" t="inlineStr">
        <is>
          <t>whole</t>
        </is>
      </c>
      <c r="S729" s="7" t="inlineStr">
        <is>
          <t>FG1</t>
        </is>
      </c>
      <c r="T729" s="7" t="inlineStr">
        <is>
          <t>Poultry</t>
        </is>
      </c>
      <c r="U729" s="7" t="inlineStr">
        <is>
          <t>animal</t>
        </is>
      </c>
      <c r="V729" s="7" t="n"/>
      <c r="W729" s="7" t="n"/>
      <c r="X729" s="55" t="n">
        <v>1</v>
      </c>
      <c r="Y729" s="50" t="n">
        <v>0.5</v>
      </c>
      <c r="Z729" s="7" t="inlineStr">
        <is>
          <t>label</t>
        </is>
      </c>
      <c r="AA729" s="19">
        <f>IF(ISBLANK(Welcome!D755),"",Welcome!D755)</f>
        <v/>
      </c>
      <c r="AB729" s="29">
        <f>IF(ISBLANK(Welcome!E755),"",Welcome!E755)</f>
        <v/>
      </c>
      <c r="AC729" s="29">
        <f>IF(N(AB729)&gt;0,N(AB729),N(AA729)*Y729)</f>
        <v/>
      </c>
      <c r="AD729" s="29">
        <f>IF(H729="yes",AC729,0)</f>
        <v/>
      </c>
      <c r="AE729" s="29">
        <f>AD729*N(M729)/100</f>
        <v/>
      </c>
      <c r="AF729" s="29">
        <f>AD729*N(O729)/100</f>
        <v/>
      </c>
      <c r="AG729" s="29">
        <f>AD729*N(P729)/100</f>
        <v/>
      </c>
      <c r="AH729" s="50">
        <f>IF(Q729="yes",AD729/1000,0)</f>
        <v/>
      </c>
      <c r="AI729" s="50">
        <f>IF(S729="FG2",AH729*X729,AH729)</f>
        <v/>
      </c>
    </row>
    <row r="730">
      <c r="A730" s="7" t="inlineStr">
        <is>
          <t>HM00378</t>
        </is>
      </c>
      <c r="B730" s="16" t="inlineStr">
        <is>
          <t>3012345878289</t>
        </is>
      </c>
      <c r="C730" s="7" t="inlineStr">
        <is>
          <t>ORVALIS EGG LASAGNE SHEETS 500G</t>
        </is>
      </c>
      <c r="D730" s="7" t="inlineStr">
        <is>
          <t>Egg lasagne sheets, 500g</t>
        </is>
      </c>
      <c r="E730" s="7" t="inlineStr">
        <is>
          <t>Orvalis</t>
        </is>
      </c>
      <c r="F730" s="7" t="inlineStr">
        <is>
          <t>Grocery</t>
        </is>
      </c>
      <c r="G730" s="7" t="inlineStr">
        <is>
          <t>Fresh Pasta</t>
        </is>
      </c>
      <c r="H730" s="7" t="inlineStr">
        <is>
          <t>yes</t>
        </is>
      </c>
      <c r="I730" s="7" t="inlineStr">
        <is>
          <t>Animal &amp; plant composite</t>
        </is>
      </c>
      <c r="J730" s="7" t="inlineStr">
        <is>
          <t>Vegetarian dishes</t>
        </is>
      </c>
      <c r="K730" s="7" t="inlineStr">
        <is>
          <t>A</t>
        </is>
      </c>
      <c r="L730" s="7" t="inlineStr">
        <is>
          <t>Ingredient list</t>
        </is>
      </c>
      <c r="M730" s="51" t="n">
        <v>13.8</v>
      </c>
      <c r="N730" s="7" t="inlineStr">
        <is>
          <t>Declared by the retailer</t>
        </is>
      </c>
      <c r="O730" s="54" t="n">
        <v>10.76</v>
      </c>
      <c r="P730" s="54" t="n">
        <v>3.04</v>
      </c>
      <c r="Q730" s="7" t="inlineStr">
        <is>
          <t>yes</t>
        </is>
      </c>
      <c r="R730" s="7" t="inlineStr">
        <is>
          <t>composite</t>
        </is>
      </c>
      <c r="S730" s="7" t="n"/>
      <c r="T730" s="7" t="n"/>
      <c r="U730" s="7" t="n"/>
      <c r="V730" s="7" t="inlineStr">
        <is>
          <t>vegetarian</t>
        </is>
      </c>
      <c r="W730" s="7" t="n"/>
      <c r="X730" s="55" t="n">
        <v>1</v>
      </c>
      <c r="Y730" s="50" t="n">
        <v>0.5</v>
      </c>
      <c r="Z730" s="7" t="inlineStr">
        <is>
          <t>declared</t>
        </is>
      </c>
      <c r="AA730" s="19">
        <f>IF(ISBLANK(Welcome!D756),"",Welcome!D756)</f>
        <v/>
      </c>
      <c r="AB730" s="29">
        <f>IF(ISBLANK(Welcome!E756),"",Welcome!E756)</f>
        <v/>
      </c>
      <c r="AC730" s="29">
        <f>IF(N(AB730)&gt;0,N(AB730),N(AA730)*Y730)</f>
        <v/>
      </c>
      <c r="AD730" s="29">
        <f>IF(H730="yes",AC730,0)</f>
        <v/>
      </c>
      <c r="AE730" s="29">
        <f>AD730*N(M730)/100</f>
        <v/>
      </c>
      <c r="AF730" s="29">
        <f>AD730*N(O730)/100</f>
        <v/>
      </c>
      <c r="AG730" s="29">
        <f>AD730*N(P730)/100</f>
        <v/>
      </c>
      <c r="AH730" s="50">
        <f>IF(Q730="yes",AD730/1000,0)</f>
        <v/>
      </c>
      <c r="AI730" s="50">
        <f>IF(S730="FG2",AH730*X730,AH730)</f>
        <v/>
      </c>
    </row>
    <row r="731">
      <c r="A731" s="7" t="inlineStr">
        <is>
          <t>HM00731</t>
        </is>
      </c>
      <c r="B731" s="16" t="inlineStr">
        <is>
          <t>4012345674439</t>
        </is>
      </c>
      <c r="C731" s="7" t="inlineStr">
        <is>
          <t>CHOC CHIP COOKIES 200G BRAMBLECOTE</t>
        </is>
      </c>
      <c r="D731" s="7" t="inlineStr">
        <is>
          <t>Chocolate chip cookies, 200g</t>
        </is>
      </c>
      <c r="E731" s="7" t="inlineStr">
        <is>
          <t>Bramblecote</t>
        </is>
      </c>
      <c r="F731" s="7" t="inlineStr">
        <is>
          <t>Breakfast &amp; Snacks</t>
        </is>
      </c>
      <c r="G731" s="7" t="inlineStr">
        <is>
          <t>Biscuits</t>
        </is>
      </c>
      <c r="H731" s="7" t="inlineStr">
        <is>
          <t>yes</t>
        </is>
      </c>
      <c r="I731" s="7" t="inlineStr">
        <is>
          <t>Animal &amp; plant composite</t>
        </is>
      </c>
      <c r="J731" s="7" t="inlineStr">
        <is>
          <t>Discretionary products</t>
        </is>
      </c>
      <c r="K731" s="7" t="inlineStr">
        <is>
          <t>B</t>
        </is>
      </c>
      <c r="L731" s="7" t="inlineStr">
        <is>
          <t>50/50 convention</t>
        </is>
      </c>
      <c r="M731" s="51" t="n">
        <v>6.6</v>
      </c>
      <c r="N731" s="7" t="inlineStr">
        <is>
          <t>Median of the family</t>
        </is>
      </c>
      <c r="O731" s="54" t="n">
        <v>3.3</v>
      </c>
      <c r="P731" s="54" t="n">
        <v>3.3</v>
      </c>
      <c r="Q731" s="7" t="inlineStr">
        <is>
          <t>yes</t>
        </is>
      </c>
      <c r="R731" s="7" t="inlineStr">
        <is>
          <t>whole</t>
        </is>
      </c>
      <c r="S731" s="7" t="inlineStr">
        <is>
          <t>FG7</t>
        </is>
      </c>
      <c r="T731" s="7" t="n"/>
      <c r="U731" s="7" t="inlineStr">
        <is>
          <t>plant</t>
        </is>
      </c>
      <c r="V731" s="7" t="n"/>
      <c r="W731" s="7" t="n"/>
      <c r="X731" s="55" t="n">
        <v>1</v>
      </c>
      <c r="Y731" s="50" t="n">
        <v>0.2</v>
      </c>
      <c r="Z731" s="7" t="inlineStr">
        <is>
          <t>declared</t>
        </is>
      </c>
      <c r="AA731" s="19">
        <f>IF(ISBLANK(Welcome!D757),"",Welcome!D757)</f>
        <v/>
      </c>
      <c r="AB731" s="29">
        <f>IF(ISBLANK(Welcome!E757),"",Welcome!E757)</f>
        <v/>
      </c>
      <c r="AC731" s="29">
        <f>IF(N(AB731)&gt;0,N(AB731),N(AA731)*Y731)</f>
        <v/>
      </c>
      <c r="AD731" s="29">
        <f>IF(H731="yes",AC731,0)</f>
        <v/>
      </c>
      <c r="AE731" s="29">
        <f>AD731*N(M731)/100</f>
        <v/>
      </c>
      <c r="AF731" s="29">
        <f>AD731*N(O731)/100</f>
        <v/>
      </c>
      <c r="AG731" s="29">
        <f>AD731*N(P731)/100</f>
        <v/>
      </c>
      <c r="AH731" s="50">
        <f>IF(Q731="yes",AD731/1000,0)</f>
        <v/>
      </c>
      <c r="AI731" s="50">
        <f>IF(S731="FG2",AH731*X731,AH731)</f>
        <v/>
      </c>
    </row>
    <row r="732">
      <c r="A732" s="7" t="inlineStr">
        <is>
          <t>HM00090</t>
        </is>
      </c>
      <c r="B732" s="16" t="inlineStr">
        <is>
          <t>3012345835619</t>
        </is>
      </c>
      <c r="C732" s="7" t="inlineStr">
        <is>
          <t>COFFEE BEANS 227G VELOCE</t>
        </is>
      </c>
      <c r="D732" s="7" t="inlineStr">
        <is>
          <t>Whole coffee beans, 227g</t>
        </is>
      </c>
      <c r="E732" s="7" t="inlineStr">
        <is>
          <t>Veloce</t>
        </is>
      </c>
      <c r="F732" s="7" t="inlineStr">
        <is>
          <t>Grocery</t>
        </is>
      </c>
      <c r="G732" s="7" t="inlineStr">
        <is>
          <t>Tea &amp; Coffee</t>
        </is>
      </c>
      <c r="H732" s="7" t="inlineStr">
        <is>
          <t>yes</t>
        </is>
      </c>
      <c r="I732" s="7" t="inlineStr">
        <is>
          <t>Plant-based non-core</t>
        </is>
      </c>
      <c r="J732" s="7" t="inlineStr">
        <is>
          <t>Outside the WWF scope</t>
        </is>
      </c>
      <c r="K732" s="7" t="inlineStr">
        <is>
          <t>A</t>
        </is>
      </c>
      <c r="L732" s="7" t="inlineStr">
        <is>
          <t>All ingredients on one side</t>
        </is>
      </c>
      <c r="M732" s="51" t="n">
        <v>13</v>
      </c>
      <c r="N732" s="7" t="inlineStr">
        <is>
          <t>National food table (CIQUAL in France)</t>
        </is>
      </c>
      <c r="O732" s="54" t="n">
        <v>13</v>
      </c>
      <c r="P732" s="54" t="n">
        <v>0</v>
      </c>
      <c r="Q732" s="7" t="inlineStr">
        <is>
          <t>no</t>
        </is>
      </c>
      <c r="R732" s="7" t="n"/>
      <c r="S732" s="7" t="n"/>
      <c r="T732" s="7" t="n"/>
      <c r="U732" s="7" t="n"/>
      <c r="V732" s="7" t="n"/>
      <c r="W732" s="7" t="inlineStr">
        <is>
          <t>coffee tea</t>
        </is>
      </c>
      <c r="X732" s="55" t="n">
        <v>1</v>
      </c>
      <c r="Y732" s="50" t="n">
        <v>0.227</v>
      </c>
      <c r="Z732" s="7" t="inlineStr">
        <is>
          <t>declared</t>
        </is>
      </c>
      <c r="AA732" s="19">
        <f>IF(ISBLANK(Welcome!D758),"",Welcome!D758)</f>
        <v/>
      </c>
      <c r="AB732" s="29">
        <f>IF(ISBLANK(Welcome!E758),"",Welcome!E758)</f>
        <v/>
      </c>
      <c r="AC732" s="29">
        <f>IF(N(AB732)&gt;0,N(AB732),N(AA732)*Y732)</f>
        <v/>
      </c>
      <c r="AD732" s="29">
        <f>IF(H732="yes",AC732,0)</f>
        <v/>
      </c>
      <c r="AE732" s="29">
        <f>AD732*N(M732)/100</f>
        <v/>
      </c>
      <c r="AF732" s="29">
        <f>AD732*N(O732)/100</f>
        <v/>
      </c>
      <c r="AG732" s="29">
        <f>AD732*N(P732)/100</f>
        <v/>
      </c>
      <c r="AH732" s="50">
        <f>IF(Q732="yes",AD732/1000,0)</f>
        <v/>
      </c>
      <c r="AI732" s="50">
        <f>IF(S732="FG2",AH732*X732,AH732)</f>
        <v/>
      </c>
    </row>
    <row r="733">
      <c r="A733" s="7" t="inlineStr">
        <is>
          <t>HM00127</t>
        </is>
      </c>
      <c r="B733" s="16" t="inlineStr">
        <is>
          <t>5012345947181</t>
        </is>
      </c>
      <c r="C733" s="7" t="inlineStr">
        <is>
          <t>EGG TAGLIATELLE 500G ORVALIS</t>
        </is>
      </c>
      <c r="D733" s="7" t="inlineStr">
        <is>
          <t>Egg tagliatelle, 500g</t>
        </is>
      </c>
      <c r="E733" s="7" t="inlineStr">
        <is>
          <t>Orvalis</t>
        </is>
      </c>
      <c r="F733" s="7" t="inlineStr">
        <is>
          <t>Grocery</t>
        </is>
      </c>
      <c r="G733" s="7" t="inlineStr">
        <is>
          <t>Fresh Pasta</t>
        </is>
      </c>
      <c r="H733" s="7" t="inlineStr">
        <is>
          <t>yes</t>
        </is>
      </c>
      <c r="I733" s="7" t="inlineStr">
        <is>
          <t>Animal &amp; plant composite</t>
        </is>
      </c>
      <c r="J733" s="7" t="inlineStr">
        <is>
          <t>Vegetarian dishes</t>
        </is>
      </c>
      <c r="K733" s="7" t="inlineStr">
        <is>
          <t>A</t>
        </is>
      </c>
      <c r="L733" s="7" t="inlineStr">
        <is>
          <t>Ingredient list</t>
        </is>
      </c>
      <c r="M733" s="51" t="n">
        <v>14.6</v>
      </c>
      <c r="N733" s="7" t="inlineStr">
        <is>
          <t>National food table (CIQUAL in France)</t>
        </is>
      </c>
      <c r="O733" s="54" t="n">
        <v>11.39</v>
      </c>
      <c r="P733" s="54" t="n">
        <v>3.21</v>
      </c>
      <c r="Q733" s="7" t="inlineStr">
        <is>
          <t>yes</t>
        </is>
      </c>
      <c r="R733" s="7" t="inlineStr">
        <is>
          <t>composite</t>
        </is>
      </c>
      <c r="S733" s="7" t="n"/>
      <c r="T733" s="7" t="n"/>
      <c r="U733" s="7" t="n"/>
      <c r="V733" s="7" t="inlineStr">
        <is>
          <t>vegetarian</t>
        </is>
      </c>
      <c r="W733" s="7" t="n"/>
      <c r="X733" s="55" t="n">
        <v>1</v>
      </c>
      <c r="Y733" s="50" t="n">
        <v>0.5</v>
      </c>
      <c r="Z733" s="7" t="inlineStr">
        <is>
          <t>declared</t>
        </is>
      </c>
      <c r="AA733" s="19">
        <f>IF(ISBLANK(Welcome!D759),"",Welcome!D759)</f>
        <v/>
      </c>
      <c r="AB733" s="29">
        <f>IF(ISBLANK(Welcome!E759),"",Welcome!E759)</f>
        <v/>
      </c>
      <c r="AC733" s="29">
        <f>IF(N(AB733)&gt;0,N(AB733),N(AA733)*Y733)</f>
        <v/>
      </c>
      <c r="AD733" s="29">
        <f>IF(H733="yes",AC733,0)</f>
        <v/>
      </c>
      <c r="AE733" s="29">
        <f>AD733*N(M733)/100</f>
        <v/>
      </c>
      <c r="AF733" s="29">
        <f>AD733*N(O733)/100</f>
        <v/>
      </c>
      <c r="AG733" s="29">
        <f>AD733*N(P733)/100</f>
        <v/>
      </c>
      <c r="AH733" s="50">
        <f>IF(Q733="yes",AD733/1000,0)</f>
        <v/>
      </c>
      <c r="AI733" s="50">
        <f>IF(S733="FG2",AH733*X733,AH733)</f>
        <v/>
      </c>
    </row>
    <row r="734">
      <c r="A734" s="7" t="inlineStr">
        <is>
          <t>HM00316</t>
        </is>
      </c>
      <c r="B734" s="16" t="inlineStr">
        <is>
          <t>8712345499532</t>
        </is>
      </c>
      <c r="C734" s="7" t="inlineStr">
        <is>
          <t>HM BIN BAGS 50L EACH</t>
        </is>
      </c>
      <c r="D734" s="7" t="inlineStr">
        <is>
          <t>Bin bags, 50 L</t>
        </is>
      </c>
      <c r="E734" s="7" t="inlineStr">
        <is>
          <t>Harbour Market</t>
        </is>
      </c>
      <c r="F734" s="7" t="inlineStr">
        <is>
          <t>Household</t>
        </is>
      </c>
      <c r="G734" s="7" t="inlineStr">
        <is>
          <t>Household</t>
        </is>
      </c>
      <c r="H734" s="7" t="inlineStr">
        <is>
          <t>no</t>
        </is>
      </c>
      <c r="I734" s="7" t="n"/>
      <c r="J734" s="7" t="n"/>
      <c r="K734" s="7" t="n"/>
      <c r="L734" s="7" t="n"/>
      <c r="M734" s="51" t="n"/>
      <c r="N734" s="7" t="n"/>
      <c r="O734" s="54" t="n"/>
      <c r="P734" s="54" t="n"/>
      <c r="Q734" s="7" t="inlineStr">
        <is>
          <t>no</t>
        </is>
      </c>
      <c r="R734" s="7" t="n"/>
      <c r="S734" s="7" t="n"/>
      <c r="T734" s="7" t="n"/>
      <c r="U734" s="7" t="n"/>
      <c r="V734" s="7" t="n"/>
      <c r="W734" s="7" t="n"/>
      <c r="X734" s="55" t="n">
        <v>1</v>
      </c>
      <c r="Y734" s="50" t="n">
        <v>0.2</v>
      </c>
      <c r="Z734" s="7" t="inlineStr">
        <is>
          <t>declared</t>
        </is>
      </c>
      <c r="AA734" s="19">
        <f>IF(ISBLANK(Welcome!D760),"",Welcome!D760)</f>
        <v/>
      </c>
      <c r="AB734" s="29">
        <f>IF(ISBLANK(Welcome!E760),"",Welcome!E760)</f>
        <v/>
      </c>
      <c r="AC734" s="29">
        <f>IF(N(AB734)&gt;0,N(AB734),N(AA734)*Y734)</f>
        <v/>
      </c>
      <c r="AD734" s="29">
        <f>IF(H734="yes",AC734,0)</f>
        <v/>
      </c>
      <c r="AE734" s="29">
        <f>AD734*N(M734)/100</f>
        <v/>
      </c>
      <c r="AF734" s="29">
        <f>AD734*N(O734)/100</f>
        <v/>
      </c>
      <c r="AG734" s="29">
        <f>AD734*N(P734)/100</f>
        <v/>
      </c>
      <c r="AH734" s="50">
        <f>IF(Q734="yes",AD734/1000,0)</f>
        <v/>
      </c>
      <c r="AI734" s="50">
        <f>IF(S734="FG2",AH734*X734,AH734)</f>
        <v/>
      </c>
    </row>
    <row r="735">
      <c r="A735" s="7" t="inlineStr">
        <is>
          <t>HM00375</t>
        </is>
      </c>
      <c r="B735" s="16" t="inlineStr">
        <is>
          <t>0012345722004</t>
        </is>
      </c>
      <c r="C735" s="7" t="inlineStr">
        <is>
          <t>HM SALAMI MILANO 200G</t>
        </is>
      </c>
      <c r="D735" s="7" t="inlineStr">
        <is>
          <t>Milano salami, 200g</t>
        </is>
      </c>
      <c r="E735" s="7" t="inlineStr">
        <is>
          <t>Harbour Market</t>
        </is>
      </c>
      <c r="F735" s="7" t="inlineStr">
        <is>
          <t>Deli</t>
        </is>
      </c>
      <c r="G735" s="7" t="inlineStr">
        <is>
          <t>Cured Meats</t>
        </is>
      </c>
      <c r="H735" s="7" t="inlineStr">
        <is>
          <t>yes</t>
        </is>
      </c>
      <c r="I735" s="7" t="inlineStr">
        <is>
          <t>Animal core</t>
        </is>
      </c>
      <c r="J735" s="7" t="inlineStr">
        <is>
          <t>Dishes and processed products</t>
        </is>
      </c>
      <c r="K735" s="7" t="inlineStr">
        <is>
          <t>A</t>
        </is>
      </c>
      <c r="L735" s="7" t="inlineStr">
        <is>
          <t>All ingredients on one side</t>
        </is>
      </c>
      <c r="M735" s="51" t="n">
        <v>23.1</v>
      </c>
      <c r="N735" s="7" t="inlineStr">
        <is>
          <t>National food table (CIQUAL in France)</t>
        </is>
      </c>
      <c r="O735" s="54" t="n">
        <v>0</v>
      </c>
      <c r="P735" s="54" t="n">
        <v>23.1</v>
      </c>
      <c r="Q735" s="7" t="inlineStr">
        <is>
          <t>yes</t>
        </is>
      </c>
      <c r="R735" s="7" t="inlineStr">
        <is>
          <t>whole</t>
        </is>
      </c>
      <c r="S735" s="7" t="inlineStr">
        <is>
          <t>FG1</t>
        </is>
      </c>
      <c r="T735" s="7" t="inlineStr">
        <is>
          <t>Red meat</t>
        </is>
      </c>
      <c r="U735" s="7" t="inlineStr">
        <is>
          <t>animal</t>
        </is>
      </c>
      <c r="V735" s="7" t="n"/>
      <c r="W735" s="7" t="n"/>
      <c r="X735" s="55" t="n">
        <v>1</v>
      </c>
      <c r="Y735" s="50" t="n">
        <v>0.2</v>
      </c>
      <c r="Z735" s="7" t="inlineStr">
        <is>
          <t>declared</t>
        </is>
      </c>
      <c r="AA735" s="19">
        <f>IF(ISBLANK(Welcome!D761),"",Welcome!D761)</f>
        <v/>
      </c>
      <c r="AB735" s="29">
        <f>IF(ISBLANK(Welcome!E761),"",Welcome!E761)</f>
        <v/>
      </c>
      <c r="AC735" s="29">
        <f>IF(N(AB735)&gt;0,N(AB735),N(AA735)*Y735)</f>
        <v/>
      </c>
      <c r="AD735" s="29">
        <f>IF(H735="yes",AC735,0)</f>
        <v/>
      </c>
      <c r="AE735" s="29">
        <f>AD735*N(M735)/100</f>
        <v/>
      </c>
      <c r="AF735" s="29">
        <f>AD735*N(O735)/100</f>
        <v/>
      </c>
      <c r="AG735" s="29">
        <f>AD735*N(P735)/100</f>
        <v/>
      </c>
      <c r="AH735" s="50">
        <f>IF(Q735="yes",AD735/1000,0)</f>
        <v/>
      </c>
      <c r="AI735" s="50">
        <f>IF(S735="FG2",AH735*X735,AH735)</f>
        <v/>
      </c>
    </row>
    <row r="736">
      <c r="A736" s="7" t="inlineStr">
        <is>
          <t>HM00778</t>
        </is>
      </c>
      <c r="B736" s="16" t="inlineStr">
        <is>
          <t>5012345012742</t>
        </is>
      </c>
      <c r="C736" s="7" t="inlineStr">
        <is>
          <t>CASTELNA CHORIZO SLICES 100G</t>
        </is>
      </c>
      <c r="D736" s="7" t="inlineStr">
        <is>
          <t>Chorizo slices, 100g</t>
        </is>
      </c>
      <c r="E736" s="7" t="inlineStr">
        <is>
          <t>Castelna</t>
        </is>
      </c>
      <c r="F736" s="7" t="inlineStr">
        <is>
          <t>Deli</t>
        </is>
      </c>
      <c r="G736" s="7" t="inlineStr">
        <is>
          <t>Cured Meats</t>
        </is>
      </c>
      <c r="H736" s="7" t="inlineStr">
        <is>
          <t>yes</t>
        </is>
      </c>
      <c r="I736" s="7" t="inlineStr">
        <is>
          <t>Animal core</t>
        </is>
      </c>
      <c r="J736" s="7" t="inlineStr">
        <is>
          <t>Dishes and processed products</t>
        </is>
      </c>
      <c r="K736" s="7" t="inlineStr">
        <is>
          <t>A</t>
        </is>
      </c>
      <c r="L736" s="7" t="inlineStr">
        <is>
          <t>All ingredients on one side</t>
        </is>
      </c>
      <c r="M736" s="51" t="n">
        <v>23.7</v>
      </c>
      <c r="N736" s="7" t="inlineStr">
        <is>
          <t>Declared by the retailer</t>
        </is>
      </c>
      <c r="O736" s="54" t="n">
        <v>0</v>
      </c>
      <c r="P736" s="54" t="n">
        <v>23.7</v>
      </c>
      <c r="Q736" s="7" t="inlineStr">
        <is>
          <t>yes</t>
        </is>
      </c>
      <c r="R736" s="7" t="inlineStr">
        <is>
          <t>whole</t>
        </is>
      </c>
      <c r="S736" s="7" t="inlineStr">
        <is>
          <t>FG1</t>
        </is>
      </c>
      <c r="T736" s="7" t="inlineStr">
        <is>
          <t>Red meat</t>
        </is>
      </c>
      <c r="U736" s="7" t="inlineStr">
        <is>
          <t>animal</t>
        </is>
      </c>
      <c r="V736" s="7" t="n"/>
      <c r="W736" s="7" t="n"/>
      <c r="X736" s="55" t="n">
        <v>1</v>
      </c>
      <c r="Y736" s="50" t="n">
        <v>0.1</v>
      </c>
      <c r="Z736" s="7" t="inlineStr">
        <is>
          <t>label</t>
        </is>
      </c>
      <c r="AA736" s="19">
        <f>IF(ISBLANK(Welcome!D762),"",Welcome!D762)</f>
        <v/>
      </c>
      <c r="AB736" s="29">
        <f>IF(ISBLANK(Welcome!E762),"",Welcome!E762)</f>
        <v/>
      </c>
      <c r="AC736" s="29">
        <f>IF(N(AB736)&gt;0,N(AB736),N(AA736)*Y736)</f>
        <v/>
      </c>
      <c r="AD736" s="29">
        <f>IF(H736="yes",AC736,0)</f>
        <v/>
      </c>
      <c r="AE736" s="29">
        <f>AD736*N(M736)/100</f>
        <v/>
      </c>
      <c r="AF736" s="29">
        <f>AD736*N(O736)/100</f>
        <v/>
      </c>
      <c r="AG736" s="29">
        <f>AD736*N(P736)/100</f>
        <v/>
      </c>
      <c r="AH736" s="50">
        <f>IF(Q736="yes",AD736/1000,0)</f>
        <v/>
      </c>
      <c r="AI736" s="50">
        <f>IF(S736="FG2",AH736*X736,AH736)</f>
        <v/>
      </c>
    </row>
    <row r="737">
      <c r="A737" s="7" t="inlineStr">
        <is>
          <t>HM00634</t>
        </is>
      </c>
      <c r="B737" s="16" t="inlineStr">
        <is>
          <t>4012345933673</t>
        </is>
      </c>
      <c r="C737" s="7" t="inlineStr">
        <is>
          <t>HM DARK CHOC ORANGE 100G</t>
        </is>
      </c>
      <c r="D737" s="7" t="inlineStr">
        <is>
          <t>Dark chocolate with orange, 100g</t>
        </is>
      </c>
      <c r="E737" s="7" t="inlineStr">
        <is>
          <t>Harbour Market</t>
        </is>
      </c>
      <c r="F737" s="7" t="inlineStr">
        <is>
          <t>Breakfast &amp; Snacks</t>
        </is>
      </c>
      <c r="G737" s="7" t="inlineStr">
        <is>
          <t>Chocolate</t>
        </is>
      </c>
      <c r="H737" s="7" t="inlineStr">
        <is>
          <t>yes</t>
        </is>
      </c>
      <c r="I737" s="7" t="inlineStr">
        <is>
          <t>Plant-based non-core</t>
        </is>
      </c>
      <c r="J737" s="7" t="inlineStr">
        <is>
          <t>Discretionary products</t>
        </is>
      </c>
      <c r="K737" s="7" t="inlineStr">
        <is>
          <t>B</t>
        </is>
      </c>
      <c r="L737" s="7" t="inlineStr">
        <is>
          <t>Follows the class</t>
        </is>
      </c>
      <c r="M737" s="51" t="n">
        <v>8.1</v>
      </c>
      <c r="N737" s="7" t="inlineStr">
        <is>
          <t>Altera reference base</t>
        </is>
      </c>
      <c r="O737" s="54" t="n">
        <v>8.1</v>
      </c>
      <c r="P737" s="54" t="n">
        <v>0</v>
      </c>
      <c r="Q737" s="7" t="inlineStr">
        <is>
          <t>yes</t>
        </is>
      </c>
      <c r="R737" s="7" t="inlineStr">
        <is>
          <t>whole</t>
        </is>
      </c>
      <c r="S737" s="7" t="inlineStr">
        <is>
          <t>FG7</t>
        </is>
      </c>
      <c r="T737" s="7" t="n"/>
      <c r="U737" s="7" t="inlineStr">
        <is>
          <t>plant</t>
        </is>
      </c>
      <c r="V737" s="7" t="n"/>
      <c r="W737" s="7" t="n"/>
      <c r="X737" s="55" t="n">
        <v>1</v>
      </c>
      <c r="Y737" s="50" t="n">
        <v>0.1</v>
      </c>
      <c r="Z737" s="7" t="inlineStr">
        <is>
          <t>label</t>
        </is>
      </c>
      <c r="AA737" s="19">
        <f>IF(ISBLANK(Welcome!D763),"",Welcome!D763)</f>
        <v/>
      </c>
      <c r="AB737" s="29">
        <f>IF(ISBLANK(Welcome!E763),"",Welcome!E763)</f>
        <v/>
      </c>
      <c r="AC737" s="29">
        <f>IF(N(AB737)&gt;0,N(AB737),N(AA737)*Y737)</f>
        <v/>
      </c>
      <c r="AD737" s="29">
        <f>IF(H737="yes",AC737,0)</f>
        <v/>
      </c>
      <c r="AE737" s="29">
        <f>AD737*N(M737)/100</f>
        <v/>
      </c>
      <c r="AF737" s="29">
        <f>AD737*N(O737)/100</f>
        <v/>
      </c>
      <c r="AG737" s="29">
        <f>AD737*N(P737)/100</f>
        <v/>
      </c>
      <c r="AH737" s="50">
        <f>IF(Q737="yes",AD737/1000,0)</f>
        <v/>
      </c>
      <c r="AI737" s="50">
        <f>IF(S737="FG2",AH737*X737,AH737)</f>
        <v/>
      </c>
    </row>
    <row r="738">
      <c r="A738" s="7" t="inlineStr">
        <is>
          <t>HM00305</t>
        </is>
      </c>
      <c r="B738" s="16" t="inlineStr">
        <is>
          <t>4012345834109</t>
        </is>
      </c>
      <c r="C738" s="7" t="inlineStr">
        <is>
          <t>HM SALAMI MILANO 100G</t>
        </is>
      </c>
      <c r="D738" s="7" t="inlineStr">
        <is>
          <t>Milano salami, 100g</t>
        </is>
      </c>
      <c r="E738" s="7" t="inlineStr">
        <is>
          <t>Harbour Market</t>
        </is>
      </c>
      <c r="F738" s="7" t="inlineStr">
        <is>
          <t>Deli</t>
        </is>
      </c>
      <c r="G738" s="7" t="inlineStr">
        <is>
          <t>Cured Meats</t>
        </is>
      </c>
      <c r="H738" s="7" t="inlineStr">
        <is>
          <t>yes</t>
        </is>
      </c>
      <c r="I738" s="7" t="inlineStr">
        <is>
          <t>Animal core</t>
        </is>
      </c>
      <c r="J738" s="7" t="inlineStr">
        <is>
          <t>Dishes and processed products</t>
        </is>
      </c>
      <c r="K738" s="7" t="inlineStr">
        <is>
          <t>A</t>
        </is>
      </c>
      <c r="L738" s="7" t="inlineStr">
        <is>
          <t>All ingredients on one side</t>
        </is>
      </c>
      <c r="M738" s="51" t="n">
        <v>23.1</v>
      </c>
      <c r="N738" s="7" t="inlineStr">
        <is>
          <t>Altera reference base</t>
        </is>
      </c>
      <c r="O738" s="54" t="n">
        <v>0</v>
      </c>
      <c r="P738" s="54" t="n">
        <v>23.1</v>
      </c>
      <c r="Q738" s="7" t="inlineStr">
        <is>
          <t>yes</t>
        </is>
      </c>
      <c r="R738" s="7" t="inlineStr">
        <is>
          <t>whole</t>
        </is>
      </c>
      <c r="S738" s="7" t="inlineStr">
        <is>
          <t>FG1</t>
        </is>
      </c>
      <c r="T738" s="7" t="inlineStr">
        <is>
          <t>Red meat</t>
        </is>
      </c>
      <c r="U738" s="7" t="inlineStr">
        <is>
          <t>animal</t>
        </is>
      </c>
      <c r="V738" s="7" t="n"/>
      <c r="W738" s="7" t="n"/>
      <c r="X738" s="55" t="n">
        <v>1</v>
      </c>
      <c r="Y738" s="50" t="n">
        <v>0.1</v>
      </c>
      <c r="Z738" s="7" t="inlineStr">
        <is>
          <t>declared</t>
        </is>
      </c>
      <c r="AA738" s="19">
        <f>IF(ISBLANK(Welcome!D764),"",Welcome!D764)</f>
        <v/>
      </c>
      <c r="AB738" s="29">
        <f>IF(ISBLANK(Welcome!E764),"",Welcome!E764)</f>
        <v/>
      </c>
      <c r="AC738" s="29">
        <f>IF(N(AB738)&gt;0,N(AB738),N(AA738)*Y738)</f>
        <v/>
      </c>
      <c r="AD738" s="29">
        <f>IF(H738="yes",AC738,0)</f>
        <v/>
      </c>
      <c r="AE738" s="29">
        <f>AD738*N(M738)/100</f>
        <v/>
      </c>
      <c r="AF738" s="29">
        <f>AD738*N(O738)/100</f>
        <v/>
      </c>
      <c r="AG738" s="29">
        <f>AD738*N(P738)/100</f>
        <v/>
      </c>
      <c r="AH738" s="50">
        <f>IF(Q738="yes",AD738/1000,0)</f>
        <v/>
      </c>
      <c r="AI738" s="50">
        <f>IF(S738="FG2",AH738*X738,AH738)</f>
        <v/>
      </c>
    </row>
    <row r="739">
      <c r="A739" s="7" t="inlineStr">
        <is>
          <t>HM00777</t>
        </is>
      </c>
      <c r="B739" s="16" t="inlineStr">
        <is>
          <t>8712345538514</t>
        </is>
      </c>
      <c r="C739" s="7" t="inlineStr">
        <is>
          <t>ALDERWICK QUARK 300G</t>
        </is>
      </c>
      <c r="D739" s="7" t="inlineStr">
        <is>
          <t>Quark, 300g</t>
        </is>
      </c>
      <c r="E739" s="7" t="inlineStr">
        <is>
          <t>Alderwick</t>
        </is>
      </c>
      <c r="F739" s="7" t="inlineStr">
        <is>
          <t>Cheese</t>
        </is>
      </c>
      <c r="G739" s="7" t="inlineStr">
        <is>
          <t>Fresh Cheese</t>
        </is>
      </c>
      <c r="H739" s="7" t="inlineStr">
        <is>
          <t>yes</t>
        </is>
      </c>
      <c r="I739" s="7" t="inlineStr">
        <is>
          <t>Animal core</t>
        </is>
      </c>
      <c r="J739" s="7" t="inlineStr">
        <is>
          <t>Cheese</t>
        </is>
      </c>
      <c r="K739" s="7" t="inlineStr">
        <is>
          <t>A</t>
        </is>
      </c>
      <c r="L739" s="7" t="inlineStr">
        <is>
          <t>All ingredients on one side</t>
        </is>
      </c>
      <c r="M739" s="51" t="n">
        <v>12.2</v>
      </c>
      <c r="N739" s="7" t="inlineStr">
        <is>
          <t>Declared by the retailer</t>
        </is>
      </c>
      <c r="O739" s="54" t="n">
        <v>0</v>
      </c>
      <c r="P739" s="54" t="n">
        <v>12.2</v>
      </c>
      <c r="Q739" s="7" t="inlineStr">
        <is>
          <t>yes</t>
        </is>
      </c>
      <c r="R739" s="7" t="inlineStr">
        <is>
          <t>whole</t>
        </is>
      </c>
      <c r="S739" s="7" t="inlineStr">
        <is>
          <t>FG2</t>
        </is>
      </c>
      <c r="T739" s="7" t="inlineStr">
        <is>
          <t>Dairy</t>
        </is>
      </c>
      <c r="U739" s="7" t="inlineStr">
        <is>
          <t>animal</t>
        </is>
      </c>
      <c r="V739" s="7" t="n"/>
      <c r="W739" s="7" t="n"/>
      <c r="X739" s="55" t="n">
        <v>1</v>
      </c>
      <c r="Y739" s="50" t="n">
        <v>0.3</v>
      </c>
      <c r="Z739" s="7" t="inlineStr">
        <is>
          <t>declared</t>
        </is>
      </c>
      <c r="AA739" s="19">
        <f>IF(ISBLANK(Welcome!D765),"",Welcome!D765)</f>
        <v/>
      </c>
      <c r="AB739" s="29">
        <f>IF(ISBLANK(Welcome!E765),"",Welcome!E765)</f>
        <v/>
      </c>
      <c r="AC739" s="29">
        <f>IF(N(AB739)&gt;0,N(AB739),N(AA739)*Y739)</f>
        <v/>
      </c>
      <c r="AD739" s="29">
        <f>IF(H739="yes",AC739,0)</f>
        <v/>
      </c>
      <c r="AE739" s="29">
        <f>AD739*N(M739)/100</f>
        <v/>
      </c>
      <c r="AF739" s="29">
        <f>AD739*N(O739)/100</f>
        <v/>
      </c>
      <c r="AG739" s="29">
        <f>AD739*N(P739)/100</f>
        <v/>
      </c>
      <c r="AH739" s="50">
        <f>IF(Q739="yes",AD739/1000,0)</f>
        <v/>
      </c>
      <c r="AI739" s="50">
        <f>IF(S739="FG2",AH739*X739,AH739)</f>
        <v/>
      </c>
    </row>
    <row r="740">
      <c r="A740" s="7" t="inlineStr">
        <is>
          <t>HM00529</t>
        </is>
      </c>
      <c r="B740" s="16" t="inlineStr">
        <is>
          <t>0012345672675</t>
        </is>
      </c>
      <c r="C740" s="7" t="inlineStr">
        <is>
          <t>CHOC FUDGE CAKE 400G BRAMBLECOTE</t>
        </is>
      </c>
      <c r="D740" s="7" t="inlineStr">
        <is>
          <t>Chocolate fudge cake, 400g</t>
        </is>
      </c>
      <c r="E740" s="7" t="inlineStr">
        <is>
          <t>Bramblecote</t>
        </is>
      </c>
      <c r="F740" s="7" t="inlineStr">
        <is>
          <t>Bakery</t>
        </is>
      </c>
      <c r="G740" s="7" t="inlineStr">
        <is>
          <t>Cakes</t>
        </is>
      </c>
      <c r="H740" s="7" t="inlineStr">
        <is>
          <t>yes</t>
        </is>
      </c>
      <c r="I740" s="7" t="inlineStr">
        <is>
          <t>Animal &amp; plant composite</t>
        </is>
      </c>
      <c r="J740" s="7" t="inlineStr">
        <is>
          <t>Discretionary products</t>
        </is>
      </c>
      <c r="K740" s="7" t="inlineStr">
        <is>
          <t>B</t>
        </is>
      </c>
      <c r="L740" s="7" t="inlineStr">
        <is>
          <t>50/50 convention</t>
        </is>
      </c>
      <c r="M740" s="51" t="n">
        <v>4.8</v>
      </c>
      <c r="N740" s="7" t="inlineStr">
        <is>
          <t>Declared by the retailer</t>
        </is>
      </c>
      <c r="O740" s="54" t="n">
        <v>2.4</v>
      </c>
      <c r="P740" s="54" t="n">
        <v>2.4</v>
      </c>
      <c r="Q740" s="7" t="inlineStr">
        <is>
          <t>yes</t>
        </is>
      </c>
      <c r="R740" s="7" t="inlineStr">
        <is>
          <t>whole</t>
        </is>
      </c>
      <c r="S740" s="7" t="inlineStr">
        <is>
          <t>FG7</t>
        </is>
      </c>
      <c r="T740" s="7" t="n"/>
      <c r="U740" s="7" t="inlineStr">
        <is>
          <t>plant</t>
        </is>
      </c>
      <c r="V740" s="7" t="n"/>
      <c r="W740" s="7" t="n"/>
      <c r="X740" s="55" t="n">
        <v>1</v>
      </c>
      <c r="Y740" s="50" t="n">
        <v>0.4</v>
      </c>
      <c r="Z740" s="7" t="inlineStr">
        <is>
          <t>declared</t>
        </is>
      </c>
      <c r="AA740" s="19">
        <f>IF(ISBLANK(Welcome!D766),"",Welcome!D766)</f>
        <v/>
      </c>
      <c r="AB740" s="29">
        <f>IF(ISBLANK(Welcome!E766),"",Welcome!E766)</f>
        <v/>
      </c>
      <c r="AC740" s="29">
        <f>IF(N(AB740)&gt;0,N(AB740),N(AA740)*Y740)</f>
        <v/>
      </c>
      <c r="AD740" s="29">
        <f>IF(H740="yes",AC740,0)</f>
        <v/>
      </c>
      <c r="AE740" s="29">
        <f>AD740*N(M740)/100</f>
        <v/>
      </c>
      <c r="AF740" s="29">
        <f>AD740*N(O740)/100</f>
        <v/>
      </c>
      <c r="AG740" s="29">
        <f>AD740*N(P740)/100</f>
        <v/>
      </c>
      <c r="AH740" s="50">
        <f>IF(Q740="yes",AD740/1000,0)</f>
        <v/>
      </c>
      <c r="AI740" s="50">
        <f>IF(S740="FG2",AH740*X740,AH740)</f>
        <v/>
      </c>
    </row>
    <row r="741">
      <c r="A741" s="7" t="inlineStr">
        <is>
          <t>HM00422</t>
        </is>
      </c>
      <c r="B741" s="16" t="inlineStr">
        <is>
          <t>4012345548290</t>
        </is>
      </c>
      <c r="C741" s="7" t="inlineStr">
        <is>
          <t>SOLVANE TEMPEH 200G</t>
        </is>
      </c>
      <c r="D741" s="7" t="inlineStr">
        <is>
          <t>Tempeh, 200g</t>
        </is>
      </c>
      <c r="E741" s="7" t="inlineStr">
        <is>
          <t>Solvane</t>
        </is>
      </c>
      <c r="F741" s="7" t="inlineStr">
        <is>
          <t>Plant-Based</t>
        </is>
      </c>
      <c r="G741" s="7" t="inlineStr">
        <is>
          <t>Tofu &amp; Tempeh</t>
        </is>
      </c>
      <c r="H741" s="7" t="inlineStr">
        <is>
          <t>yes</t>
        </is>
      </c>
      <c r="I741" s="7" t="inlineStr">
        <is>
          <t>Plant-based core</t>
        </is>
      </c>
      <c r="J741" s="7" t="inlineStr">
        <is>
          <t>Tofu, tempeh, seitan</t>
        </is>
      </c>
      <c r="K741" s="7" t="inlineStr">
        <is>
          <t>A</t>
        </is>
      </c>
      <c r="L741" s="7" t="inlineStr">
        <is>
          <t>All ingredients on one side</t>
        </is>
      </c>
      <c r="M741" s="51" t="n">
        <v>18.3</v>
      </c>
      <c r="N741" s="7" t="inlineStr">
        <is>
          <t>Declared by the retailer</t>
        </is>
      </c>
      <c r="O741" s="54" t="n">
        <v>18.3</v>
      </c>
      <c r="P741" s="54" t="n">
        <v>0</v>
      </c>
      <c r="Q741" s="7" t="inlineStr">
        <is>
          <t>yes</t>
        </is>
      </c>
      <c r="R741" s="7" t="inlineStr">
        <is>
          <t>whole</t>
        </is>
      </c>
      <c r="S741" s="7" t="inlineStr">
        <is>
          <t>FG1</t>
        </is>
      </c>
      <c r="T741" s="7" t="inlineStr">
        <is>
          <t>Tofu, tempeh &amp; seitan</t>
        </is>
      </c>
      <c r="U741" s="7" t="inlineStr">
        <is>
          <t>plant</t>
        </is>
      </c>
      <c r="V741" s="7" t="n"/>
      <c r="W741" s="7" t="n"/>
      <c r="X741" s="55" t="n">
        <v>1</v>
      </c>
      <c r="Y741" s="50" t="n">
        <v>0.2</v>
      </c>
      <c r="Z741" s="7" t="inlineStr">
        <is>
          <t>declared</t>
        </is>
      </c>
      <c r="AA741" s="19">
        <f>IF(ISBLANK(Welcome!D767),"",Welcome!D767)</f>
        <v/>
      </c>
      <c r="AB741" s="29">
        <f>IF(ISBLANK(Welcome!E767),"",Welcome!E767)</f>
        <v/>
      </c>
      <c r="AC741" s="29">
        <f>IF(N(AB741)&gt;0,N(AB741),N(AA741)*Y741)</f>
        <v/>
      </c>
      <c r="AD741" s="29">
        <f>IF(H741="yes",AC741,0)</f>
        <v/>
      </c>
      <c r="AE741" s="29">
        <f>AD741*N(M741)/100</f>
        <v/>
      </c>
      <c r="AF741" s="29">
        <f>AD741*N(O741)/100</f>
        <v/>
      </c>
      <c r="AG741" s="29">
        <f>AD741*N(P741)/100</f>
        <v/>
      </c>
      <c r="AH741" s="50">
        <f>IF(Q741="yes",AD741/1000,0)</f>
        <v/>
      </c>
      <c r="AI741" s="50">
        <f>IF(S741="FG2",AH741*X741,AH741)</f>
        <v/>
      </c>
    </row>
    <row r="742">
      <c r="A742" s="7" t="inlineStr">
        <is>
          <t>HM00467</t>
        </is>
      </c>
      <c r="B742" s="16" t="inlineStr">
        <is>
          <t>3012345311694</t>
        </is>
      </c>
      <c r="C742" s="7" t="inlineStr">
        <is>
          <t>HM SMOOTH PEANUT BTR 340G</t>
        </is>
      </c>
      <c r="D742" s="7" t="inlineStr">
        <is>
          <t>Smooth peanut butter, 340g</t>
        </is>
      </c>
      <c r="E742" s="7" t="inlineStr">
        <is>
          <t>Harbour Market</t>
        </is>
      </c>
      <c r="F742" s="7" t="inlineStr">
        <is>
          <t>Grocery</t>
        </is>
      </c>
      <c r="G742" s="7" t="inlineStr">
        <is>
          <t>Spreads</t>
        </is>
      </c>
      <c r="H742" s="7" t="inlineStr">
        <is>
          <t>yes</t>
        </is>
      </c>
      <c r="I742" s="7" t="inlineStr">
        <is>
          <t>Plant-based core</t>
        </is>
      </c>
      <c r="J742" s="7" t="inlineStr">
        <is>
          <t>Nuts</t>
        </is>
      </c>
      <c r="K742" s="7" t="inlineStr">
        <is>
          <t>A</t>
        </is>
      </c>
      <c r="L742" s="7" t="inlineStr">
        <is>
          <t>All ingredients on one side</t>
        </is>
      </c>
      <c r="M742" s="51" t="n">
        <v>25.4</v>
      </c>
      <c r="N742" s="7" t="inlineStr">
        <is>
          <t>National food table (CIQUAL in France)</t>
        </is>
      </c>
      <c r="O742" s="54" t="n">
        <v>25.4</v>
      </c>
      <c r="P742" s="54" t="n">
        <v>0</v>
      </c>
      <c r="Q742" s="7" t="inlineStr">
        <is>
          <t>yes</t>
        </is>
      </c>
      <c r="R742" s="7" t="inlineStr">
        <is>
          <t>whole</t>
        </is>
      </c>
      <c r="S742" s="7" t="inlineStr">
        <is>
          <t>FG1</t>
        </is>
      </c>
      <c r="T742" s="7" t="inlineStr">
        <is>
          <t>Nuts</t>
        </is>
      </c>
      <c r="U742" s="7" t="inlineStr">
        <is>
          <t>plant</t>
        </is>
      </c>
      <c r="V742" s="7" t="n"/>
      <c r="W742" s="7" t="n"/>
      <c r="X742" s="55" t="n">
        <v>1</v>
      </c>
      <c r="Y742" s="50" t="n">
        <v>0.34</v>
      </c>
      <c r="Z742" s="7" t="inlineStr">
        <is>
          <t>declared</t>
        </is>
      </c>
      <c r="AA742" s="19">
        <f>IF(ISBLANK(Welcome!D768),"",Welcome!D768)</f>
        <v/>
      </c>
      <c r="AB742" s="29">
        <f>IF(ISBLANK(Welcome!E768),"",Welcome!E768)</f>
        <v/>
      </c>
      <c r="AC742" s="29">
        <f>IF(N(AB742)&gt;0,N(AB742),N(AA742)*Y742)</f>
        <v/>
      </c>
      <c r="AD742" s="29">
        <f>IF(H742="yes",AC742,0)</f>
        <v/>
      </c>
      <c r="AE742" s="29">
        <f>AD742*N(M742)/100</f>
        <v/>
      </c>
      <c r="AF742" s="29">
        <f>AD742*N(O742)/100</f>
        <v/>
      </c>
      <c r="AG742" s="29">
        <f>AD742*N(P742)/100</f>
        <v/>
      </c>
      <c r="AH742" s="50">
        <f>IF(Q742="yes",AD742/1000,0)</f>
        <v/>
      </c>
      <c r="AI742" s="50">
        <f>IF(S742="FG2",AH742*X742,AH742)</f>
        <v/>
      </c>
    </row>
    <row r="743">
      <c r="A743" s="7" t="inlineStr">
        <is>
          <t>HM00451</t>
        </is>
      </c>
      <c r="B743" s="16" t="inlineStr">
        <is>
          <t>5012345442020</t>
        </is>
      </c>
      <c r="C743" s="7" t="inlineStr">
        <is>
          <t>HM CHKN MAYO SANDWICH EACH</t>
        </is>
      </c>
      <c r="D743" s="7" t="inlineStr">
        <is>
          <t>Chicken mayo sandwich</t>
        </is>
      </c>
      <c r="E743" s="7" t="inlineStr">
        <is>
          <t>Harbour Market</t>
        </is>
      </c>
      <c r="F743" s="7" t="inlineStr">
        <is>
          <t>Ready Meals</t>
        </is>
      </c>
      <c r="G743" s="7" t="inlineStr">
        <is>
          <t>Sandwiches</t>
        </is>
      </c>
      <c r="H743" s="7" t="inlineStr">
        <is>
          <t>yes</t>
        </is>
      </c>
      <c r="I743" s="7" t="inlineStr">
        <is>
          <t>Animal &amp; plant composite</t>
        </is>
      </c>
      <c r="J743" s="7" t="inlineStr">
        <is>
          <t>Meat-based dishes</t>
        </is>
      </c>
      <c r="K743" s="7" t="inlineStr">
        <is>
          <t>B</t>
        </is>
      </c>
      <c r="L743" s="7" t="inlineStr">
        <is>
          <t>50/50 convention</t>
        </is>
      </c>
      <c r="M743" s="51" t="n">
        <v>10.7</v>
      </c>
      <c r="N743" s="7" t="inlineStr">
        <is>
          <t>Declared by the retailer</t>
        </is>
      </c>
      <c r="O743" s="54" t="n">
        <v>5.35</v>
      </c>
      <c r="P743" s="54" t="n">
        <v>5.35</v>
      </c>
      <c r="Q743" s="7" t="inlineStr">
        <is>
          <t>yes</t>
        </is>
      </c>
      <c r="R743" s="7" t="inlineStr">
        <is>
          <t>composite</t>
        </is>
      </c>
      <c r="S743" s="7" t="n"/>
      <c r="T743" s="7" t="n"/>
      <c r="U743" s="7" t="n"/>
      <c r="V743" s="7" t="inlineStr">
        <is>
          <t>meat-based</t>
        </is>
      </c>
      <c r="W743" s="7" t="n"/>
      <c r="X743" s="55" t="n">
        <v>1</v>
      </c>
      <c r="Y743" s="50" t="n">
        <v>0.18</v>
      </c>
      <c r="Z743" s="7" t="inlineStr">
        <is>
          <t>declared</t>
        </is>
      </c>
      <c r="AA743" s="19">
        <f>IF(ISBLANK(Welcome!D769),"",Welcome!D769)</f>
        <v/>
      </c>
      <c r="AB743" s="29">
        <f>IF(ISBLANK(Welcome!E769),"",Welcome!E769)</f>
        <v/>
      </c>
      <c r="AC743" s="29">
        <f>IF(N(AB743)&gt;0,N(AB743),N(AA743)*Y743)</f>
        <v/>
      </c>
      <c r="AD743" s="29">
        <f>IF(H743="yes",AC743,0)</f>
        <v/>
      </c>
      <c r="AE743" s="29">
        <f>AD743*N(M743)/100</f>
        <v/>
      </c>
      <c r="AF743" s="29">
        <f>AD743*N(O743)/100</f>
        <v/>
      </c>
      <c r="AG743" s="29">
        <f>AD743*N(P743)/100</f>
        <v/>
      </c>
      <c r="AH743" s="50">
        <f>IF(Q743="yes",AD743/1000,0)</f>
        <v/>
      </c>
      <c r="AI743" s="50">
        <f>IF(S743="FG2",AH743*X743,AH743)</f>
        <v/>
      </c>
    </row>
    <row r="744">
      <c r="A744" s="7" t="inlineStr">
        <is>
          <t>HM00786</t>
        </is>
      </c>
      <c r="B744" s="16" t="inlineStr">
        <is>
          <t>8712345904869</t>
        </is>
      </c>
      <c r="C744" s="7" t="inlineStr">
        <is>
          <t>HM GROUND COFFEE MEDIUM 227G</t>
        </is>
      </c>
      <c r="D744" s="7" t="inlineStr">
        <is>
          <t>Medium roast ground coffee, 227g</t>
        </is>
      </c>
      <c r="E744" s="7" t="inlineStr">
        <is>
          <t>Harbour Market</t>
        </is>
      </c>
      <c r="F744" s="7" t="inlineStr">
        <is>
          <t>Grocery</t>
        </is>
      </c>
      <c r="G744" s="7" t="inlineStr">
        <is>
          <t>Tea &amp; Coffee</t>
        </is>
      </c>
      <c r="H744" s="7" t="inlineStr">
        <is>
          <t>yes</t>
        </is>
      </c>
      <c r="I744" s="7" t="inlineStr">
        <is>
          <t>Plant-based non-core</t>
        </is>
      </c>
      <c r="J744" s="7" t="inlineStr">
        <is>
          <t>Outside the WWF scope</t>
        </is>
      </c>
      <c r="K744" s="7" t="inlineStr">
        <is>
          <t>A</t>
        </is>
      </c>
      <c r="L744" s="7" t="inlineStr">
        <is>
          <t>All ingredients on one side</t>
        </is>
      </c>
      <c r="M744" s="51" t="n">
        <v>13</v>
      </c>
      <c r="N744" s="7" t="inlineStr">
        <is>
          <t>Median of the family</t>
        </is>
      </c>
      <c r="O744" s="54" t="n">
        <v>13</v>
      </c>
      <c r="P744" s="54" t="n">
        <v>0</v>
      </c>
      <c r="Q744" s="7" t="inlineStr">
        <is>
          <t>no</t>
        </is>
      </c>
      <c r="R744" s="7" t="n"/>
      <c r="S744" s="7" t="n"/>
      <c r="T744" s="7" t="n"/>
      <c r="U744" s="7" t="n"/>
      <c r="V744" s="7" t="n"/>
      <c r="W744" s="7" t="inlineStr">
        <is>
          <t>coffee tea</t>
        </is>
      </c>
      <c r="X744" s="55" t="n">
        <v>1</v>
      </c>
      <c r="Y744" s="50" t="n">
        <v>0.227</v>
      </c>
      <c r="Z744" s="7" t="inlineStr">
        <is>
          <t>declared</t>
        </is>
      </c>
      <c r="AA744" s="19">
        <f>IF(ISBLANK(Welcome!D770),"",Welcome!D770)</f>
        <v/>
      </c>
      <c r="AB744" s="29">
        <f>IF(ISBLANK(Welcome!E770),"",Welcome!E770)</f>
        <v/>
      </c>
      <c r="AC744" s="29">
        <f>IF(N(AB744)&gt;0,N(AB744),N(AA744)*Y744)</f>
        <v/>
      </c>
      <c r="AD744" s="29">
        <f>IF(H744="yes",AC744,0)</f>
        <v/>
      </c>
      <c r="AE744" s="29">
        <f>AD744*N(M744)/100</f>
        <v/>
      </c>
      <c r="AF744" s="29">
        <f>AD744*N(O744)/100</f>
        <v/>
      </c>
      <c r="AG744" s="29">
        <f>AD744*N(P744)/100</f>
        <v/>
      </c>
      <c r="AH744" s="50">
        <f>IF(Q744="yes",AD744/1000,0)</f>
        <v/>
      </c>
      <c r="AI744" s="50">
        <f>IF(S744="FG2",AH744*X744,AH744)</f>
        <v/>
      </c>
    </row>
    <row r="745">
      <c r="A745" s="7" t="inlineStr">
        <is>
          <t>HM00172</t>
        </is>
      </c>
      <c r="B745" s="16" t="inlineStr">
        <is>
          <t>8712345557928</t>
        </is>
      </c>
      <c r="C745" s="7" t="inlineStr">
        <is>
          <t>HM PEPPERONI SLICES 70G</t>
        </is>
      </c>
      <c r="D745" s="7" t="inlineStr">
        <is>
          <t>Pepperoni slices, 70g</t>
        </is>
      </c>
      <c r="E745" s="7" t="inlineStr">
        <is>
          <t>Harbour Market</t>
        </is>
      </c>
      <c r="F745" s="7" t="inlineStr">
        <is>
          <t>Deli</t>
        </is>
      </c>
      <c r="G745" s="7" t="inlineStr">
        <is>
          <t>Cured Meats</t>
        </is>
      </c>
      <c r="H745" s="7" t="inlineStr">
        <is>
          <t>yes</t>
        </is>
      </c>
      <c r="I745" s="7" t="inlineStr">
        <is>
          <t>Animal core</t>
        </is>
      </c>
      <c r="J745" s="7" t="inlineStr">
        <is>
          <t>Dishes and processed products</t>
        </is>
      </c>
      <c r="K745" s="7" t="inlineStr">
        <is>
          <t>A</t>
        </is>
      </c>
      <c r="L745" s="7" t="inlineStr">
        <is>
          <t>All ingredients on one side</t>
        </is>
      </c>
      <c r="M745" s="51" t="n">
        <v>23.4</v>
      </c>
      <c r="N745" s="7" t="inlineStr">
        <is>
          <t>Open Food Facts and NEVO, by EAN</t>
        </is>
      </c>
      <c r="O745" s="54" t="n">
        <v>0</v>
      </c>
      <c r="P745" s="54" t="n">
        <v>23.4</v>
      </c>
      <c r="Q745" s="7" t="inlineStr">
        <is>
          <t>yes</t>
        </is>
      </c>
      <c r="R745" s="7" t="inlineStr">
        <is>
          <t>whole</t>
        </is>
      </c>
      <c r="S745" s="7" t="inlineStr">
        <is>
          <t>FG1</t>
        </is>
      </c>
      <c r="T745" s="7" t="inlineStr">
        <is>
          <t>Red meat</t>
        </is>
      </c>
      <c r="U745" s="7" t="inlineStr">
        <is>
          <t>animal</t>
        </is>
      </c>
      <c r="V745" s="7" t="n"/>
      <c r="W745" s="7" t="n"/>
      <c r="X745" s="55" t="n">
        <v>1</v>
      </c>
      <c r="Y745" s="50" t="n">
        <v>0.07000000000000001</v>
      </c>
      <c r="Z745" s="7" t="inlineStr">
        <is>
          <t>declared</t>
        </is>
      </c>
      <c r="AA745" s="19">
        <f>IF(ISBLANK(Welcome!D771),"",Welcome!D771)</f>
        <v/>
      </c>
      <c r="AB745" s="29">
        <f>IF(ISBLANK(Welcome!E771),"",Welcome!E771)</f>
        <v/>
      </c>
      <c r="AC745" s="29">
        <f>IF(N(AB745)&gt;0,N(AB745),N(AA745)*Y745)</f>
        <v/>
      </c>
      <c r="AD745" s="29">
        <f>IF(H745="yes",AC745,0)</f>
        <v/>
      </c>
      <c r="AE745" s="29">
        <f>AD745*N(M745)/100</f>
        <v/>
      </c>
      <c r="AF745" s="29">
        <f>AD745*N(O745)/100</f>
        <v/>
      </c>
      <c r="AG745" s="29">
        <f>AD745*N(P745)/100</f>
        <v/>
      </c>
      <c r="AH745" s="50">
        <f>IF(Q745="yes",AD745/1000,0)</f>
        <v/>
      </c>
      <c r="AI745" s="50">
        <f>IF(S745="FG2",AH745*X745,AH745)</f>
        <v/>
      </c>
    </row>
    <row r="746">
      <c r="A746" s="7" t="inlineStr">
        <is>
          <t>HM00293</t>
        </is>
      </c>
      <c r="B746" s="16" t="inlineStr">
        <is>
          <t>8712345377458</t>
        </is>
      </c>
      <c r="C746" s="7" t="inlineStr">
        <is>
          <t>HM SOUR CRM ONION CRISPS 6PK 150G</t>
        </is>
      </c>
      <c r="D746" s="7" t="inlineStr">
        <is>
          <t>Sour cream &amp; onion crisps, 6pk 150g</t>
        </is>
      </c>
      <c r="E746" s="7" t="inlineStr">
        <is>
          <t>Harbour Market</t>
        </is>
      </c>
      <c r="F746" s="7" t="inlineStr">
        <is>
          <t>Breakfast &amp; Snacks</t>
        </is>
      </c>
      <c r="G746" s="7" t="inlineStr">
        <is>
          <t>Crisps</t>
        </is>
      </c>
      <c r="H746" s="7" t="inlineStr">
        <is>
          <t>yes</t>
        </is>
      </c>
      <c r="I746" s="7" t="inlineStr">
        <is>
          <t>Animal &amp; plant composite</t>
        </is>
      </c>
      <c r="J746" s="7" t="inlineStr">
        <is>
          <t>Discretionary products</t>
        </is>
      </c>
      <c r="K746" s="7" t="inlineStr">
        <is>
          <t>A</t>
        </is>
      </c>
      <c r="L746" s="7" t="inlineStr">
        <is>
          <t>NEVO food table (ratio only)</t>
        </is>
      </c>
      <c r="M746" s="51" t="n">
        <v>6.2</v>
      </c>
      <c r="N746" s="7" t="inlineStr">
        <is>
          <t>Median of the family</t>
        </is>
      </c>
      <c r="O746" s="54" t="n">
        <v>5.77</v>
      </c>
      <c r="P746" s="54" t="n">
        <v>0.43</v>
      </c>
      <c r="Q746" s="7" t="inlineStr">
        <is>
          <t>yes</t>
        </is>
      </c>
      <c r="R746" s="7" t="inlineStr">
        <is>
          <t>whole</t>
        </is>
      </c>
      <c r="S746" s="7" t="inlineStr">
        <is>
          <t>FG7</t>
        </is>
      </c>
      <c r="T746" s="7" t="n"/>
      <c r="U746" s="7" t="inlineStr">
        <is>
          <t>animal</t>
        </is>
      </c>
      <c r="V746" s="7" t="n"/>
      <c r="W746" s="7" t="n"/>
      <c r="X746" s="55" t="n">
        <v>1</v>
      </c>
      <c r="Y746" s="50" t="n">
        <v>0.15</v>
      </c>
      <c r="Z746" s="7" t="inlineStr">
        <is>
          <t>declared</t>
        </is>
      </c>
      <c r="AA746" s="19">
        <f>IF(ISBLANK(Welcome!D772),"",Welcome!D772)</f>
        <v/>
      </c>
      <c r="AB746" s="29">
        <f>IF(ISBLANK(Welcome!E772),"",Welcome!E772)</f>
        <v/>
      </c>
      <c r="AC746" s="29">
        <f>IF(N(AB746)&gt;0,N(AB746),N(AA746)*Y746)</f>
        <v/>
      </c>
      <c r="AD746" s="29">
        <f>IF(H746="yes",AC746,0)</f>
        <v/>
      </c>
      <c r="AE746" s="29">
        <f>AD746*N(M746)/100</f>
        <v/>
      </c>
      <c r="AF746" s="29">
        <f>AD746*N(O746)/100</f>
        <v/>
      </c>
      <c r="AG746" s="29">
        <f>AD746*N(P746)/100</f>
        <v/>
      </c>
      <c r="AH746" s="50">
        <f>IF(Q746="yes",AD746/1000,0)</f>
        <v/>
      </c>
      <c r="AI746" s="50">
        <f>IF(S746="FG2",AH746*X746,AH746)</f>
        <v/>
      </c>
    </row>
    <row r="747">
      <c r="A747" s="7" t="inlineStr">
        <is>
          <t>HM00524</t>
        </is>
      </c>
      <c r="B747" s="16" t="inlineStr">
        <is>
          <t>5012345688879</t>
        </is>
      </c>
      <c r="C747" s="7" t="inlineStr">
        <is>
          <t>HM TEALIGHTS 50PK 2PK</t>
        </is>
      </c>
      <c r="D747" s="7" t="inlineStr">
        <is>
          <t>Tealights, 2pk</t>
        </is>
      </c>
      <c r="E747" s="7" t="inlineStr">
        <is>
          <t>Harbour Market</t>
        </is>
      </c>
      <c r="F747" s="7" t="inlineStr">
        <is>
          <t>Household</t>
        </is>
      </c>
      <c r="G747" s="7" t="inlineStr">
        <is>
          <t>Household</t>
        </is>
      </c>
      <c r="H747" s="7" t="inlineStr">
        <is>
          <t>no</t>
        </is>
      </c>
      <c r="I747" s="7" t="n"/>
      <c r="J747" s="7" t="n"/>
      <c r="K747" s="7" t="n"/>
      <c r="L747" s="7" t="n"/>
      <c r="M747" s="51" t="n"/>
      <c r="N747" s="7" t="n"/>
      <c r="O747" s="54" t="n"/>
      <c r="P747" s="54" t="n"/>
      <c r="Q747" s="7" t="inlineStr">
        <is>
          <t>no</t>
        </is>
      </c>
      <c r="R747" s="7" t="n"/>
      <c r="S747" s="7" t="n"/>
      <c r="T747" s="7" t="n"/>
      <c r="U747" s="7" t="n"/>
      <c r="V747" s="7" t="n"/>
      <c r="W747" s="7" t="n"/>
      <c r="X747" s="55" t="n">
        <v>1</v>
      </c>
      <c r="Y747" s="50" t="n">
        <v>0.3</v>
      </c>
      <c r="Z747" s="7" t="inlineStr">
        <is>
          <t>declared</t>
        </is>
      </c>
      <c r="AA747" s="19">
        <f>IF(ISBLANK(Welcome!D773),"",Welcome!D773)</f>
        <v/>
      </c>
      <c r="AB747" s="29">
        <f>IF(ISBLANK(Welcome!E773),"",Welcome!E773)</f>
        <v/>
      </c>
      <c r="AC747" s="29">
        <f>IF(N(AB747)&gt;0,N(AB747),N(AA747)*Y747)</f>
        <v/>
      </c>
      <c r="AD747" s="29">
        <f>IF(H747="yes",AC747,0)</f>
        <v/>
      </c>
      <c r="AE747" s="29">
        <f>AD747*N(M747)/100</f>
        <v/>
      </c>
      <c r="AF747" s="29">
        <f>AD747*N(O747)/100</f>
        <v/>
      </c>
      <c r="AG747" s="29">
        <f>AD747*N(P747)/100</f>
        <v/>
      </c>
      <c r="AH747" s="50">
        <f>IF(Q747="yes",AD747/1000,0)</f>
        <v/>
      </c>
      <c r="AI747" s="50">
        <f>IF(S747="FG2",AH747*X747,AH747)</f>
        <v/>
      </c>
    </row>
    <row r="748">
      <c r="A748" s="7" t="inlineStr">
        <is>
          <t>HM00448</t>
        </is>
      </c>
      <c r="B748" s="16" t="inlineStr">
        <is>
          <t>8712345851774</t>
        </is>
      </c>
      <c r="C748" s="7" t="inlineStr">
        <is>
          <t>PORK CHIPOLATAS 6PK TARROW</t>
        </is>
      </c>
      <c r="D748" s="7" t="inlineStr">
        <is>
          <t>Pork chipolatas, 6pk</t>
        </is>
      </c>
      <c r="E748" s="7" t="inlineStr">
        <is>
          <t>Tarrow Farm</t>
        </is>
      </c>
      <c r="F748" s="7" t="inlineStr">
        <is>
          <t>Fresh Meat &amp; Poultry</t>
        </is>
      </c>
      <c r="G748" s="7" t="inlineStr">
        <is>
          <t>Sausages &amp; Burgers</t>
        </is>
      </c>
      <c r="H748" s="7" t="inlineStr">
        <is>
          <t>yes</t>
        </is>
      </c>
      <c r="I748" s="7" t="inlineStr">
        <is>
          <t>Animal core</t>
        </is>
      </c>
      <c r="J748" s="7" t="inlineStr">
        <is>
          <t>Dishes and processed products</t>
        </is>
      </c>
      <c r="K748" s="7" t="inlineStr">
        <is>
          <t>B</t>
        </is>
      </c>
      <c r="L748" s="7" t="inlineStr">
        <is>
          <t>First ingredient</t>
        </is>
      </c>
      <c r="M748" s="51" t="n">
        <v>13.6</v>
      </c>
      <c r="N748" s="7" t="inlineStr">
        <is>
          <t>Declared by the retailer</t>
        </is>
      </c>
      <c r="O748" s="54" t="n">
        <v>0</v>
      </c>
      <c r="P748" s="54" t="n">
        <v>13.6</v>
      </c>
      <c r="Q748" s="7" t="inlineStr">
        <is>
          <t>yes</t>
        </is>
      </c>
      <c r="R748" s="7" t="inlineStr">
        <is>
          <t>whole</t>
        </is>
      </c>
      <c r="S748" s="7" t="inlineStr">
        <is>
          <t>FG1</t>
        </is>
      </c>
      <c r="T748" s="7" t="inlineStr">
        <is>
          <t>Red meat</t>
        </is>
      </c>
      <c r="U748" s="7" t="inlineStr">
        <is>
          <t>animal</t>
        </is>
      </c>
      <c r="V748" s="7" t="n"/>
      <c r="W748" s="7" t="n"/>
      <c r="X748" s="55" t="n">
        <v>1</v>
      </c>
      <c r="Y748" s="50" t="n">
        <v>0.4</v>
      </c>
      <c r="Z748" s="7" t="inlineStr">
        <is>
          <t>declared</t>
        </is>
      </c>
      <c r="AA748" s="19">
        <f>IF(ISBLANK(Welcome!D774),"",Welcome!D774)</f>
        <v/>
      </c>
      <c r="AB748" s="29">
        <f>IF(ISBLANK(Welcome!E774),"",Welcome!E774)</f>
        <v/>
      </c>
      <c r="AC748" s="29">
        <f>IF(N(AB748)&gt;0,N(AB748),N(AA748)*Y748)</f>
        <v/>
      </c>
      <c r="AD748" s="29">
        <f>IF(H748="yes",AC748,0)</f>
        <v/>
      </c>
      <c r="AE748" s="29">
        <f>AD748*N(M748)/100</f>
        <v/>
      </c>
      <c r="AF748" s="29">
        <f>AD748*N(O748)/100</f>
        <v/>
      </c>
      <c r="AG748" s="29">
        <f>AD748*N(P748)/100</f>
        <v/>
      </c>
      <c r="AH748" s="50">
        <f>IF(Q748="yes",AD748/1000,0)</f>
        <v/>
      </c>
      <c r="AI748" s="50">
        <f>IF(S748="FG2",AH748*X748,AH748)</f>
        <v/>
      </c>
    </row>
    <row r="749">
      <c r="A749" s="7" t="inlineStr">
        <is>
          <t>HM00226</t>
        </is>
      </c>
      <c r="B749" s="16" t="inlineStr">
        <is>
          <t>4012345785937</t>
        </is>
      </c>
      <c r="C749" s="7" t="inlineStr">
        <is>
          <t>HM WHOLE ALMONDS 100G</t>
        </is>
      </c>
      <c r="D749" s="7" t="inlineStr">
        <is>
          <t>Whole almonds, 100g</t>
        </is>
      </c>
      <c r="E749" s="7" t="inlineStr">
        <is>
          <t>Harbour Market</t>
        </is>
      </c>
      <c r="F749" s="7" t="inlineStr">
        <is>
          <t>Grocery</t>
        </is>
      </c>
      <c r="G749" s="7" t="inlineStr">
        <is>
          <t>Nuts &amp; Seeds</t>
        </is>
      </c>
      <c r="H749" s="7" t="inlineStr">
        <is>
          <t>yes</t>
        </is>
      </c>
      <c r="I749" s="7" t="inlineStr">
        <is>
          <t>Plant-based core</t>
        </is>
      </c>
      <c r="J749" s="7" t="inlineStr">
        <is>
          <t>Nuts</t>
        </is>
      </c>
      <c r="K749" s="7" t="inlineStr">
        <is>
          <t>A</t>
        </is>
      </c>
      <c r="L749" s="7" t="inlineStr">
        <is>
          <t>All ingredients on one side</t>
        </is>
      </c>
      <c r="M749" s="51" t="n">
        <v>19.9</v>
      </c>
      <c r="N749" s="7" t="inlineStr">
        <is>
          <t>Open Food Facts and NEVO, by EAN</t>
        </is>
      </c>
      <c r="O749" s="54" t="n">
        <v>19.9</v>
      </c>
      <c r="P749" s="54" t="n">
        <v>0</v>
      </c>
      <c r="Q749" s="7" t="inlineStr">
        <is>
          <t>yes</t>
        </is>
      </c>
      <c r="R749" s="7" t="inlineStr">
        <is>
          <t>whole</t>
        </is>
      </c>
      <c r="S749" s="7" t="inlineStr">
        <is>
          <t>FG1</t>
        </is>
      </c>
      <c r="T749" s="7" t="inlineStr">
        <is>
          <t>Nuts</t>
        </is>
      </c>
      <c r="U749" s="7" t="inlineStr">
        <is>
          <t>plant</t>
        </is>
      </c>
      <c r="V749" s="7" t="n"/>
      <c r="W749" s="7" t="n"/>
      <c r="X749" s="55" t="n">
        <v>1</v>
      </c>
      <c r="Y749" s="50" t="n">
        <v>0.1</v>
      </c>
      <c r="Z749" s="7" t="inlineStr">
        <is>
          <t>label</t>
        </is>
      </c>
      <c r="AA749" s="19">
        <f>IF(ISBLANK(Welcome!D775),"",Welcome!D775)</f>
        <v/>
      </c>
      <c r="AB749" s="29">
        <f>IF(ISBLANK(Welcome!E775),"",Welcome!E775)</f>
        <v/>
      </c>
      <c r="AC749" s="29">
        <f>IF(N(AB749)&gt;0,N(AB749),N(AA749)*Y749)</f>
        <v/>
      </c>
      <c r="AD749" s="29">
        <f>IF(H749="yes",AC749,0)</f>
        <v/>
      </c>
      <c r="AE749" s="29">
        <f>AD749*N(M749)/100</f>
        <v/>
      </c>
      <c r="AF749" s="29">
        <f>AD749*N(O749)/100</f>
        <v/>
      </c>
      <c r="AG749" s="29">
        <f>AD749*N(P749)/100</f>
        <v/>
      </c>
      <c r="AH749" s="50">
        <f>IF(Q749="yes",AD749/1000,0)</f>
        <v/>
      </c>
      <c r="AI749" s="50">
        <f>IF(S749="FG2",AH749*X749,AH749)</f>
        <v/>
      </c>
    </row>
    <row r="750">
      <c r="A750" s="7" t="inlineStr">
        <is>
          <t>HM00313</t>
        </is>
      </c>
      <c r="B750" s="16" t="inlineStr">
        <is>
          <t>4012345281668</t>
        </is>
      </c>
      <c r="C750" s="7" t="inlineStr">
        <is>
          <t>HM LEAF SPINACH 750G</t>
        </is>
      </c>
      <c r="D750" s="7" t="inlineStr">
        <is>
          <t>Leaf spinach, 750g</t>
        </is>
      </c>
      <c r="E750" s="7" t="inlineStr">
        <is>
          <t>Harbour Market</t>
        </is>
      </c>
      <c r="F750" s="7" t="inlineStr">
        <is>
          <t>Frozen</t>
        </is>
      </c>
      <c r="G750" s="7" t="inlineStr">
        <is>
          <t>Frozen Vegetables</t>
        </is>
      </c>
      <c r="H750" s="7" t="inlineStr">
        <is>
          <t>yes</t>
        </is>
      </c>
      <c r="I750" s="7" t="inlineStr">
        <is>
          <t>Plant-based non-core</t>
        </is>
      </c>
      <c r="J750" s="7" t="inlineStr">
        <is>
          <t>Fruit and vegetables</t>
        </is>
      </c>
      <c r="K750" s="7" t="inlineStr">
        <is>
          <t>A</t>
        </is>
      </c>
      <c r="L750" s="7" t="inlineStr">
        <is>
          <t>All ingredients on one side</t>
        </is>
      </c>
      <c r="M750" s="51" t="n">
        <v>2.9</v>
      </c>
      <c r="N750" s="7" t="inlineStr">
        <is>
          <t>Declared by the retailer</t>
        </is>
      </c>
      <c r="O750" s="54" t="n">
        <v>2.9</v>
      </c>
      <c r="P750" s="54" t="n">
        <v>0</v>
      </c>
      <c r="Q750" s="7" t="inlineStr">
        <is>
          <t>yes</t>
        </is>
      </c>
      <c r="R750" s="7" t="inlineStr">
        <is>
          <t>whole</t>
        </is>
      </c>
      <c r="S750" s="7" t="inlineStr">
        <is>
          <t>FG4</t>
        </is>
      </c>
      <c r="T750" s="7" t="n"/>
      <c r="U750" s="7" t="inlineStr">
        <is>
          <t>plant</t>
        </is>
      </c>
      <c r="V750" s="7" t="n"/>
      <c r="W750" s="7" t="n"/>
      <c r="X750" s="55" t="n">
        <v>1</v>
      </c>
      <c r="Y750" s="50" t="n">
        <v>0.75</v>
      </c>
      <c r="Z750" s="7" t="inlineStr">
        <is>
          <t>declared</t>
        </is>
      </c>
      <c r="AA750" s="19">
        <f>IF(ISBLANK(Welcome!D776),"",Welcome!D776)</f>
        <v/>
      </c>
      <c r="AB750" s="29">
        <f>IF(ISBLANK(Welcome!E776),"",Welcome!E776)</f>
        <v/>
      </c>
      <c r="AC750" s="29">
        <f>IF(N(AB750)&gt;0,N(AB750),N(AA750)*Y750)</f>
        <v/>
      </c>
      <c r="AD750" s="29">
        <f>IF(H750="yes",AC750,0)</f>
        <v/>
      </c>
      <c r="AE750" s="29">
        <f>AD750*N(M750)/100</f>
        <v/>
      </c>
      <c r="AF750" s="29">
        <f>AD750*N(O750)/100</f>
        <v/>
      </c>
      <c r="AG750" s="29">
        <f>AD750*N(P750)/100</f>
        <v/>
      </c>
      <c r="AH750" s="50">
        <f>IF(Q750="yes",AD750/1000,0)</f>
        <v/>
      </c>
      <c r="AI750" s="50">
        <f>IF(S750="FG2",AH750*X750,AH750)</f>
        <v/>
      </c>
    </row>
    <row r="751">
      <c r="A751" s="7" t="inlineStr">
        <is>
          <t>HM00175</t>
        </is>
      </c>
      <c r="B751" s="16" t="inlineStr">
        <is>
          <t>5012345198972</t>
        </is>
      </c>
      <c r="C751" s="7" t="inlineStr">
        <is>
          <t>HM MILD CHEDDAR 200G</t>
        </is>
      </c>
      <c r="D751" s="7" t="inlineStr">
        <is>
          <t>Mild cheddar, 200g</t>
        </is>
      </c>
      <c r="E751" s="7" t="inlineStr">
        <is>
          <t>Harbour Market</t>
        </is>
      </c>
      <c r="F751" s="7" t="inlineStr">
        <is>
          <t>Cheese</t>
        </is>
      </c>
      <c r="G751" s="7" t="inlineStr">
        <is>
          <t>Hard Cheese</t>
        </is>
      </c>
      <c r="H751" s="7" t="inlineStr">
        <is>
          <t>yes</t>
        </is>
      </c>
      <c r="I751" s="7" t="inlineStr">
        <is>
          <t>Animal core</t>
        </is>
      </c>
      <c r="J751" s="7" t="inlineStr">
        <is>
          <t>Cheese</t>
        </is>
      </c>
      <c r="K751" s="7" t="inlineStr">
        <is>
          <t>B</t>
        </is>
      </c>
      <c r="L751" s="7" t="inlineStr">
        <is>
          <t>Follows the class</t>
        </is>
      </c>
      <c r="M751" s="51" t="n">
        <v>24.6</v>
      </c>
      <c r="N751" s="7" t="inlineStr">
        <is>
          <t>Declared by the retailer</t>
        </is>
      </c>
      <c r="O751" s="54" t="n">
        <v>0</v>
      </c>
      <c r="P751" s="54" t="n">
        <v>24.6</v>
      </c>
      <c r="Q751" s="7" t="inlineStr">
        <is>
          <t>yes</t>
        </is>
      </c>
      <c r="R751" s="7" t="inlineStr">
        <is>
          <t>whole</t>
        </is>
      </c>
      <c r="S751" s="7" t="inlineStr">
        <is>
          <t>FG2</t>
        </is>
      </c>
      <c r="T751" s="7" t="inlineStr">
        <is>
          <t>Dairy</t>
        </is>
      </c>
      <c r="U751" s="7" t="inlineStr">
        <is>
          <t>animal</t>
        </is>
      </c>
      <c r="V751" s="7" t="n"/>
      <c r="W751" s="7" t="n"/>
      <c r="X751" s="55" t="n">
        <v>10</v>
      </c>
      <c r="Y751" s="50" t="n">
        <v>0.2</v>
      </c>
      <c r="Z751" s="7" t="inlineStr">
        <is>
          <t>label</t>
        </is>
      </c>
      <c r="AA751" s="19">
        <f>IF(ISBLANK(Welcome!D777),"",Welcome!D777)</f>
        <v/>
      </c>
      <c r="AB751" s="29">
        <f>IF(ISBLANK(Welcome!E777),"",Welcome!E777)</f>
        <v/>
      </c>
      <c r="AC751" s="29">
        <f>IF(N(AB751)&gt;0,N(AB751),N(AA751)*Y751)</f>
        <v/>
      </c>
      <c r="AD751" s="29">
        <f>IF(H751="yes",AC751,0)</f>
        <v/>
      </c>
      <c r="AE751" s="29">
        <f>AD751*N(M751)/100</f>
        <v/>
      </c>
      <c r="AF751" s="29">
        <f>AD751*N(O751)/100</f>
        <v/>
      </c>
      <c r="AG751" s="29">
        <f>AD751*N(P751)/100</f>
        <v/>
      </c>
      <c r="AH751" s="50">
        <f>IF(Q751="yes",AD751/1000,0)</f>
        <v/>
      </c>
      <c r="AI751" s="50">
        <f>IF(S751="FG2",AH751*X751,AH751)</f>
        <v/>
      </c>
    </row>
    <row r="752">
      <c r="A752" s="7" t="inlineStr">
        <is>
          <t>HM00003</t>
        </is>
      </c>
      <c r="B752" s="16" t="inlineStr">
        <is>
          <t>8712345464387</t>
        </is>
      </c>
      <c r="C752" s="7" t="inlineStr">
        <is>
          <t>PENROCK SALTED PEANUTS 100G</t>
        </is>
      </c>
      <c r="D752" s="7" t="inlineStr">
        <is>
          <t>Salted peanuts, 100g</t>
        </is>
      </c>
      <c r="E752" s="7" t="inlineStr">
        <is>
          <t>Penrock</t>
        </is>
      </c>
      <c r="F752" s="7" t="inlineStr">
        <is>
          <t>Grocery</t>
        </is>
      </c>
      <c r="G752" s="7" t="inlineStr">
        <is>
          <t>Nuts &amp; Seeds</t>
        </is>
      </c>
      <c r="H752" s="7" t="inlineStr">
        <is>
          <t>yes</t>
        </is>
      </c>
      <c r="I752" s="7" t="inlineStr">
        <is>
          <t>Plant-based core</t>
        </is>
      </c>
      <c r="J752" s="7" t="inlineStr">
        <is>
          <t>Nuts</t>
        </is>
      </c>
      <c r="K752" s="7" t="inlineStr">
        <is>
          <t>A</t>
        </is>
      </c>
      <c r="L752" s="7" t="inlineStr">
        <is>
          <t>All ingredients on one side</t>
        </is>
      </c>
      <c r="M752" s="51" t="n">
        <v>25.1</v>
      </c>
      <c r="N752" s="7" t="inlineStr">
        <is>
          <t>Declared by the retailer</t>
        </is>
      </c>
      <c r="O752" s="54" t="n">
        <v>25.1</v>
      </c>
      <c r="P752" s="54" t="n">
        <v>0</v>
      </c>
      <c r="Q752" s="7" t="inlineStr">
        <is>
          <t>yes</t>
        </is>
      </c>
      <c r="R752" s="7" t="inlineStr">
        <is>
          <t>whole</t>
        </is>
      </c>
      <c r="S752" s="7" t="inlineStr">
        <is>
          <t>FG1</t>
        </is>
      </c>
      <c r="T752" s="7" t="inlineStr">
        <is>
          <t>Nuts</t>
        </is>
      </c>
      <c r="U752" s="7" t="inlineStr">
        <is>
          <t>plant</t>
        </is>
      </c>
      <c r="V752" s="7" t="n"/>
      <c r="W752" s="7" t="n"/>
      <c r="X752" s="55" t="n">
        <v>1</v>
      </c>
      <c r="Y752" s="50" t="n">
        <v>0.1</v>
      </c>
      <c r="Z752" s="7" t="inlineStr">
        <is>
          <t>declared</t>
        </is>
      </c>
      <c r="AA752" s="19">
        <f>IF(ISBLANK(Welcome!D778),"",Welcome!D778)</f>
        <v/>
      </c>
      <c r="AB752" s="29">
        <f>IF(ISBLANK(Welcome!E778),"",Welcome!E778)</f>
        <v/>
      </c>
      <c r="AC752" s="29">
        <f>IF(N(AB752)&gt;0,N(AB752),N(AA752)*Y752)</f>
        <v/>
      </c>
      <c r="AD752" s="29">
        <f>IF(H752="yes",AC752,0)</f>
        <v/>
      </c>
      <c r="AE752" s="29">
        <f>AD752*N(M752)/100</f>
        <v/>
      </c>
      <c r="AF752" s="29">
        <f>AD752*N(O752)/100</f>
        <v/>
      </c>
      <c r="AG752" s="29">
        <f>AD752*N(P752)/100</f>
        <v/>
      </c>
      <c r="AH752" s="50">
        <f>IF(Q752="yes",AD752/1000,0)</f>
        <v/>
      </c>
      <c r="AI752" s="50">
        <f>IF(S752="FG2",AH752*X752,AH752)</f>
        <v/>
      </c>
    </row>
    <row r="753">
      <c r="A753" s="7" t="inlineStr">
        <is>
          <t>HM00407</t>
        </is>
      </c>
      <c r="B753" s="16" t="inlineStr">
        <is>
          <t>5012345110189</t>
        </is>
      </c>
      <c r="C753" s="7" t="inlineStr">
        <is>
          <t>HM TOMATO KETCHUP 200G</t>
        </is>
      </c>
      <c r="D753" s="7" t="inlineStr">
        <is>
          <t>Tomato ketchup, 200g</t>
        </is>
      </c>
      <c r="E753" s="7" t="inlineStr">
        <is>
          <t>Harbour Market</t>
        </is>
      </c>
      <c r="F753" s="7" t="inlineStr">
        <is>
          <t>Grocery</t>
        </is>
      </c>
      <c r="G753" s="7" t="inlineStr">
        <is>
          <t>Condiments</t>
        </is>
      </c>
      <c r="H753" s="7" t="inlineStr">
        <is>
          <t>yes</t>
        </is>
      </c>
      <c r="I753" s="7" t="inlineStr">
        <is>
          <t>Plant-based non-core</t>
        </is>
      </c>
      <c r="J753" s="7" t="inlineStr">
        <is>
          <t>Outside the WWF scope</t>
        </is>
      </c>
      <c r="K753" s="7" t="inlineStr">
        <is>
          <t>A</t>
        </is>
      </c>
      <c r="L753" s="7" t="inlineStr">
        <is>
          <t>All ingredients on one side</t>
        </is>
      </c>
      <c r="M753" s="51" t="n">
        <v>1.2</v>
      </c>
      <c r="N753" s="7" t="inlineStr">
        <is>
          <t>Median of the family</t>
        </is>
      </c>
      <c r="O753" s="54" t="n">
        <v>1.2</v>
      </c>
      <c r="P753" s="54" t="n">
        <v>0</v>
      </c>
      <c r="Q753" s="7" t="inlineStr">
        <is>
          <t>no</t>
        </is>
      </c>
      <c r="R753" s="7" t="n"/>
      <c r="S753" s="7" t="n"/>
      <c r="T753" s="7" t="n"/>
      <c r="U753" s="7" t="n"/>
      <c r="V753" s="7" t="n"/>
      <c r="W753" s="7" t="inlineStr">
        <is>
          <t>condiment</t>
        </is>
      </c>
      <c r="X753" s="55" t="n">
        <v>1</v>
      </c>
      <c r="Y753" s="50" t="n">
        <v>0.2</v>
      </c>
      <c r="Z753" s="7" t="inlineStr">
        <is>
          <t>declared</t>
        </is>
      </c>
      <c r="AA753" s="19">
        <f>IF(ISBLANK(Welcome!D779),"",Welcome!D779)</f>
        <v/>
      </c>
      <c r="AB753" s="29">
        <f>IF(ISBLANK(Welcome!E779),"",Welcome!E779)</f>
        <v/>
      </c>
      <c r="AC753" s="29">
        <f>IF(N(AB753)&gt;0,N(AB753),N(AA753)*Y753)</f>
        <v/>
      </c>
      <c r="AD753" s="29">
        <f>IF(H753="yes",AC753,0)</f>
        <v/>
      </c>
      <c r="AE753" s="29">
        <f>AD753*N(M753)/100</f>
        <v/>
      </c>
      <c r="AF753" s="29">
        <f>AD753*N(O753)/100</f>
        <v/>
      </c>
      <c r="AG753" s="29">
        <f>AD753*N(P753)/100</f>
        <v/>
      </c>
      <c r="AH753" s="50">
        <f>IF(Q753="yes",AD753/1000,0)</f>
        <v/>
      </c>
      <c r="AI753" s="50">
        <f>IF(S753="FG2",AH753*X753,AH753)</f>
        <v/>
      </c>
    </row>
    <row r="754">
      <c r="A754" s="7" t="inlineStr">
        <is>
          <t>HM00237</t>
        </is>
      </c>
      <c r="B754" s="16" t="inlineStr">
        <is>
          <t>8712345209193</t>
        </is>
      </c>
      <c r="C754" s="7" t="inlineStr">
        <is>
          <t>PEPPERONI SLICES 100G CASTELNA</t>
        </is>
      </c>
      <c r="D754" s="7" t="inlineStr">
        <is>
          <t>Pepperoni slices, 100g</t>
        </is>
      </c>
      <c r="E754" s="7" t="inlineStr">
        <is>
          <t>Castelna</t>
        </is>
      </c>
      <c r="F754" s="7" t="inlineStr">
        <is>
          <t>Deli</t>
        </is>
      </c>
      <c r="G754" s="7" t="inlineStr">
        <is>
          <t>Cured Meats</t>
        </is>
      </c>
      <c r="H754" s="7" t="inlineStr">
        <is>
          <t>yes</t>
        </is>
      </c>
      <c r="I754" s="7" t="inlineStr">
        <is>
          <t>Animal core</t>
        </is>
      </c>
      <c r="J754" s="7" t="inlineStr">
        <is>
          <t>Dishes and processed products</t>
        </is>
      </c>
      <c r="K754" s="7" t="inlineStr">
        <is>
          <t>A</t>
        </is>
      </c>
      <c r="L754" s="7" t="inlineStr">
        <is>
          <t>All ingredients on one side</t>
        </is>
      </c>
      <c r="M754" s="51" t="n">
        <v>24.8</v>
      </c>
      <c r="N754" s="7" t="inlineStr">
        <is>
          <t>Declared by the retailer</t>
        </is>
      </c>
      <c r="O754" s="54" t="n">
        <v>0</v>
      </c>
      <c r="P754" s="54" t="n">
        <v>24.8</v>
      </c>
      <c r="Q754" s="7" t="inlineStr">
        <is>
          <t>yes</t>
        </is>
      </c>
      <c r="R754" s="7" t="inlineStr">
        <is>
          <t>whole</t>
        </is>
      </c>
      <c r="S754" s="7" t="inlineStr">
        <is>
          <t>FG1</t>
        </is>
      </c>
      <c r="T754" s="7" t="inlineStr">
        <is>
          <t>Red meat</t>
        </is>
      </c>
      <c r="U754" s="7" t="inlineStr">
        <is>
          <t>animal</t>
        </is>
      </c>
      <c r="V754" s="7" t="n"/>
      <c r="W754" s="7" t="n"/>
      <c r="X754" s="55" t="n">
        <v>1</v>
      </c>
      <c r="Y754" s="50" t="n">
        <v>0.1</v>
      </c>
      <c r="Z754" s="7" t="inlineStr">
        <is>
          <t>declared</t>
        </is>
      </c>
      <c r="AA754" s="19">
        <f>IF(ISBLANK(Welcome!D780),"",Welcome!D780)</f>
        <v/>
      </c>
      <c r="AB754" s="29">
        <f>IF(ISBLANK(Welcome!E780),"",Welcome!E780)</f>
        <v/>
      </c>
      <c r="AC754" s="29">
        <f>IF(N(AB754)&gt;0,N(AB754),N(AA754)*Y754)</f>
        <v/>
      </c>
      <c r="AD754" s="29">
        <f>IF(H754="yes",AC754,0)</f>
        <v/>
      </c>
      <c r="AE754" s="29">
        <f>AD754*N(M754)/100</f>
        <v/>
      </c>
      <c r="AF754" s="29">
        <f>AD754*N(O754)/100</f>
        <v/>
      </c>
      <c r="AG754" s="29">
        <f>AD754*N(P754)/100</f>
        <v/>
      </c>
      <c r="AH754" s="50">
        <f>IF(Q754="yes",AD754/1000,0)</f>
        <v/>
      </c>
      <c r="AI754" s="50">
        <f>IF(S754="FG2",AH754*X754,AH754)</f>
        <v/>
      </c>
    </row>
    <row r="755">
      <c r="A755" s="7" t="inlineStr">
        <is>
          <t>HM00583</t>
        </is>
      </c>
      <c r="B755" s="16" t="inlineStr">
        <is>
          <t>3012345993951</t>
        </is>
      </c>
      <c r="C755" s="7" t="inlineStr">
        <is>
          <t>HM MACKEREL TOM SCE 4X110G</t>
        </is>
      </c>
      <c r="D755" s="7" t="inlineStr">
        <is>
          <t>Mackerel fillets in tomato sauce, 4x110g</t>
        </is>
      </c>
      <c r="E755" s="7" t="inlineStr">
        <is>
          <t>Harbour Market</t>
        </is>
      </c>
      <c r="F755" s="7" t="inlineStr">
        <is>
          <t>Fish &amp; Seafood</t>
        </is>
      </c>
      <c r="G755" s="7" t="inlineStr">
        <is>
          <t>Canned Fish</t>
        </is>
      </c>
      <c r="H755" s="7" t="inlineStr">
        <is>
          <t>yes</t>
        </is>
      </c>
      <c r="I755" s="7" t="inlineStr">
        <is>
          <t>Animal core</t>
        </is>
      </c>
      <c r="J755" s="7" t="inlineStr">
        <is>
          <t>Fish and seafood</t>
        </is>
      </c>
      <c r="K755" s="7" t="inlineStr">
        <is>
          <t>A</t>
        </is>
      </c>
      <c r="L755" s="7" t="inlineStr">
        <is>
          <t>All ingredients on one side</t>
        </is>
      </c>
      <c r="M755" s="51" t="n">
        <v>14.1</v>
      </c>
      <c r="N755" s="7" t="inlineStr">
        <is>
          <t>Declared by the retailer</t>
        </is>
      </c>
      <c r="O755" s="54" t="n">
        <v>0</v>
      </c>
      <c r="P755" s="54" t="n">
        <v>14.1</v>
      </c>
      <c r="Q755" s="7" t="inlineStr">
        <is>
          <t>yes</t>
        </is>
      </c>
      <c r="R755" s="7" t="inlineStr">
        <is>
          <t>whole</t>
        </is>
      </c>
      <c r="S755" s="7" t="inlineStr">
        <is>
          <t>FG1</t>
        </is>
      </c>
      <c r="T755" s="7" t="inlineStr">
        <is>
          <t>Fish &amp; shellfish</t>
        </is>
      </c>
      <c r="U755" s="7" t="inlineStr">
        <is>
          <t>animal</t>
        </is>
      </c>
      <c r="V755" s="7" t="n"/>
      <c r="W755" s="7" t="n"/>
      <c r="X755" s="55" t="n">
        <v>1</v>
      </c>
      <c r="Y755" s="50" t="n">
        <v>0.44</v>
      </c>
      <c r="Z755" s="7" t="inlineStr">
        <is>
          <t>declared</t>
        </is>
      </c>
      <c r="AA755" s="19">
        <f>IF(ISBLANK(Welcome!D781),"",Welcome!D781)</f>
        <v/>
      </c>
      <c r="AB755" s="29">
        <f>IF(ISBLANK(Welcome!E781),"",Welcome!E781)</f>
        <v/>
      </c>
      <c r="AC755" s="29">
        <f>IF(N(AB755)&gt;0,N(AB755),N(AA755)*Y755)</f>
        <v/>
      </c>
      <c r="AD755" s="29">
        <f>IF(H755="yes",AC755,0)</f>
        <v/>
      </c>
      <c r="AE755" s="29">
        <f>AD755*N(M755)/100</f>
        <v/>
      </c>
      <c r="AF755" s="29">
        <f>AD755*N(O755)/100</f>
        <v/>
      </c>
      <c r="AG755" s="29">
        <f>AD755*N(P755)/100</f>
        <v/>
      </c>
      <c r="AH755" s="50">
        <f>IF(Q755="yes",AD755/1000,0)</f>
        <v/>
      </c>
      <c r="AI755" s="50">
        <f>IF(S755="FG2",AH755*X755,AH755)</f>
        <v/>
      </c>
    </row>
    <row r="756">
      <c r="A756" s="7" t="inlineStr">
        <is>
          <t>HM00491</t>
        </is>
      </c>
      <c r="B756" s="16" t="inlineStr">
        <is>
          <t>5012345995830</t>
        </is>
      </c>
      <c r="C756" s="7" t="inlineStr">
        <is>
          <t>HM TKY MINCE 400G</t>
        </is>
      </c>
      <c r="D756" s="7" t="inlineStr">
        <is>
          <t>Turkey mince, 400g</t>
        </is>
      </c>
      <c r="E756" s="7" t="inlineStr">
        <is>
          <t>Harbour Market</t>
        </is>
      </c>
      <c r="F756" s="7" t="inlineStr">
        <is>
          <t>Fresh Meat &amp; Poultry</t>
        </is>
      </c>
      <c r="G756" s="7" t="inlineStr">
        <is>
          <t>Turkey &amp; Lamb</t>
        </is>
      </c>
      <c r="H756" s="7" t="inlineStr">
        <is>
          <t>yes</t>
        </is>
      </c>
      <c r="I756" s="7" t="inlineStr">
        <is>
          <t>Animal core</t>
        </is>
      </c>
      <c r="J756" s="7" t="inlineStr">
        <is>
          <t>Poultry</t>
        </is>
      </c>
      <c r="K756" s="7" t="inlineStr">
        <is>
          <t>B</t>
        </is>
      </c>
      <c r="L756" s="7" t="inlineStr">
        <is>
          <t>Follows the class</t>
        </is>
      </c>
      <c r="M756" s="51" t="n">
        <v>20.9</v>
      </c>
      <c r="N756" s="7" t="inlineStr">
        <is>
          <t>Declared by the retailer</t>
        </is>
      </c>
      <c r="O756" s="54" t="n">
        <v>0</v>
      </c>
      <c r="P756" s="54" t="n">
        <v>20.9</v>
      </c>
      <c r="Q756" s="7" t="inlineStr">
        <is>
          <t>yes</t>
        </is>
      </c>
      <c r="R756" s="7" t="inlineStr">
        <is>
          <t>whole</t>
        </is>
      </c>
      <c r="S756" s="7" t="inlineStr">
        <is>
          <t>FG1</t>
        </is>
      </c>
      <c r="T756" s="7" t="inlineStr">
        <is>
          <t>Poultry</t>
        </is>
      </c>
      <c r="U756" s="7" t="inlineStr">
        <is>
          <t>animal</t>
        </is>
      </c>
      <c r="V756" s="7" t="n"/>
      <c r="W756" s="7" t="n"/>
      <c r="X756" s="55" t="n">
        <v>1</v>
      </c>
      <c r="Y756" s="50" t="n">
        <v>0.4</v>
      </c>
      <c r="Z756" s="7" t="inlineStr">
        <is>
          <t>declared</t>
        </is>
      </c>
      <c r="AA756" s="19">
        <f>IF(ISBLANK(Welcome!D782),"",Welcome!D782)</f>
        <v/>
      </c>
      <c r="AB756" s="29">
        <f>IF(ISBLANK(Welcome!E782),"",Welcome!E782)</f>
        <v/>
      </c>
      <c r="AC756" s="29">
        <f>IF(N(AB756)&gt;0,N(AB756),N(AA756)*Y756)</f>
        <v/>
      </c>
      <c r="AD756" s="29">
        <f>IF(H756="yes",AC756,0)</f>
        <v/>
      </c>
      <c r="AE756" s="29">
        <f>AD756*N(M756)/100</f>
        <v/>
      </c>
      <c r="AF756" s="29">
        <f>AD756*N(O756)/100</f>
        <v/>
      </c>
      <c r="AG756" s="29">
        <f>AD756*N(P756)/100</f>
        <v/>
      </c>
      <c r="AH756" s="50">
        <f>IF(Q756="yes",AD756/1000,0)</f>
        <v/>
      </c>
      <c r="AI756" s="50">
        <f>IF(S756="FG2",AH756*X756,AH756)</f>
        <v/>
      </c>
    </row>
    <row r="757">
      <c r="A757" s="7" t="inlineStr">
        <is>
          <t>HM00447</t>
        </is>
      </c>
      <c r="B757" s="16" t="inlineStr">
        <is>
          <t>8712345818494</t>
        </is>
      </c>
      <c r="C757" s="7" t="inlineStr">
        <is>
          <t>HM YELLOW SPLIT PEAS 500G</t>
        </is>
      </c>
      <c r="D757" s="7" t="inlineStr">
        <is>
          <t>Yellow split peas, 500g</t>
        </is>
      </c>
      <c r="E757" s="7" t="inlineStr">
        <is>
          <t>Harbour Market</t>
        </is>
      </c>
      <c r="F757" s="7" t="inlineStr">
        <is>
          <t>Grocery</t>
        </is>
      </c>
      <c r="G757" s="7" t="inlineStr">
        <is>
          <t>Pulses</t>
        </is>
      </c>
      <c r="H757" s="7" t="inlineStr">
        <is>
          <t>yes</t>
        </is>
      </c>
      <c r="I757" s="7" t="inlineStr">
        <is>
          <t>Plant-based core</t>
        </is>
      </c>
      <c r="J757" s="7" t="inlineStr">
        <is>
          <t>Pulses</t>
        </is>
      </c>
      <c r="K757" s="7" t="inlineStr">
        <is>
          <t>B</t>
        </is>
      </c>
      <c r="L757" s="7" t="inlineStr">
        <is>
          <t>Follows the class</t>
        </is>
      </c>
      <c r="M757" s="51" t="n">
        <v>23</v>
      </c>
      <c r="N757" s="7" t="inlineStr">
        <is>
          <t>Open Food Facts and NEVO, by EAN</t>
        </is>
      </c>
      <c r="O757" s="54" t="n">
        <v>23</v>
      </c>
      <c r="P757" s="54" t="n">
        <v>0</v>
      </c>
      <c r="Q757" s="7" t="inlineStr">
        <is>
          <t>yes</t>
        </is>
      </c>
      <c r="R757" s="7" t="inlineStr">
        <is>
          <t>whole</t>
        </is>
      </c>
      <c r="S757" s="7" t="inlineStr">
        <is>
          <t>FG1</t>
        </is>
      </c>
      <c r="T757" s="7" t="inlineStr">
        <is>
          <t>Pulses</t>
        </is>
      </c>
      <c r="U757" s="7" t="inlineStr">
        <is>
          <t>plant</t>
        </is>
      </c>
      <c r="V757" s="7" t="n"/>
      <c r="W757" s="7" t="n"/>
      <c r="X757" s="55" t="n">
        <v>1</v>
      </c>
      <c r="Y757" s="50" t="n">
        <v>0.5</v>
      </c>
      <c r="Z757" s="7" t="inlineStr">
        <is>
          <t>declared</t>
        </is>
      </c>
      <c r="AA757" s="19">
        <f>IF(ISBLANK(Welcome!D783),"",Welcome!D783)</f>
        <v/>
      </c>
      <c r="AB757" s="29">
        <f>IF(ISBLANK(Welcome!E783),"",Welcome!E783)</f>
        <v/>
      </c>
      <c r="AC757" s="29">
        <f>IF(N(AB757)&gt;0,N(AB757),N(AA757)*Y757)</f>
        <v/>
      </c>
      <c r="AD757" s="29">
        <f>IF(H757="yes",AC757,0)</f>
        <v/>
      </c>
      <c r="AE757" s="29">
        <f>AD757*N(M757)/100</f>
        <v/>
      </c>
      <c r="AF757" s="29">
        <f>AD757*N(O757)/100</f>
        <v/>
      </c>
      <c r="AG757" s="29">
        <f>AD757*N(P757)/100</f>
        <v/>
      </c>
      <c r="AH757" s="50">
        <f>IF(Q757="yes",AD757/1000,0)</f>
        <v/>
      </c>
      <c r="AI757" s="50">
        <f>IF(S757="FG2",AH757*X757,AH757)</f>
        <v/>
      </c>
    </row>
    <row r="758">
      <c r="A758" s="7" t="inlineStr">
        <is>
          <t>HM00683</t>
        </is>
      </c>
      <c r="B758" s="16" t="inlineStr">
        <is>
          <t>8712345136239</t>
        </is>
      </c>
      <c r="C758" s="7" t="inlineStr">
        <is>
          <t>VEG CHILLI RICE 400G QUILLAN</t>
        </is>
      </c>
      <c r="D758" s="7" t="inlineStr">
        <is>
          <t>Vegetable chilli with rice, 400g</t>
        </is>
      </c>
      <c r="E758" s="7" t="inlineStr">
        <is>
          <t>Quillan</t>
        </is>
      </c>
      <c r="F758" s="7" t="inlineStr">
        <is>
          <t>Ready Meals</t>
        </is>
      </c>
      <c r="G758" s="7" t="inlineStr">
        <is>
          <t>Ready Meals</t>
        </is>
      </c>
      <c r="H758" s="7" t="inlineStr">
        <is>
          <t>yes</t>
        </is>
      </c>
      <c r="I758" s="7" t="inlineStr">
        <is>
          <t>Plant-based non-core</t>
        </is>
      </c>
      <c r="J758" s="7" t="inlineStr">
        <is>
          <t>Other</t>
        </is>
      </c>
      <c r="K758" s="7" t="inlineStr">
        <is>
          <t>A</t>
        </is>
      </c>
      <c r="L758" s="7" t="inlineStr">
        <is>
          <t>All ingredients on one side</t>
        </is>
      </c>
      <c r="M758" s="51" t="n">
        <v>4.2</v>
      </c>
      <c r="N758" s="7" t="inlineStr">
        <is>
          <t>Declared by the retailer</t>
        </is>
      </c>
      <c r="O758" s="54" t="n">
        <v>4.2</v>
      </c>
      <c r="P758" s="54" t="n">
        <v>0</v>
      </c>
      <c r="Q758" s="7" t="inlineStr">
        <is>
          <t>yes</t>
        </is>
      </c>
      <c r="R758" s="7" t="inlineStr">
        <is>
          <t>composite</t>
        </is>
      </c>
      <c r="S758" s="7" t="n"/>
      <c r="T758" s="7" t="n"/>
      <c r="U758" s="7" t="n"/>
      <c r="V758" s="7" t="inlineStr">
        <is>
          <t>vegan</t>
        </is>
      </c>
      <c r="W758" s="7" t="n"/>
      <c r="X758" s="55" t="n">
        <v>1</v>
      </c>
      <c r="Y758" s="50" t="n">
        <v>0.4</v>
      </c>
      <c r="Z758" s="7" t="inlineStr">
        <is>
          <t>declared</t>
        </is>
      </c>
      <c r="AA758" s="19">
        <f>IF(ISBLANK(Welcome!D784),"",Welcome!D784)</f>
        <v/>
      </c>
      <c r="AB758" s="29">
        <f>IF(ISBLANK(Welcome!E784),"",Welcome!E784)</f>
        <v/>
      </c>
      <c r="AC758" s="29">
        <f>IF(N(AB758)&gt;0,N(AB758),N(AA758)*Y758)</f>
        <v/>
      </c>
      <c r="AD758" s="29">
        <f>IF(H758="yes",AC758,0)</f>
        <v/>
      </c>
      <c r="AE758" s="29">
        <f>AD758*N(M758)/100</f>
        <v/>
      </c>
      <c r="AF758" s="29">
        <f>AD758*N(O758)/100</f>
        <v/>
      </c>
      <c r="AG758" s="29">
        <f>AD758*N(P758)/100</f>
        <v/>
      </c>
      <c r="AH758" s="50">
        <f>IF(Q758="yes",AD758/1000,0)</f>
        <v/>
      </c>
      <c r="AI758" s="50">
        <f>IF(S758="FG2",AH758*X758,AH758)</f>
        <v/>
      </c>
    </row>
    <row r="759">
      <c r="A759" s="7" t="inlineStr">
        <is>
          <t>HM00018</t>
        </is>
      </c>
      <c r="B759" s="16" t="inlineStr">
        <is>
          <t>8712345317010</t>
        </is>
      </c>
      <c r="C759" s="7" t="inlineStr">
        <is>
          <t>HM OAT RAISIN BARS 5X35G</t>
        </is>
      </c>
      <c r="D759" s="7" t="inlineStr">
        <is>
          <t>Oat &amp; raisin bars, 5x35g</t>
        </is>
      </c>
      <c r="E759" s="7" t="inlineStr">
        <is>
          <t>Harbour Market</t>
        </is>
      </c>
      <c r="F759" s="7" t="inlineStr">
        <is>
          <t>Breakfast &amp; Snacks</t>
        </is>
      </c>
      <c r="G759" s="7" t="inlineStr">
        <is>
          <t>Cereal Bars</t>
        </is>
      </c>
      <c r="H759" s="7" t="inlineStr">
        <is>
          <t>yes</t>
        </is>
      </c>
      <c r="I759" s="7" t="inlineStr">
        <is>
          <t>Plant-based non-core</t>
        </is>
      </c>
      <c r="J759" s="7" t="inlineStr">
        <is>
          <t>Discretionary products</t>
        </is>
      </c>
      <c r="K759" s="7" t="inlineStr">
        <is>
          <t>A</t>
        </is>
      </c>
      <c r="L759" s="7" t="inlineStr">
        <is>
          <t>All ingredients on one side</t>
        </is>
      </c>
      <c r="M759" s="51" t="n">
        <v>5.7</v>
      </c>
      <c r="N759" s="7" t="inlineStr">
        <is>
          <t>Declared by the retailer</t>
        </is>
      </c>
      <c r="O759" s="54" t="n">
        <v>5.7</v>
      </c>
      <c r="P759" s="54" t="n">
        <v>0</v>
      </c>
      <c r="Q759" s="7" t="inlineStr">
        <is>
          <t>yes</t>
        </is>
      </c>
      <c r="R759" s="7" t="inlineStr">
        <is>
          <t>whole</t>
        </is>
      </c>
      <c r="S759" s="7" t="inlineStr">
        <is>
          <t>FG7</t>
        </is>
      </c>
      <c r="T759" s="7" t="n"/>
      <c r="U759" s="7" t="inlineStr">
        <is>
          <t>plant</t>
        </is>
      </c>
      <c r="V759" s="7" t="n"/>
      <c r="W759" s="7" t="n"/>
      <c r="X759" s="55" t="n">
        <v>1</v>
      </c>
      <c r="Y759" s="50" t="n">
        <v>0.175</v>
      </c>
      <c r="Z759" s="7" t="inlineStr">
        <is>
          <t>declared</t>
        </is>
      </c>
      <c r="AA759" s="19">
        <f>IF(ISBLANK(Welcome!D785),"",Welcome!D785)</f>
        <v/>
      </c>
      <c r="AB759" s="29">
        <f>IF(ISBLANK(Welcome!E785),"",Welcome!E785)</f>
        <v/>
      </c>
      <c r="AC759" s="29">
        <f>IF(N(AB759)&gt;0,N(AB759),N(AA759)*Y759)</f>
        <v/>
      </c>
      <c r="AD759" s="29">
        <f>IF(H759="yes",AC759,0)</f>
        <v/>
      </c>
      <c r="AE759" s="29">
        <f>AD759*N(M759)/100</f>
        <v/>
      </c>
      <c r="AF759" s="29">
        <f>AD759*N(O759)/100</f>
        <v/>
      </c>
      <c r="AG759" s="29">
        <f>AD759*N(P759)/100</f>
        <v/>
      </c>
      <c r="AH759" s="50">
        <f>IF(Q759="yes",AD759/1000,0)</f>
        <v/>
      </c>
      <c r="AI759" s="50">
        <f>IF(S759="FG2",AH759*X759,AH759)</f>
        <v/>
      </c>
    </row>
    <row r="760">
      <c r="A760" s="7" t="inlineStr">
        <is>
          <t>HM00561</t>
        </is>
      </c>
      <c r="B760" s="16" t="inlineStr">
        <is>
          <t>4012345424133</t>
        </is>
      </c>
      <c r="C760" s="7" t="inlineStr">
        <is>
          <t>CHEESE ONION CRISPS 6PK 150G PENROCK</t>
        </is>
      </c>
      <c r="D760" s="7" t="inlineStr">
        <is>
          <t>Cheese &amp; onion crisps, 6pk 150g</t>
        </is>
      </c>
      <c r="E760" s="7" t="inlineStr">
        <is>
          <t>Penrock</t>
        </is>
      </c>
      <c r="F760" s="7" t="inlineStr">
        <is>
          <t>Breakfast &amp; Snacks</t>
        </is>
      </c>
      <c r="G760" s="7" t="inlineStr">
        <is>
          <t>Crisps</t>
        </is>
      </c>
      <c r="H760" s="7" t="inlineStr">
        <is>
          <t>yes</t>
        </is>
      </c>
      <c r="I760" s="7" t="inlineStr">
        <is>
          <t>Animal &amp; plant composite</t>
        </is>
      </c>
      <c r="J760" s="7" t="inlineStr">
        <is>
          <t>Discretionary products</t>
        </is>
      </c>
      <c r="K760" s="7" t="inlineStr">
        <is>
          <t>A</t>
        </is>
      </c>
      <c r="L760" s="7" t="inlineStr">
        <is>
          <t>NEVO food table (ratio only)</t>
        </is>
      </c>
      <c r="M760" s="51" t="n">
        <v>5.8</v>
      </c>
      <c r="N760" s="7" t="inlineStr">
        <is>
          <t>Declared by the retailer</t>
        </is>
      </c>
      <c r="O760" s="54" t="n">
        <v>5.39</v>
      </c>
      <c r="P760" s="54" t="n">
        <v>0.41</v>
      </c>
      <c r="Q760" s="7" t="inlineStr">
        <is>
          <t>yes</t>
        </is>
      </c>
      <c r="R760" s="7" t="inlineStr">
        <is>
          <t>whole</t>
        </is>
      </c>
      <c r="S760" s="7" t="inlineStr">
        <is>
          <t>FG7</t>
        </is>
      </c>
      <c r="T760" s="7" t="n"/>
      <c r="U760" s="7" t="inlineStr">
        <is>
          <t>animal</t>
        </is>
      </c>
      <c r="V760" s="7" t="n"/>
      <c r="W760" s="7" t="n"/>
      <c r="X760" s="55" t="n">
        <v>1</v>
      </c>
      <c r="Y760" s="50" t="n">
        <v>0.15</v>
      </c>
      <c r="Z760" s="7" t="inlineStr">
        <is>
          <t>declared</t>
        </is>
      </c>
      <c r="AA760" s="19">
        <f>IF(ISBLANK(Welcome!D786),"",Welcome!D786)</f>
        <v/>
      </c>
      <c r="AB760" s="29">
        <f>IF(ISBLANK(Welcome!E786),"",Welcome!E786)</f>
        <v/>
      </c>
      <c r="AC760" s="29">
        <f>IF(N(AB760)&gt;0,N(AB760),N(AA760)*Y760)</f>
        <v/>
      </c>
      <c r="AD760" s="29">
        <f>IF(H760="yes",AC760,0)</f>
        <v/>
      </c>
      <c r="AE760" s="29">
        <f>AD760*N(M760)/100</f>
        <v/>
      </c>
      <c r="AF760" s="29">
        <f>AD760*N(O760)/100</f>
        <v/>
      </c>
      <c r="AG760" s="29">
        <f>AD760*N(P760)/100</f>
        <v/>
      </c>
      <c r="AH760" s="50">
        <f>IF(Q760="yes",AD760/1000,0)</f>
        <v/>
      </c>
      <c r="AI760" s="50">
        <f>IF(S760="FG2",AH760*X760,AH760)</f>
        <v/>
      </c>
    </row>
    <row r="761">
      <c r="A761" s="7" t="inlineStr">
        <is>
          <t>HM00547</t>
        </is>
      </c>
      <c r="B761" s="16" t="inlineStr">
        <is>
          <t>4012345017243</t>
        </is>
      </c>
      <c r="C761" s="7" t="inlineStr">
        <is>
          <t>HM SMKD SALMON TRIM 100G</t>
        </is>
      </c>
      <c r="D761" s="7" t="inlineStr">
        <is>
          <t>Smoked salmon trimmings, 100g</t>
        </is>
      </c>
      <c r="E761" s="7" t="inlineStr">
        <is>
          <t>Harbour Market</t>
        </is>
      </c>
      <c r="F761" s="7" t="inlineStr">
        <is>
          <t>Fish &amp; Seafood</t>
        </is>
      </c>
      <c r="G761" s="7" t="inlineStr">
        <is>
          <t>Smoked Fish</t>
        </is>
      </c>
      <c r="H761" s="7" t="inlineStr">
        <is>
          <t>yes</t>
        </is>
      </c>
      <c r="I761" s="7" t="inlineStr">
        <is>
          <t>Animal core</t>
        </is>
      </c>
      <c r="J761" s="7" t="inlineStr">
        <is>
          <t>Fish and seafood</t>
        </is>
      </c>
      <c r="K761" s="7" t="inlineStr">
        <is>
          <t>A</t>
        </is>
      </c>
      <c r="L761" s="7" t="inlineStr">
        <is>
          <t>All ingredients on one side</t>
        </is>
      </c>
      <c r="M761" s="51" t="n">
        <v>21.6</v>
      </c>
      <c r="N761" s="7" t="inlineStr">
        <is>
          <t>Open Food Facts and NEVO, by EAN</t>
        </is>
      </c>
      <c r="O761" s="54" t="n">
        <v>0</v>
      </c>
      <c r="P761" s="54" t="n">
        <v>21.6</v>
      </c>
      <c r="Q761" s="7" t="inlineStr">
        <is>
          <t>yes</t>
        </is>
      </c>
      <c r="R761" s="7" t="inlineStr">
        <is>
          <t>whole</t>
        </is>
      </c>
      <c r="S761" s="7" t="inlineStr">
        <is>
          <t>FG1</t>
        </is>
      </c>
      <c r="T761" s="7" t="inlineStr">
        <is>
          <t>Fish &amp; shellfish</t>
        </is>
      </c>
      <c r="U761" s="7" t="inlineStr">
        <is>
          <t>animal</t>
        </is>
      </c>
      <c r="V761" s="7" t="n"/>
      <c r="W761" s="7" t="n"/>
      <c r="X761" s="55" t="n">
        <v>1</v>
      </c>
      <c r="Y761" s="50" t="n">
        <v>0.1</v>
      </c>
      <c r="Z761" s="7" t="inlineStr">
        <is>
          <t>declared</t>
        </is>
      </c>
      <c r="AA761" s="19">
        <f>IF(ISBLANK(Welcome!D787),"",Welcome!D787)</f>
        <v/>
      </c>
      <c r="AB761" s="29">
        <f>IF(ISBLANK(Welcome!E787),"",Welcome!E787)</f>
        <v/>
      </c>
      <c r="AC761" s="29">
        <f>IF(N(AB761)&gt;0,N(AB761),N(AA761)*Y761)</f>
        <v/>
      </c>
      <c r="AD761" s="29">
        <f>IF(H761="yes",AC761,0)</f>
        <v/>
      </c>
      <c r="AE761" s="29">
        <f>AD761*N(M761)/100</f>
        <v/>
      </c>
      <c r="AF761" s="29">
        <f>AD761*N(O761)/100</f>
        <v/>
      </c>
      <c r="AG761" s="29">
        <f>AD761*N(P761)/100</f>
        <v/>
      </c>
      <c r="AH761" s="50">
        <f>IF(Q761="yes",AD761/1000,0)</f>
        <v/>
      </c>
      <c r="AI761" s="50">
        <f>IF(S761="FG2",AH761*X761,AH761)</f>
        <v/>
      </c>
    </row>
    <row r="762">
      <c r="A762" s="7" t="inlineStr">
        <is>
          <t>HM00684</t>
        </is>
      </c>
      <c r="B762" s="16" t="inlineStr">
        <is>
          <t>8712345783174</t>
        </is>
      </c>
      <c r="C762" s="7" t="inlineStr">
        <is>
          <t>FJELDA PROTEIN SHAKE VAN 330ML</t>
        </is>
      </c>
      <c r="D762" s="7" t="inlineStr">
        <is>
          <t>Vanilla protein shake, 330ml</t>
        </is>
      </c>
      <c r="E762" s="7" t="inlineStr">
        <is>
          <t>Fjelda</t>
        </is>
      </c>
      <c r="F762" s="7" t="inlineStr">
        <is>
          <t>Soft Drinks &amp; Water</t>
        </is>
      </c>
      <c r="G762" s="7" t="inlineStr">
        <is>
          <t>Sports Nutrition</t>
        </is>
      </c>
      <c r="H762" s="7" t="inlineStr">
        <is>
          <t>yes</t>
        </is>
      </c>
      <c r="I762" s="7" t="inlineStr">
        <is>
          <t>Animal core</t>
        </is>
      </c>
      <c r="J762" s="7" t="inlineStr">
        <is>
          <t>Other</t>
        </is>
      </c>
      <c r="K762" s="7" t="inlineStr">
        <is>
          <t>B</t>
        </is>
      </c>
      <c r="L762" s="7" t="inlineStr">
        <is>
          <t>First ingredient</t>
        </is>
      </c>
      <c r="M762" s="51" t="n">
        <v>7.7</v>
      </c>
      <c r="N762" s="7" t="inlineStr">
        <is>
          <t>Declared by the retailer</t>
        </is>
      </c>
      <c r="O762" s="54" t="n">
        <v>0</v>
      </c>
      <c r="P762" s="54" t="n">
        <v>7.7</v>
      </c>
      <c r="Q762" s="7" t="inlineStr">
        <is>
          <t>yes</t>
        </is>
      </c>
      <c r="R762" s="7" t="inlineStr">
        <is>
          <t>whole</t>
        </is>
      </c>
      <c r="S762" s="7" t="inlineStr">
        <is>
          <t>FG2</t>
        </is>
      </c>
      <c r="T762" s="7" t="inlineStr">
        <is>
          <t>Dairy</t>
        </is>
      </c>
      <c r="U762" s="7" t="inlineStr">
        <is>
          <t>animal</t>
        </is>
      </c>
      <c r="V762" s="7" t="n"/>
      <c r="W762" s="7" t="n"/>
      <c r="X762" s="55" t="n">
        <v>1</v>
      </c>
      <c r="Y762" s="50" t="n">
        <v>0.34</v>
      </c>
      <c r="Z762" s="7" t="inlineStr">
        <is>
          <t>declared</t>
        </is>
      </c>
      <c r="AA762" s="19">
        <f>IF(ISBLANK(Welcome!D788),"",Welcome!D788)</f>
        <v/>
      </c>
      <c r="AB762" s="29">
        <f>IF(ISBLANK(Welcome!E788),"",Welcome!E788)</f>
        <v/>
      </c>
      <c r="AC762" s="29">
        <f>IF(N(AB762)&gt;0,N(AB762),N(AA762)*Y762)</f>
        <v/>
      </c>
      <c r="AD762" s="29">
        <f>IF(H762="yes",AC762,0)</f>
        <v/>
      </c>
      <c r="AE762" s="29">
        <f>AD762*N(M762)/100</f>
        <v/>
      </c>
      <c r="AF762" s="29">
        <f>AD762*N(O762)/100</f>
        <v/>
      </c>
      <c r="AG762" s="29">
        <f>AD762*N(P762)/100</f>
        <v/>
      </c>
      <c r="AH762" s="50">
        <f>IF(Q762="yes",AD762/1000,0)</f>
        <v/>
      </c>
      <c r="AI762" s="50">
        <f>IF(S762="FG2",AH762*X762,AH762)</f>
        <v/>
      </c>
    </row>
    <row r="763">
      <c r="A763" s="7" t="inlineStr">
        <is>
          <t>HM00465</t>
        </is>
      </c>
      <c r="B763" s="16" t="inlineStr">
        <is>
          <t>5012345474786</t>
        </is>
      </c>
      <c r="C763" s="7" t="inlineStr">
        <is>
          <t>HM DARK CHOC 70% 100G</t>
        </is>
      </c>
      <c r="D763" s="7" t="inlineStr">
        <is>
          <t>70% dark chocolate, 100g</t>
        </is>
      </c>
      <c r="E763" s="7" t="inlineStr">
        <is>
          <t>Harbour Market</t>
        </is>
      </c>
      <c r="F763" s="7" t="inlineStr">
        <is>
          <t>Breakfast &amp; Snacks</t>
        </is>
      </c>
      <c r="G763" s="7" t="inlineStr">
        <is>
          <t>Chocolate</t>
        </is>
      </c>
      <c r="H763" s="7" t="inlineStr">
        <is>
          <t>yes</t>
        </is>
      </c>
      <c r="I763" s="7" t="inlineStr">
        <is>
          <t>Plant-based non-core</t>
        </is>
      </c>
      <c r="J763" s="7" t="inlineStr">
        <is>
          <t>Discretionary products</t>
        </is>
      </c>
      <c r="K763" s="7" t="inlineStr">
        <is>
          <t>B</t>
        </is>
      </c>
      <c r="L763" s="7" t="inlineStr">
        <is>
          <t>Follows the class</t>
        </is>
      </c>
      <c r="M763" s="51" t="n">
        <v>7.9</v>
      </c>
      <c r="N763" s="7" t="inlineStr">
        <is>
          <t>Declared by the retailer</t>
        </is>
      </c>
      <c r="O763" s="54" t="n">
        <v>7.9</v>
      </c>
      <c r="P763" s="54" t="n">
        <v>0</v>
      </c>
      <c r="Q763" s="7" t="inlineStr">
        <is>
          <t>yes</t>
        </is>
      </c>
      <c r="R763" s="7" t="inlineStr">
        <is>
          <t>whole</t>
        </is>
      </c>
      <c r="S763" s="7" t="inlineStr">
        <is>
          <t>FG7</t>
        </is>
      </c>
      <c r="T763" s="7" t="n"/>
      <c r="U763" s="7" t="inlineStr">
        <is>
          <t>plant</t>
        </is>
      </c>
      <c r="V763" s="7" t="n"/>
      <c r="W763" s="7" t="n"/>
      <c r="X763" s="55" t="n">
        <v>1</v>
      </c>
      <c r="Y763" s="50" t="n">
        <v>0.1</v>
      </c>
      <c r="Z763" s="7" t="inlineStr">
        <is>
          <t>declared</t>
        </is>
      </c>
      <c r="AA763" s="19">
        <f>IF(ISBLANK(Welcome!D789),"",Welcome!D789)</f>
        <v/>
      </c>
      <c r="AB763" s="29">
        <f>IF(ISBLANK(Welcome!E789),"",Welcome!E789)</f>
        <v/>
      </c>
      <c r="AC763" s="29">
        <f>IF(N(AB763)&gt;0,N(AB763),N(AA763)*Y763)</f>
        <v/>
      </c>
      <c r="AD763" s="29">
        <f>IF(H763="yes",AC763,0)</f>
        <v/>
      </c>
      <c r="AE763" s="29">
        <f>AD763*N(M763)/100</f>
        <v/>
      </c>
      <c r="AF763" s="29">
        <f>AD763*N(O763)/100</f>
        <v/>
      </c>
      <c r="AG763" s="29">
        <f>AD763*N(P763)/100</f>
        <v/>
      </c>
      <c r="AH763" s="50">
        <f>IF(Q763="yes",AD763/1000,0)</f>
        <v/>
      </c>
      <c r="AI763" s="50">
        <f>IF(S763="FG2",AH763*X763,AH763)</f>
        <v/>
      </c>
    </row>
    <row r="764">
      <c r="A764" s="7" t="inlineStr">
        <is>
          <t>HM00389</t>
        </is>
      </c>
      <c r="B764" s="16" t="inlineStr">
        <is>
          <t>4012345639735</t>
        </is>
      </c>
      <c r="C764" s="7" t="inlineStr">
        <is>
          <t>HM SUNFLOWER SEEDS 150G</t>
        </is>
      </c>
      <c r="D764" s="7" t="inlineStr">
        <is>
          <t>Sunflower seeds, 150g</t>
        </is>
      </c>
      <c r="E764" s="7" t="inlineStr">
        <is>
          <t>Harbour Market</t>
        </is>
      </c>
      <c r="F764" s="7" t="inlineStr">
        <is>
          <t>Grocery</t>
        </is>
      </c>
      <c r="G764" s="7" t="inlineStr">
        <is>
          <t>Nuts &amp; Seeds</t>
        </is>
      </c>
      <c r="H764" s="7" t="inlineStr">
        <is>
          <t>yes</t>
        </is>
      </c>
      <c r="I764" s="7" t="inlineStr">
        <is>
          <t>Plant-based core</t>
        </is>
      </c>
      <c r="J764" s="7" t="inlineStr">
        <is>
          <t>Seeds</t>
        </is>
      </c>
      <c r="K764" s="7" t="inlineStr">
        <is>
          <t>A</t>
        </is>
      </c>
      <c r="L764" s="7" t="inlineStr">
        <is>
          <t>All ingredients on one side</t>
        </is>
      </c>
      <c r="M764" s="51" t="n">
        <v>20.4</v>
      </c>
      <c r="N764" s="7" t="inlineStr">
        <is>
          <t>National food table (CIQUAL in France)</t>
        </is>
      </c>
      <c r="O764" s="54" t="n">
        <v>20.4</v>
      </c>
      <c r="P764" s="54" t="n">
        <v>0</v>
      </c>
      <c r="Q764" s="7" t="inlineStr">
        <is>
          <t>yes</t>
        </is>
      </c>
      <c r="R764" s="7" t="inlineStr">
        <is>
          <t>whole</t>
        </is>
      </c>
      <c r="S764" s="7" t="inlineStr">
        <is>
          <t>FG1</t>
        </is>
      </c>
      <c r="T764" s="7" t="inlineStr">
        <is>
          <t>Seeds</t>
        </is>
      </c>
      <c r="U764" s="7" t="inlineStr">
        <is>
          <t>plant</t>
        </is>
      </c>
      <c r="V764" s="7" t="n"/>
      <c r="W764" s="7" t="n"/>
      <c r="X764" s="55" t="n">
        <v>1</v>
      </c>
      <c r="Y764" s="50" t="n">
        <v>0.15</v>
      </c>
      <c r="Z764" s="7" t="inlineStr">
        <is>
          <t>declared</t>
        </is>
      </c>
      <c r="AA764" s="19">
        <f>IF(ISBLANK(Welcome!D790),"",Welcome!D790)</f>
        <v/>
      </c>
      <c r="AB764" s="29">
        <f>IF(ISBLANK(Welcome!E790),"",Welcome!E790)</f>
        <v/>
      </c>
      <c r="AC764" s="29">
        <f>IF(N(AB764)&gt;0,N(AB764),N(AA764)*Y764)</f>
        <v/>
      </c>
      <c r="AD764" s="29">
        <f>IF(H764="yes",AC764,0)</f>
        <v/>
      </c>
      <c r="AE764" s="29">
        <f>AD764*N(M764)/100</f>
        <v/>
      </c>
      <c r="AF764" s="29">
        <f>AD764*N(O764)/100</f>
        <v/>
      </c>
      <c r="AG764" s="29">
        <f>AD764*N(P764)/100</f>
        <v/>
      </c>
      <c r="AH764" s="50">
        <f>IF(Q764="yes",AD764/1000,0)</f>
        <v/>
      </c>
      <c r="AI764" s="50">
        <f>IF(S764="FG2",AH764*X764,AH764)</f>
        <v/>
      </c>
    </row>
    <row r="765">
      <c r="A765" s="7" t="inlineStr">
        <is>
          <t>HM00234</t>
        </is>
      </c>
      <c r="B765" s="16" t="inlineStr">
        <is>
          <t>8712345036478</t>
        </is>
      </c>
      <c r="C765" s="7" t="inlineStr">
        <is>
          <t>HM BIRTHDAY CANDLES 4PK</t>
        </is>
      </c>
      <c r="D765" s="7" t="inlineStr">
        <is>
          <t>Birthday candles, 4pk</t>
        </is>
      </c>
      <c r="E765" s="7" t="inlineStr">
        <is>
          <t>Harbour Market</t>
        </is>
      </c>
      <c r="F765" s="7" t="inlineStr">
        <is>
          <t>Household</t>
        </is>
      </c>
      <c r="G765" s="7" t="inlineStr">
        <is>
          <t>Household</t>
        </is>
      </c>
      <c r="H765" s="7" t="inlineStr">
        <is>
          <t>no</t>
        </is>
      </c>
      <c r="I765" s="7" t="n"/>
      <c r="J765" s="7" t="n"/>
      <c r="K765" s="7" t="n"/>
      <c r="L765" s="7" t="n"/>
      <c r="M765" s="51" t="n"/>
      <c r="N765" s="7" t="n"/>
      <c r="O765" s="54" t="n"/>
      <c r="P765" s="54" t="n"/>
      <c r="Q765" s="7" t="inlineStr">
        <is>
          <t>no</t>
        </is>
      </c>
      <c r="R765" s="7" t="n"/>
      <c r="S765" s="7" t="n"/>
      <c r="T765" s="7" t="n"/>
      <c r="U765" s="7" t="n"/>
      <c r="V765" s="7" t="n"/>
      <c r="W765" s="7" t="n"/>
      <c r="X765" s="55" t="n">
        <v>1</v>
      </c>
      <c r="Y765" s="50" t="n">
        <v>0.5</v>
      </c>
      <c r="Z765" s="7" t="inlineStr">
        <is>
          <t>declared</t>
        </is>
      </c>
      <c r="AA765" s="19">
        <f>IF(ISBLANK(Welcome!D791),"",Welcome!D791)</f>
        <v/>
      </c>
      <c r="AB765" s="29">
        <f>IF(ISBLANK(Welcome!E791),"",Welcome!E791)</f>
        <v/>
      </c>
      <c r="AC765" s="29">
        <f>IF(N(AB765)&gt;0,N(AB765),N(AA765)*Y765)</f>
        <v/>
      </c>
      <c r="AD765" s="29">
        <f>IF(H765="yes",AC765,0)</f>
        <v/>
      </c>
      <c r="AE765" s="29">
        <f>AD765*N(M765)/100</f>
        <v/>
      </c>
      <c r="AF765" s="29">
        <f>AD765*N(O765)/100</f>
        <v/>
      </c>
      <c r="AG765" s="29">
        <f>AD765*N(P765)/100</f>
        <v/>
      </c>
      <c r="AH765" s="50">
        <f>IF(Q765="yes",AD765/1000,0)</f>
        <v/>
      </c>
      <c r="AI765" s="50">
        <f>IF(S765="FG2",AH765*X765,AH765)</f>
        <v/>
      </c>
    </row>
    <row r="766">
      <c r="A766" s="7" t="inlineStr">
        <is>
          <t>HM00543</t>
        </is>
      </c>
      <c r="B766" s="16" t="inlineStr">
        <is>
          <t>3012345141727</t>
        </is>
      </c>
      <c r="C766" s="7" t="inlineStr">
        <is>
          <t>HM SALMON SUSHI BOX 200G</t>
        </is>
      </c>
      <c r="D766" s="7" t="inlineStr">
        <is>
          <t>Salmon sushi selection, 200g</t>
        </is>
      </c>
      <c r="E766" s="7" t="inlineStr">
        <is>
          <t>Harbour Market</t>
        </is>
      </c>
      <c r="F766" s="7" t="inlineStr">
        <is>
          <t>Ready Meals</t>
        </is>
      </c>
      <c r="G766" s="7" t="inlineStr">
        <is>
          <t>Sushi</t>
        </is>
      </c>
      <c r="H766" s="7" t="inlineStr">
        <is>
          <t>yes</t>
        </is>
      </c>
      <c r="I766" s="7" t="inlineStr">
        <is>
          <t>Animal &amp; plant composite</t>
        </is>
      </c>
      <c r="J766" s="7" t="inlineStr">
        <is>
          <t>Fish-based dishes</t>
        </is>
      </c>
      <c r="K766" s="7" t="inlineStr">
        <is>
          <t>A</t>
        </is>
      </c>
      <c r="L766" s="7" t="inlineStr">
        <is>
          <t>NEVO food table (ratio only)</t>
        </is>
      </c>
      <c r="M766" s="51" t="n">
        <v>7.4</v>
      </c>
      <c r="N766" s="7" t="inlineStr">
        <is>
          <t>Declared by the retailer</t>
        </is>
      </c>
      <c r="O766" s="54" t="n">
        <v>3.33</v>
      </c>
      <c r="P766" s="54" t="n">
        <v>4.07</v>
      </c>
      <c r="Q766" s="7" t="inlineStr">
        <is>
          <t>yes</t>
        </is>
      </c>
      <c r="R766" s="7" t="inlineStr">
        <is>
          <t>composite</t>
        </is>
      </c>
      <c r="S766" s="7" t="n"/>
      <c r="T766" s="7" t="n"/>
      <c r="U766" s="7" t="n"/>
      <c r="V766" s="7" t="inlineStr">
        <is>
          <t>seafood-based</t>
        </is>
      </c>
      <c r="W766" s="7" t="n"/>
      <c r="X766" s="55" t="n">
        <v>1</v>
      </c>
      <c r="Y766" s="50" t="n">
        <v>0.2</v>
      </c>
      <c r="Z766" s="7" t="inlineStr">
        <is>
          <t>declared</t>
        </is>
      </c>
      <c r="AA766" s="19">
        <f>IF(ISBLANK(Welcome!D792),"",Welcome!D792)</f>
        <v/>
      </c>
      <c r="AB766" s="29">
        <f>IF(ISBLANK(Welcome!E792),"",Welcome!E792)</f>
        <v/>
      </c>
      <c r="AC766" s="29">
        <f>IF(N(AB766)&gt;0,N(AB766),N(AA766)*Y766)</f>
        <v/>
      </c>
      <c r="AD766" s="29">
        <f>IF(H766="yes",AC766,0)</f>
        <v/>
      </c>
      <c r="AE766" s="29">
        <f>AD766*N(M766)/100</f>
        <v/>
      </c>
      <c r="AF766" s="29">
        <f>AD766*N(O766)/100</f>
        <v/>
      </c>
      <c r="AG766" s="29">
        <f>AD766*N(P766)/100</f>
        <v/>
      </c>
      <c r="AH766" s="50">
        <f>IF(Q766="yes",AD766/1000,0)</f>
        <v/>
      </c>
      <c r="AI766" s="50">
        <f>IF(S766="FG2",AH766*X766,AH766)</f>
        <v/>
      </c>
    </row>
    <row r="767">
      <c r="A767" s="7" t="inlineStr">
        <is>
          <t>HM00733</t>
        </is>
      </c>
      <c r="B767" s="16" t="inlineStr">
        <is>
          <t>5012345105321</t>
        </is>
      </c>
      <c r="C767" s="7" t="inlineStr">
        <is>
          <t>HM TEMPEH 400G</t>
        </is>
      </c>
      <c r="D767" s="7" t="inlineStr">
        <is>
          <t>Tempeh, 400g</t>
        </is>
      </c>
      <c r="E767" s="7" t="inlineStr">
        <is>
          <t>Harbour Market</t>
        </is>
      </c>
      <c r="F767" s="7" t="inlineStr">
        <is>
          <t>Plant-Based</t>
        </is>
      </c>
      <c r="G767" s="7" t="inlineStr">
        <is>
          <t>Tofu &amp; Tempeh</t>
        </is>
      </c>
      <c r="H767" s="7" t="inlineStr">
        <is>
          <t>yes</t>
        </is>
      </c>
      <c r="I767" s="7" t="inlineStr">
        <is>
          <t>Plant-based core</t>
        </is>
      </c>
      <c r="J767" s="7" t="inlineStr">
        <is>
          <t>Tofu, tempeh, seitan</t>
        </is>
      </c>
      <c r="K767" s="7" t="inlineStr">
        <is>
          <t>A</t>
        </is>
      </c>
      <c r="L767" s="7" t="inlineStr">
        <is>
          <t>All ingredients on one side</t>
        </is>
      </c>
      <c r="M767" s="51" t="n">
        <v>19.6</v>
      </c>
      <c r="N767" s="7" t="inlineStr">
        <is>
          <t>National food table (CIQUAL in France)</t>
        </is>
      </c>
      <c r="O767" s="54" t="n">
        <v>19.6</v>
      </c>
      <c r="P767" s="54" t="n">
        <v>0</v>
      </c>
      <c r="Q767" s="7" t="inlineStr">
        <is>
          <t>yes</t>
        </is>
      </c>
      <c r="R767" s="7" t="inlineStr">
        <is>
          <t>whole</t>
        </is>
      </c>
      <c r="S767" s="7" t="inlineStr">
        <is>
          <t>FG1</t>
        </is>
      </c>
      <c r="T767" s="7" t="inlineStr">
        <is>
          <t>Tofu, tempeh &amp; seitan</t>
        </is>
      </c>
      <c r="U767" s="7" t="inlineStr">
        <is>
          <t>plant</t>
        </is>
      </c>
      <c r="V767" s="7" t="n"/>
      <c r="W767" s="7" t="n"/>
      <c r="X767" s="55" t="n">
        <v>1</v>
      </c>
      <c r="Y767" s="50" t="n">
        <v>0.4</v>
      </c>
      <c r="Z767" s="7" t="inlineStr">
        <is>
          <t>declared</t>
        </is>
      </c>
      <c r="AA767" s="19">
        <f>IF(ISBLANK(Welcome!D793),"",Welcome!D793)</f>
        <v/>
      </c>
      <c r="AB767" s="29">
        <f>IF(ISBLANK(Welcome!E793),"",Welcome!E793)</f>
        <v/>
      </c>
      <c r="AC767" s="29">
        <f>IF(N(AB767)&gt;0,N(AB767),N(AA767)*Y767)</f>
        <v/>
      </c>
      <c r="AD767" s="29">
        <f>IF(H767="yes",AC767,0)</f>
        <v/>
      </c>
      <c r="AE767" s="29">
        <f>AD767*N(M767)/100</f>
        <v/>
      </c>
      <c r="AF767" s="29">
        <f>AD767*N(O767)/100</f>
        <v/>
      </c>
      <c r="AG767" s="29">
        <f>AD767*N(P767)/100</f>
        <v/>
      </c>
      <c r="AH767" s="50">
        <f>IF(Q767="yes",AD767/1000,0)</f>
        <v/>
      </c>
      <c r="AI767" s="50">
        <f>IF(S767="FG2",AH767*X767,AH767)</f>
        <v/>
      </c>
    </row>
    <row r="768">
      <c r="A768" s="7" t="inlineStr">
        <is>
          <t>HM00460</t>
        </is>
      </c>
      <c r="B768" s="16" t="inlineStr">
        <is>
          <t>4012345734041</t>
        </is>
      </c>
      <c r="C768" s="7" t="inlineStr">
        <is>
          <t>SOLVANE COCONUT YOG ALT 4X125G</t>
        </is>
      </c>
      <c r="D768" s="7" t="inlineStr">
        <is>
          <t>Coconut yoghurt alternative, 4x125g</t>
        </is>
      </c>
      <c r="E768" s="7" t="inlineStr">
        <is>
          <t>Solvane</t>
        </is>
      </c>
      <c r="F768" s="7" t="inlineStr">
        <is>
          <t>Plant-Based</t>
        </is>
      </c>
      <c r="G768" s="7" t="inlineStr">
        <is>
          <t>Plant Yoghurts</t>
        </is>
      </c>
      <c r="H768" s="7" t="inlineStr">
        <is>
          <t>yes</t>
        </is>
      </c>
      <c r="I768" s="7" t="inlineStr">
        <is>
          <t>Plant-based core</t>
        </is>
      </c>
      <c r="J768" s="7" t="inlineStr">
        <is>
          <t>Plant-based dairy alternatives</t>
        </is>
      </c>
      <c r="K768" s="7" t="inlineStr">
        <is>
          <t>A</t>
        </is>
      </c>
      <c r="L768" s="7" t="inlineStr">
        <is>
          <t>All ingredients on one side</t>
        </is>
      </c>
      <c r="M768" s="51" t="n">
        <v>0.78</v>
      </c>
      <c r="N768" s="7" t="inlineStr">
        <is>
          <t>Open Food Facts and NEVO, by EAN</t>
        </is>
      </c>
      <c r="O768" s="54" t="n">
        <v>0.78</v>
      </c>
      <c r="P768" s="54" t="n">
        <v>0</v>
      </c>
      <c r="Q768" s="7" t="inlineStr">
        <is>
          <t>yes</t>
        </is>
      </c>
      <c r="R768" s="7" t="inlineStr">
        <is>
          <t>whole</t>
        </is>
      </c>
      <c r="S768" s="7" t="inlineStr">
        <is>
          <t>FG2</t>
        </is>
      </c>
      <c r="T768" s="7" t="inlineStr">
        <is>
          <t>Dairy alternatives</t>
        </is>
      </c>
      <c r="U768" s="7" t="inlineStr">
        <is>
          <t>plant</t>
        </is>
      </c>
      <c r="V768" s="7" t="n"/>
      <c r="W768" s="7" t="n"/>
      <c r="X768" s="55" t="n">
        <v>1</v>
      </c>
      <c r="Y768" s="50" t="n">
        <v>0.5</v>
      </c>
      <c r="Z768" s="7" t="inlineStr">
        <is>
          <t>declared</t>
        </is>
      </c>
      <c r="AA768" s="19">
        <f>IF(ISBLANK(Welcome!D794),"",Welcome!D794)</f>
        <v/>
      </c>
      <c r="AB768" s="29">
        <f>IF(ISBLANK(Welcome!E794),"",Welcome!E794)</f>
        <v/>
      </c>
      <c r="AC768" s="29">
        <f>IF(N(AB768)&gt;0,N(AB768),N(AA768)*Y768)</f>
        <v/>
      </c>
      <c r="AD768" s="29">
        <f>IF(H768="yes",AC768,0)</f>
        <v/>
      </c>
      <c r="AE768" s="29">
        <f>AD768*N(M768)/100</f>
        <v/>
      </c>
      <c r="AF768" s="29">
        <f>AD768*N(O768)/100</f>
        <v/>
      </c>
      <c r="AG768" s="29">
        <f>AD768*N(P768)/100</f>
        <v/>
      </c>
      <c r="AH768" s="50">
        <f>IF(Q768="yes",AD768/1000,0)</f>
        <v/>
      </c>
      <c r="AI768" s="50">
        <f>IF(S768="FG2",AH768*X768,AH768)</f>
        <v/>
      </c>
    </row>
    <row r="769">
      <c r="A769" s="7" t="inlineStr">
        <is>
          <t>HM00771</t>
        </is>
      </c>
      <c r="B769" s="16" t="inlineStr">
        <is>
          <t>8712345918200</t>
        </is>
      </c>
      <c r="C769" s="7" t="inlineStr">
        <is>
          <t>CASHEW NUTS 100G PENROCK</t>
        </is>
      </c>
      <c r="D769" s="7" t="inlineStr">
        <is>
          <t>Cashew nuts, 100g</t>
        </is>
      </c>
      <c r="E769" s="7" t="inlineStr">
        <is>
          <t>Penrock</t>
        </is>
      </c>
      <c r="F769" s="7" t="inlineStr">
        <is>
          <t>Grocery</t>
        </is>
      </c>
      <c r="G769" s="7" t="inlineStr">
        <is>
          <t>Nuts &amp; Seeds</t>
        </is>
      </c>
      <c r="H769" s="7" t="inlineStr">
        <is>
          <t>yes</t>
        </is>
      </c>
      <c r="I769" s="7" t="inlineStr">
        <is>
          <t>Plant-based core</t>
        </is>
      </c>
      <c r="J769" s="7" t="inlineStr">
        <is>
          <t>Nuts</t>
        </is>
      </c>
      <c r="K769" s="7" t="inlineStr">
        <is>
          <t>A</t>
        </is>
      </c>
      <c r="L769" s="7" t="inlineStr">
        <is>
          <t>All ingredients on one side</t>
        </is>
      </c>
      <c r="M769" s="51" t="n">
        <v>17.8</v>
      </c>
      <c r="N769" s="7" t="inlineStr">
        <is>
          <t>Open Food Facts and NEVO, by EAN</t>
        </is>
      </c>
      <c r="O769" s="54" t="n">
        <v>17.8</v>
      </c>
      <c r="P769" s="54" t="n">
        <v>0</v>
      </c>
      <c r="Q769" s="7" t="inlineStr">
        <is>
          <t>yes</t>
        </is>
      </c>
      <c r="R769" s="7" t="inlineStr">
        <is>
          <t>whole</t>
        </is>
      </c>
      <c r="S769" s="7" t="inlineStr">
        <is>
          <t>FG1</t>
        </is>
      </c>
      <c r="T769" s="7" t="inlineStr">
        <is>
          <t>Nuts</t>
        </is>
      </c>
      <c r="U769" s="7" t="inlineStr">
        <is>
          <t>plant</t>
        </is>
      </c>
      <c r="V769" s="7" t="n"/>
      <c r="W769" s="7" t="n"/>
      <c r="X769" s="55" t="n">
        <v>1</v>
      </c>
      <c r="Y769" s="50" t="n">
        <v>0.1</v>
      </c>
      <c r="Z769" s="7" t="inlineStr">
        <is>
          <t>declared</t>
        </is>
      </c>
      <c r="AA769" s="19">
        <f>IF(ISBLANK(Welcome!D795),"",Welcome!D795)</f>
        <v/>
      </c>
      <c r="AB769" s="29">
        <f>IF(ISBLANK(Welcome!E795),"",Welcome!E795)</f>
        <v/>
      </c>
      <c r="AC769" s="29">
        <f>IF(N(AB769)&gt;0,N(AB769),N(AA769)*Y769)</f>
        <v/>
      </c>
      <c r="AD769" s="29">
        <f>IF(H769="yes",AC769,0)</f>
        <v/>
      </c>
      <c r="AE769" s="29">
        <f>AD769*N(M769)/100</f>
        <v/>
      </c>
      <c r="AF769" s="29">
        <f>AD769*N(O769)/100</f>
        <v/>
      </c>
      <c r="AG769" s="29">
        <f>AD769*N(P769)/100</f>
        <v/>
      </c>
      <c r="AH769" s="50">
        <f>IF(Q769="yes",AD769/1000,0)</f>
        <v/>
      </c>
      <c r="AI769" s="50">
        <f>IF(S769="FG2",AH769*X769,AH769)</f>
        <v/>
      </c>
    </row>
    <row r="770">
      <c r="A770" s="7" t="inlineStr">
        <is>
          <t>HM00649</t>
        </is>
      </c>
      <c r="B770" s="16" t="inlineStr">
        <is>
          <t>3012345386654</t>
        </is>
      </c>
      <c r="C770" s="7" t="inlineStr">
        <is>
          <t>HM BABY SPINACH EACH</t>
        </is>
      </c>
      <c r="D770" s="7" t="inlineStr">
        <is>
          <t>Baby spinach</t>
        </is>
      </c>
      <c r="E770" s="7" t="inlineStr">
        <is>
          <t>Harbour Market</t>
        </is>
      </c>
      <c r="F770" s="7" t="inlineStr">
        <is>
          <t>Fruit &amp; Vegetables</t>
        </is>
      </c>
      <c r="G770" s="7" t="inlineStr">
        <is>
          <t>Vegetables</t>
        </is>
      </c>
      <c r="H770" s="7" t="inlineStr">
        <is>
          <t>yes</t>
        </is>
      </c>
      <c r="I770" s="7" t="inlineStr">
        <is>
          <t>Plant-based non-core</t>
        </is>
      </c>
      <c r="J770" s="7" t="inlineStr">
        <is>
          <t>Fruit and vegetables</t>
        </is>
      </c>
      <c r="K770" s="7" t="inlineStr">
        <is>
          <t>B</t>
        </is>
      </c>
      <c r="L770" s="7" t="inlineStr">
        <is>
          <t>Follows the class</t>
        </is>
      </c>
      <c r="M770" s="51" t="n">
        <v>2.9</v>
      </c>
      <c r="N770" s="7" t="inlineStr">
        <is>
          <t>National food table (CIQUAL in France)</t>
        </is>
      </c>
      <c r="O770" s="54" t="n">
        <v>2.9</v>
      </c>
      <c r="P770" s="54" t="n">
        <v>0</v>
      </c>
      <c r="Q770" s="7" t="inlineStr">
        <is>
          <t>yes</t>
        </is>
      </c>
      <c r="R770" s="7" t="inlineStr">
        <is>
          <t>whole</t>
        </is>
      </c>
      <c r="S770" s="7" t="inlineStr">
        <is>
          <t>FG4</t>
        </is>
      </c>
      <c r="T770" s="7" t="n"/>
      <c r="U770" s="7" t="inlineStr">
        <is>
          <t>plant</t>
        </is>
      </c>
      <c r="V770" s="7" t="n"/>
      <c r="W770" s="7" t="n"/>
      <c r="X770" s="55" t="n">
        <v>1</v>
      </c>
      <c r="Y770" s="50" t="n">
        <v>0.2</v>
      </c>
      <c r="Z770" s="7" t="inlineStr">
        <is>
          <t>typical_piece</t>
        </is>
      </c>
      <c r="AA770" s="19">
        <f>IF(ISBLANK(Welcome!D796),"",Welcome!D796)</f>
        <v/>
      </c>
      <c r="AB770" s="29">
        <f>IF(ISBLANK(Welcome!E796),"",Welcome!E796)</f>
        <v/>
      </c>
      <c r="AC770" s="29">
        <f>IF(N(AB770)&gt;0,N(AB770),N(AA770)*Y770)</f>
        <v/>
      </c>
      <c r="AD770" s="29">
        <f>IF(H770="yes",AC770,0)</f>
        <v/>
      </c>
      <c r="AE770" s="29">
        <f>AD770*N(M770)/100</f>
        <v/>
      </c>
      <c r="AF770" s="29">
        <f>AD770*N(O770)/100</f>
        <v/>
      </c>
      <c r="AG770" s="29">
        <f>AD770*N(P770)/100</f>
        <v/>
      </c>
      <c r="AH770" s="50">
        <f>IF(Q770="yes",AD770/1000,0)</f>
        <v/>
      </c>
      <c r="AI770" s="50">
        <f>IF(S770="FG2",AH770*X770,AH770)</f>
        <v/>
      </c>
    </row>
    <row r="771">
      <c r="A771" s="7" t="inlineStr">
        <is>
          <t>HM00037</t>
        </is>
      </c>
      <c r="B771" s="16" t="inlineStr">
        <is>
          <t>5012345479453</t>
        </is>
      </c>
      <c r="C771" s="7" t="inlineStr">
        <is>
          <t>HM SALMON FLT SKINLESS 240G</t>
        </is>
      </c>
      <c r="D771" s="7" t="inlineStr">
        <is>
          <t>Skinless salmon fillets, 240g</t>
        </is>
      </c>
      <c r="E771" s="7" t="inlineStr">
        <is>
          <t>Harbour Market</t>
        </is>
      </c>
      <c r="F771" s="7" t="inlineStr">
        <is>
          <t>Fish &amp; Seafood</t>
        </is>
      </c>
      <c r="G771" s="7" t="inlineStr">
        <is>
          <t>Fresh Fish</t>
        </is>
      </c>
      <c r="H771" s="7" t="inlineStr">
        <is>
          <t>yes</t>
        </is>
      </c>
      <c r="I771" s="7" t="inlineStr">
        <is>
          <t>Animal core</t>
        </is>
      </c>
      <c r="J771" s="7" t="inlineStr">
        <is>
          <t>Fish and seafood</t>
        </is>
      </c>
      <c r="K771" s="7" t="inlineStr">
        <is>
          <t>A</t>
        </is>
      </c>
      <c r="L771" s="7" t="inlineStr">
        <is>
          <t>All ingredients on one side</t>
        </is>
      </c>
      <c r="M771" s="51" t="n">
        <v>21.2</v>
      </c>
      <c r="N771" s="7" t="inlineStr">
        <is>
          <t>Declared by the retailer</t>
        </is>
      </c>
      <c r="O771" s="54" t="n">
        <v>0</v>
      </c>
      <c r="P771" s="54" t="n">
        <v>21.2</v>
      </c>
      <c r="Q771" s="7" t="inlineStr">
        <is>
          <t>yes</t>
        </is>
      </c>
      <c r="R771" s="7" t="inlineStr">
        <is>
          <t>whole</t>
        </is>
      </c>
      <c r="S771" s="7" t="inlineStr">
        <is>
          <t>FG1</t>
        </is>
      </c>
      <c r="T771" s="7" t="inlineStr">
        <is>
          <t>Fish &amp; shellfish</t>
        </is>
      </c>
      <c r="U771" s="7" t="inlineStr">
        <is>
          <t>animal</t>
        </is>
      </c>
      <c r="V771" s="7" t="n"/>
      <c r="W771" s="7" t="n"/>
      <c r="X771" s="55" t="n">
        <v>1</v>
      </c>
      <c r="Y771" s="50" t="n">
        <v>0.24</v>
      </c>
      <c r="Z771" s="7" t="inlineStr">
        <is>
          <t>declared</t>
        </is>
      </c>
      <c r="AA771" s="19">
        <f>IF(ISBLANK(Welcome!D797),"",Welcome!D797)</f>
        <v/>
      </c>
      <c r="AB771" s="29">
        <f>IF(ISBLANK(Welcome!E797),"",Welcome!E797)</f>
        <v/>
      </c>
      <c r="AC771" s="29">
        <f>IF(N(AB771)&gt;0,N(AB771),N(AA771)*Y771)</f>
        <v/>
      </c>
      <c r="AD771" s="29">
        <f>IF(H771="yes",AC771,0)</f>
        <v/>
      </c>
      <c r="AE771" s="29">
        <f>AD771*N(M771)/100</f>
        <v/>
      </c>
      <c r="AF771" s="29">
        <f>AD771*N(O771)/100</f>
        <v/>
      </c>
      <c r="AG771" s="29">
        <f>AD771*N(P771)/100</f>
        <v/>
      </c>
      <c r="AH771" s="50">
        <f>IF(Q771="yes",AD771/1000,0)</f>
        <v/>
      </c>
      <c r="AI771" s="50">
        <f>IF(S771="FG2",AH771*X771,AH771)</f>
        <v/>
      </c>
    </row>
    <row r="772">
      <c r="A772" s="7" t="inlineStr">
        <is>
          <t>HM00001</t>
        </is>
      </c>
      <c r="B772" s="16" t="inlineStr">
        <is>
          <t>3012345357746</t>
        </is>
      </c>
      <c r="C772" s="7" t="inlineStr">
        <is>
          <t>HM MILK CHOC BAR 4X40G</t>
        </is>
      </c>
      <c r="D772" s="7" t="inlineStr">
        <is>
          <t>Milk chocolate bar, 4x40g</t>
        </is>
      </c>
      <c r="E772" s="7" t="inlineStr">
        <is>
          <t>Harbour Market</t>
        </is>
      </c>
      <c r="F772" s="7" t="inlineStr">
        <is>
          <t>Breakfast &amp; Snacks</t>
        </is>
      </c>
      <c r="G772" s="7" t="inlineStr">
        <is>
          <t>Chocolate</t>
        </is>
      </c>
      <c r="H772" s="7" t="inlineStr">
        <is>
          <t>yes</t>
        </is>
      </c>
      <c r="I772" s="7" t="inlineStr">
        <is>
          <t>Animal &amp; plant composite</t>
        </is>
      </c>
      <c r="J772" s="7" t="inlineStr">
        <is>
          <t>Discretionary products</t>
        </is>
      </c>
      <c r="K772" s="7" t="inlineStr">
        <is>
          <t>A</t>
        </is>
      </c>
      <c r="L772" s="7" t="inlineStr">
        <is>
          <t>Ingredient list</t>
        </is>
      </c>
      <c r="M772" s="51" t="n">
        <v>7.7</v>
      </c>
      <c r="N772" s="7" t="inlineStr">
        <is>
          <t>Declared by the retailer</t>
        </is>
      </c>
      <c r="O772" s="54" t="n">
        <v>3.54</v>
      </c>
      <c r="P772" s="54" t="n">
        <v>4.16</v>
      </c>
      <c r="Q772" s="7" t="inlineStr">
        <is>
          <t>yes</t>
        </is>
      </c>
      <c r="R772" s="7" t="inlineStr">
        <is>
          <t>whole</t>
        </is>
      </c>
      <c r="S772" s="7" t="inlineStr">
        <is>
          <t>FG7</t>
        </is>
      </c>
      <c r="T772" s="7" t="n"/>
      <c r="U772" s="7" t="inlineStr">
        <is>
          <t>plant</t>
        </is>
      </c>
      <c r="V772" s="7" t="n"/>
      <c r="W772" s="7" t="n"/>
      <c r="X772" s="55" t="n">
        <v>1</v>
      </c>
      <c r="Y772" s="50" t="n">
        <v>0.16</v>
      </c>
      <c r="Z772" s="7" t="inlineStr">
        <is>
          <t>declared</t>
        </is>
      </c>
      <c r="AA772" s="19">
        <f>IF(ISBLANK(Welcome!D798),"",Welcome!D798)</f>
        <v/>
      </c>
      <c r="AB772" s="29">
        <f>IF(ISBLANK(Welcome!E798),"",Welcome!E798)</f>
        <v/>
      </c>
      <c r="AC772" s="29">
        <f>IF(N(AB772)&gt;0,N(AB772),N(AA772)*Y772)</f>
        <v/>
      </c>
      <c r="AD772" s="29">
        <f>IF(H772="yes",AC772,0)</f>
        <v/>
      </c>
      <c r="AE772" s="29">
        <f>AD772*N(M772)/100</f>
        <v/>
      </c>
      <c r="AF772" s="29">
        <f>AD772*N(O772)/100</f>
        <v/>
      </c>
      <c r="AG772" s="29">
        <f>AD772*N(P772)/100</f>
        <v/>
      </c>
      <c r="AH772" s="50">
        <f>IF(Q772="yes",AD772/1000,0)</f>
        <v/>
      </c>
      <c r="AI772" s="50">
        <f>IF(S772="FG2",AH772*X772,AH772)</f>
        <v/>
      </c>
    </row>
    <row r="773">
      <c r="A773" s="7" t="inlineStr">
        <is>
          <t>HM00520</t>
        </is>
      </c>
      <c r="B773" s="16" t="inlineStr">
        <is>
          <t>8712345518806</t>
        </is>
      </c>
      <c r="C773" s="7" t="inlineStr">
        <is>
          <t>SOLVANE VEGAN CHEDDAR STYLE 10SL 180G</t>
        </is>
      </c>
      <c r="D773" s="7" t="inlineStr">
        <is>
          <t>Vegan cheddar-style block, 10sl 180g</t>
        </is>
      </c>
      <c r="E773" s="7" t="inlineStr">
        <is>
          <t>Solvane</t>
        </is>
      </c>
      <c r="F773" s="7" t="inlineStr">
        <is>
          <t>Plant-Based</t>
        </is>
      </c>
      <c r="G773" s="7" t="inlineStr">
        <is>
          <t>Dairy Alternatives</t>
        </is>
      </c>
      <c r="H773" s="7" t="inlineStr">
        <is>
          <t>yes</t>
        </is>
      </c>
      <c r="I773" s="7" t="inlineStr">
        <is>
          <t>Plant-based core</t>
        </is>
      </c>
      <c r="J773" s="7" t="inlineStr">
        <is>
          <t>Plant-based dairy alternatives</t>
        </is>
      </c>
      <c r="K773" s="7" t="inlineStr">
        <is>
          <t>A</t>
        </is>
      </c>
      <c r="L773" s="7" t="inlineStr">
        <is>
          <t>All ingredients on one side</t>
        </is>
      </c>
      <c r="M773" s="51" t="n">
        <v>1</v>
      </c>
      <c r="N773" s="7" t="inlineStr">
        <is>
          <t>Declared by the retailer</t>
        </is>
      </c>
      <c r="O773" s="54" t="n">
        <v>1</v>
      </c>
      <c r="P773" s="54" t="n">
        <v>0</v>
      </c>
      <c r="Q773" s="7" t="inlineStr">
        <is>
          <t>yes</t>
        </is>
      </c>
      <c r="R773" s="7" t="inlineStr">
        <is>
          <t>whole</t>
        </is>
      </c>
      <c r="S773" s="7" t="inlineStr">
        <is>
          <t>FG2</t>
        </is>
      </c>
      <c r="T773" s="7" t="inlineStr">
        <is>
          <t>Dairy alternatives</t>
        </is>
      </c>
      <c r="U773" s="7" t="inlineStr">
        <is>
          <t>plant</t>
        </is>
      </c>
      <c r="V773" s="7" t="n"/>
      <c r="W773" s="7" t="n"/>
      <c r="X773" s="55" t="n">
        <v>1</v>
      </c>
      <c r="Y773" s="50" t="n">
        <v>0.18</v>
      </c>
      <c r="Z773" s="7" t="inlineStr">
        <is>
          <t>declared</t>
        </is>
      </c>
      <c r="AA773" s="19">
        <f>IF(ISBLANK(Welcome!D799),"",Welcome!D799)</f>
        <v/>
      </c>
      <c r="AB773" s="29">
        <f>IF(ISBLANK(Welcome!E799),"",Welcome!E799)</f>
        <v/>
      </c>
      <c r="AC773" s="29">
        <f>IF(N(AB773)&gt;0,N(AB773),N(AA773)*Y773)</f>
        <v/>
      </c>
      <c r="AD773" s="29">
        <f>IF(H773="yes",AC773,0)</f>
        <v/>
      </c>
      <c r="AE773" s="29">
        <f>AD773*N(M773)/100</f>
        <v/>
      </c>
      <c r="AF773" s="29">
        <f>AD773*N(O773)/100</f>
        <v/>
      </c>
      <c r="AG773" s="29">
        <f>AD773*N(P773)/100</f>
        <v/>
      </c>
      <c r="AH773" s="50">
        <f>IF(Q773="yes",AD773/1000,0)</f>
        <v/>
      </c>
      <c r="AI773" s="50">
        <f>IF(S773="FG2",AH773*X773,AH773)</f>
        <v/>
      </c>
    </row>
    <row r="774">
      <c r="A774" s="7" t="inlineStr">
        <is>
          <t>HM00704</t>
        </is>
      </c>
      <c r="B774" s="16" t="inlineStr">
        <is>
          <t>0012345072130</t>
        </is>
      </c>
      <c r="C774" s="7" t="inlineStr">
        <is>
          <t>HM PAPER NAPKINS 4PK</t>
        </is>
      </c>
      <c r="D774" s="7" t="inlineStr">
        <is>
          <t>Paper napkins, 4pk</t>
        </is>
      </c>
      <c r="E774" s="7" t="inlineStr">
        <is>
          <t>Harbour Market</t>
        </is>
      </c>
      <c r="F774" s="7" t="inlineStr">
        <is>
          <t>Household</t>
        </is>
      </c>
      <c r="G774" s="7" t="inlineStr">
        <is>
          <t>Household</t>
        </is>
      </c>
      <c r="H774" s="7" t="inlineStr">
        <is>
          <t>no</t>
        </is>
      </c>
      <c r="I774" s="7" t="n"/>
      <c r="J774" s="7" t="n"/>
      <c r="K774" s="7" t="n"/>
      <c r="L774" s="7" t="n"/>
      <c r="M774" s="51" t="n"/>
      <c r="N774" s="7" t="n"/>
      <c r="O774" s="54" t="n"/>
      <c r="P774" s="54" t="n"/>
      <c r="Q774" s="7" t="inlineStr">
        <is>
          <t>no</t>
        </is>
      </c>
      <c r="R774" s="7" t="n"/>
      <c r="S774" s="7" t="n"/>
      <c r="T774" s="7" t="n"/>
      <c r="U774" s="7" t="n"/>
      <c r="V774" s="7" t="n"/>
      <c r="W774" s="7" t="n"/>
      <c r="X774" s="55" t="n">
        <v>1</v>
      </c>
      <c r="Y774" s="50" t="n">
        <v>0.5</v>
      </c>
      <c r="Z774" s="7" t="inlineStr">
        <is>
          <t>declared</t>
        </is>
      </c>
      <c r="AA774" s="19">
        <f>IF(ISBLANK(Welcome!D800),"",Welcome!D800)</f>
        <v/>
      </c>
      <c r="AB774" s="29">
        <f>IF(ISBLANK(Welcome!E800),"",Welcome!E800)</f>
        <v/>
      </c>
      <c r="AC774" s="29">
        <f>IF(N(AB774)&gt;0,N(AB774),N(AA774)*Y774)</f>
        <v/>
      </c>
      <c r="AD774" s="29">
        <f>IF(H774="yes",AC774,0)</f>
        <v/>
      </c>
      <c r="AE774" s="29">
        <f>AD774*N(M774)/100</f>
        <v/>
      </c>
      <c r="AF774" s="29">
        <f>AD774*N(O774)/100</f>
        <v/>
      </c>
      <c r="AG774" s="29">
        <f>AD774*N(P774)/100</f>
        <v/>
      </c>
      <c r="AH774" s="50">
        <f>IF(Q774="yes",AD774/1000,0)</f>
        <v/>
      </c>
      <c r="AI774" s="50">
        <f>IF(S774="FG2",AH774*X774,AH774)</f>
        <v/>
      </c>
    </row>
    <row r="775">
      <c r="A775" s="7" t="inlineStr">
        <is>
          <t>HM00309</t>
        </is>
      </c>
      <c r="B775" s="16" t="inlineStr">
        <is>
          <t>8712345301415</t>
        </is>
      </c>
      <c r="C775" s="7" t="inlineStr">
        <is>
          <t>PENROCK PUMPKIN SEEDS 300G</t>
        </is>
      </c>
      <c r="D775" s="7" t="inlineStr">
        <is>
          <t>Pumpkin seeds, 300g</t>
        </is>
      </c>
      <c r="E775" s="7" t="inlineStr">
        <is>
          <t>Penrock</t>
        </is>
      </c>
      <c r="F775" s="7" t="inlineStr">
        <is>
          <t>Grocery</t>
        </is>
      </c>
      <c r="G775" s="7" t="inlineStr">
        <is>
          <t>Nuts &amp; Seeds</t>
        </is>
      </c>
      <c r="H775" s="7" t="inlineStr">
        <is>
          <t>yes</t>
        </is>
      </c>
      <c r="I775" s="7" t="inlineStr">
        <is>
          <t>Plant-based core</t>
        </is>
      </c>
      <c r="J775" s="7" t="inlineStr">
        <is>
          <t>Seeds</t>
        </is>
      </c>
      <c r="K775" s="7" t="inlineStr">
        <is>
          <t>B</t>
        </is>
      </c>
      <c r="L775" s="7" t="inlineStr">
        <is>
          <t>Follows the class</t>
        </is>
      </c>
      <c r="M775" s="51" t="n">
        <v>29.6</v>
      </c>
      <c r="N775" s="7" t="inlineStr">
        <is>
          <t>Open Food Facts and NEVO, by EAN</t>
        </is>
      </c>
      <c r="O775" s="54" t="n">
        <v>29.6</v>
      </c>
      <c r="P775" s="54" t="n">
        <v>0</v>
      </c>
      <c r="Q775" s="7" t="inlineStr">
        <is>
          <t>yes</t>
        </is>
      </c>
      <c r="R775" s="7" t="inlineStr">
        <is>
          <t>whole</t>
        </is>
      </c>
      <c r="S775" s="7" t="inlineStr">
        <is>
          <t>FG1</t>
        </is>
      </c>
      <c r="T775" s="7" t="inlineStr">
        <is>
          <t>Seeds</t>
        </is>
      </c>
      <c r="U775" s="7" t="inlineStr">
        <is>
          <t>plant</t>
        </is>
      </c>
      <c r="V775" s="7" t="n"/>
      <c r="W775" s="7" t="n"/>
      <c r="X775" s="55" t="n">
        <v>1</v>
      </c>
      <c r="Y775" s="50" t="n">
        <v>0.3</v>
      </c>
      <c r="Z775" s="7" t="inlineStr">
        <is>
          <t>declared</t>
        </is>
      </c>
      <c r="AA775" s="19">
        <f>IF(ISBLANK(Welcome!D801),"",Welcome!D801)</f>
        <v/>
      </c>
      <c r="AB775" s="29">
        <f>IF(ISBLANK(Welcome!E801),"",Welcome!E801)</f>
        <v/>
      </c>
      <c r="AC775" s="29">
        <f>IF(N(AB775)&gt;0,N(AB775),N(AA775)*Y775)</f>
        <v/>
      </c>
      <c r="AD775" s="29">
        <f>IF(H775="yes",AC775,0)</f>
        <v/>
      </c>
      <c r="AE775" s="29">
        <f>AD775*N(M775)/100</f>
        <v/>
      </c>
      <c r="AF775" s="29">
        <f>AD775*N(O775)/100</f>
        <v/>
      </c>
      <c r="AG775" s="29">
        <f>AD775*N(P775)/100</f>
        <v/>
      </c>
      <c r="AH775" s="50">
        <f>IF(Q775="yes",AD775/1000,0)</f>
        <v/>
      </c>
      <c r="AI775" s="50">
        <f>IF(S775="FG2",AH775*X775,AH775)</f>
        <v/>
      </c>
    </row>
    <row r="776">
      <c r="A776" s="7" t="inlineStr">
        <is>
          <t>HM00286</t>
        </is>
      </c>
      <c r="B776" s="16" t="inlineStr">
        <is>
          <t>5012345970639</t>
        </is>
      </c>
      <c r="C776" s="7" t="inlineStr">
        <is>
          <t>HM KING PRAWNS COOKED 150G</t>
        </is>
      </c>
      <c r="D776" s="7" t="inlineStr">
        <is>
          <t>Cooked king prawns, 150g</t>
        </is>
      </c>
      <c r="E776" s="7" t="inlineStr">
        <is>
          <t>Harbour Market</t>
        </is>
      </c>
      <c r="F776" s="7" t="inlineStr">
        <is>
          <t>Fish &amp; Seafood</t>
        </is>
      </c>
      <c r="G776" s="7" t="inlineStr">
        <is>
          <t>Shellfish</t>
        </is>
      </c>
      <c r="H776" s="7" t="inlineStr">
        <is>
          <t>yes</t>
        </is>
      </c>
      <c r="I776" s="7" t="inlineStr">
        <is>
          <t>Animal core</t>
        </is>
      </c>
      <c r="J776" s="7" t="inlineStr">
        <is>
          <t>Fish and seafood</t>
        </is>
      </c>
      <c r="K776" s="7" t="inlineStr">
        <is>
          <t>B</t>
        </is>
      </c>
      <c r="L776" s="7" t="inlineStr">
        <is>
          <t>Follows the class</t>
        </is>
      </c>
      <c r="M776" s="51" t="n">
        <v>16.4</v>
      </c>
      <c r="N776" s="7" t="inlineStr">
        <is>
          <t>Declared by the retailer</t>
        </is>
      </c>
      <c r="O776" s="54" t="n">
        <v>0</v>
      </c>
      <c r="P776" s="54" t="n">
        <v>16.4</v>
      </c>
      <c r="Q776" s="7" t="inlineStr">
        <is>
          <t>yes</t>
        </is>
      </c>
      <c r="R776" s="7" t="inlineStr">
        <is>
          <t>whole</t>
        </is>
      </c>
      <c r="S776" s="7" t="inlineStr">
        <is>
          <t>FG1</t>
        </is>
      </c>
      <c r="T776" s="7" t="inlineStr">
        <is>
          <t>Fish &amp; shellfish</t>
        </is>
      </c>
      <c r="U776" s="7" t="inlineStr">
        <is>
          <t>animal</t>
        </is>
      </c>
      <c r="V776" s="7" t="n"/>
      <c r="W776" s="7" t="n"/>
      <c r="X776" s="55" t="n">
        <v>1</v>
      </c>
      <c r="Y776" s="50" t="n">
        <v>0.15</v>
      </c>
      <c r="Z776" s="7" t="inlineStr">
        <is>
          <t>declared</t>
        </is>
      </c>
      <c r="AA776" s="19">
        <f>IF(ISBLANK(Welcome!D802),"",Welcome!D802)</f>
        <v/>
      </c>
      <c r="AB776" s="29">
        <f>IF(ISBLANK(Welcome!E802),"",Welcome!E802)</f>
        <v/>
      </c>
      <c r="AC776" s="29">
        <f>IF(N(AB776)&gt;0,N(AB776),N(AA776)*Y776)</f>
        <v/>
      </c>
      <c r="AD776" s="29">
        <f>IF(H776="yes",AC776,0)</f>
        <v/>
      </c>
      <c r="AE776" s="29">
        <f>AD776*N(M776)/100</f>
        <v/>
      </c>
      <c r="AF776" s="29">
        <f>AD776*N(O776)/100</f>
        <v/>
      </c>
      <c r="AG776" s="29">
        <f>AD776*N(P776)/100</f>
        <v/>
      </c>
      <c r="AH776" s="50">
        <f>IF(Q776="yes",AD776/1000,0)</f>
        <v/>
      </c>
      <c r="AI776" s="50">
        <f>IF(S776="FG2",AH776*X776,AH776)</f>
        <v/>
      </c>
    </row>
    <row r="777">
      <c r="A777" s="7" t="inlineStr">
        <is>
          <t>HM00763</t>
        </is>
      </c>
      <c r="B777" s="16" t="inlineStr">
        <is>
          <t>5012345633503</t>
        </is>
      </c>
      <c r="C777" s="7" t="inlineStr">
        <is>
          <t>PENROCK OAT RAISIN BARS 4X30G</t>
        </is>
      </c>
      <c r="D777" s="7" t="inlineStr">
        <is>
          <t>Oat &amp; raisin bars, 4x30g</t>
        </is>
      </c>
      <c r="E777" s="7" t="inlineStr">
        <is>
          <t>Penrock</t>
        </is>
      </c>
      <c r="F777" s="7" t="inlineStr">
        <is>
          <t>Breakfast &amp; Snacks</t>
        </is>
      </c>
      <c r="G777" s="7" t="inlineStr">
        <is>
          <t>Cereal Bars</t>
        </is>
      </c>
      <c r="H777" s="7" t="inlineStr">
        <is>
          <t>yes</t>
        </is>
      </c>
      <c r="I777" s="7" t="inlineStr">
        <is>
          <t>Plant-based non-core</t>
        </is>
      </c>
      <c r="J777" s="7" t="inlineStr">
        <is>
          <t>Discretionary products</t>
        </is>
      </c>
      <c r="K777" s="7" t="inlineStr">
        <is>
          <t>A</t>
        </is>
      </c>
      <c r="L777" s="7" t="inlineStr">
        <is>
          <t>All ingredients on one side</t>
        </is>
      </c>
      <c r="M777" s="51" t="n">
        <v>6</v>
      </c>
      <c r="N777" s="7" t="inlineStr">
        <is>
          <t>Declared by the retailer</t>
        </is>
      </c>
      <c r="O777" s="54" t="n">
        <v>6</v>
      </c>
      <c r="P777" s="54" t="n">
        <v>0</v>
      </c>
      <c r="Q777" s="7" t="inlineStr">
        <is>
          <t>yes</t>
        </is>
      </c>
      <c r="R777" s="7" t="inlineStr">
        <is>
          <t>whole</t>
        </is>
      </c>
      <c r="S777" s="7" t="inlineStr">
        <is>
          <t>FG7</t>
        </is>
      </c>
      <c r="T777" s="7" t="n"/>
      <c r="U777" s="7" t="inlineStr">
        <is>
          <t>plant</t>
        </is>
      </c>
      <c r="V777" s="7" t="n"/>
      <c r="W777" s="7" t="n"/>
      <c r="X777" s="55" t="n">
        <v>1</v>
      </c>
      <c r="Y777" s="50" t="n">
        <v>0.12</v>
      </c>
      <c r="Z777" s="7" t="inlineStr">
        <is>
          <t>declared</t>
        </is>
      </c>
      <c r="AA777" s="19">
        <f>IF(ISBLANK(Welcome!D803),"",Welcome!D803)</f>
        <v/>
      </c>
      <c r="AB777" s="29">
        <f>IF(ISBLANK(Welcome!E803),"",Welcome!E803)</f>
        <v/>
      </c>
      <c r="AC777" s="29">
        <f>IF(N(AB777)&gt;0,N(AB777),N(AA777)*Y777)</f>
        <v/>
      </c>
      <c r="AD777" s="29">
        <f>IF(H777="yes",AC777,0)</f>
        <v/>
      </c>
      <c r="AE777" s="29">
        <f>AD777*N(M777)/100</f>
        <v/>
      </c>
      <c r="AF777" s="29">
        <f>AD777*N(O777)/100</f>
        <v/>
      </c>
      <c r="AG777" s="29">
        <f>AD777*N(P777)/100</f>
        <v/>
      </c>
      <c r="AH777" s="50">
        <f>IF(Q777="yes",AD777/1000,0)</f>
        <v/>
      </c>
      <c r="AI777" s="50">
        <f>IF(S777="FG2",AH777*X777,AH777)</f>
        <v/>
      </c>
    </row>
    <row r="778">
      <c r="A778" s="7" t="inlineStr">
        <is>
          <t>HM00564</t>
        </is>
      </c>
      <c r="B778" s="16" t="inlineStr">
        <is>
          <t>8712345971250</t>
        </is>
      </c>
      <c r="C778" s="7" t="inlineStr">
        <is>
          <t>VEGAN SLICES 10SL 180G SOLVANE</t>
        </is>
      </c>
      <c r="D778" s="7" t="inlineStr">
        <is>
          <t>Vegan cheese-style slices, 10sl 180g</t>
        </is>
      </c>
      <c r="E778" s="7" t="inlineStr">
        <is>
          <t>Solvane</t>
        </is>
      </c>
      <c r="F778" s="7" t="inlineStr">
        <is>
          <t>Plant-Based</t>
        </is>
      </c>
      <c r="G778" s="7" t="inlineStr">
        <is>
          <t>Dairy Alternatives</t>
        </is>
      </c>
      <c r="H778" s="7" t="inlineStr">
        <is>
          <t>yes</t>
        </is>
      </c>
      <c r="I778" s="7" t="inlineStr">
        <is>
          <t>Plant-based core</t>
        </is>
      </c>
      <c r="J778" s="7" t="inlineStr">
        <is>
          <t>Plant-based dairy alternatives</t>
        </is>
      </c>
      <c r="K778" s="7" t="inlineStr">
        <is>
          <t>B</t>
        </is>
      </c>
      <c r="L778" s="7" t="inlineStr">
        <is>
          <t>Follows the class</t>
        </is>
      </c>
      <c r="M778" s="51" t="n">
        <v>1</v>
      </c>
      <c r="N778" s="7" t="inlineStr">
        <is>
          <t>Declared by the retailer</t>
        </is>
      </c>
      <c r="O778" s="54" t="n">
        <v>1</v>
      </c>
      <c r="P778" s="54" t="n">
        <v>0</v>
      </c>
      <c r="Q778" s="7" t="inlineStr">
        <is>
          <t>yes</t>
        </is>
      </c>
      <c r="R778" s="7" t="inlineStr">
        <is>
          <t>whole</t>
        </is>
      </c>
      <c r="S778" s="7" t="inlineStr">
        <is>
          <t>FG2</t>
        </is>
      </c>
      <c r="T778" s="7" t="inlineStr">
        <is>
          <t>Dairy alternatives</t>
        </is>
      </c>
      <c r="U778" s="7" t="inlineStr">
        <is>
          <t>plant</t>
        </is>
      </c>
      <c r="V778" s="7" t="n"/>
      <c r="W778" s="7" t="n"/>
      <c r="X778" s="55" t="n">
        <v>1</v>
      </c>
      <c r="Y778" s="50" t="n">
        <v>0.18</v>
      </c>
      <c r="Z778" s="7" t="inlineStr">
        <is>
          <t>declared</t>
        </is>
      </c>
      <c r="AA778" s="19">
        <f>IF(ISBLANK(Welcome!D804),"",Welcome!D804)</f>
        <v/>
      </c>
      <c r="AB778" s="29">
        <f>IF(ISBLANK(Welcome!E804),"",Welcome!E804)</f>
        <v/>
      </c>
      <c r="AC778" s="29">
        <f>IF(N(AB778)&gt;0,N(AB778),N(AA778)*Y778)</f>
        <v/>
      </c>
      <c r="AD778" s="29">
        <f>IF(H778="yes",AC778,0)</f>
        <v/>
      </c>
      <c r="AE778" s="29">
        <f>AD778*N(M778)/100</f>
        <v/>
      </c>
      <c r="AF778" s="29">
        <f>AD778*N(O778)/100</f>
        <v/>
      </c>
      <c r="AG778" s="29">
        <f>AD778*N(P778)/100</f>
        <v/>
      </c>
      <c r="AH778" s="50">
        <f>IF(Q778="yes",AD778/1000,0)</f>
        <v/>
      </c>
      <c r="AI778" s="50">
        <f>IF(S778="FG2",AH778*X778,AH778)</f>
        <v/>
      </c>
    </row>
    <row r="779">
      <c r="A779" s="7" t="inlineStr">
        <is>
          <t>HM00166</t>
        </is>
      </c>
      <c r="B779" s="16" t="inlineStr">
        <is>
          <t>3012345498791</t>
        </is>
      </c>
      <c r="C779" s="7" t="inlineStr">
        <is>
          <t>CHKN STOCK CUBES 12PK 120G CASTELNA</t>
        </is>
      </c>
      <c r="D779" s="7" t="inlineStr">
        <is>
          <t>Chicken stock cubes, 12pk 120g</t>
        </is>
      </c>
      <c r="E779" s="7" t="inlineStr">
        <is>
          <t>Castelna</t>
        </is>
      </c>
      <c r="F779" s="7" t="inlineStr">
        <is>
          <t>Grocery</t>
        </is>
      </c>
      <c r="G779" s="7" t="inlineStr">
        <is>
          <t>Stock &amp; Gravy</t>
        </is>
      </c>
      <c r="H779" s="7" t="inlineStr">
        <is>
          <t>yes</t>
        </is>
      </c>
      <c r="I779" s="7" t="inlineStr">
        <is>
          <t>Animal &amp; plant composite</t>
        </is>
      </c>
      <c r="J779" s="7" t="inlineStr">
        <is>
          <t>Other</t>
        </is>
      </c>
      <c r="K779" s="7" t="inlineStr">
        <is>
          <t>B</t>
        </is>
      </c>
      <c r="L779" s="7" t="inlineStr">
        <is>
          <t>50/50 convention</t>
        </is>
      </c>
      <c r="M779" s="51" t="n">
        <v>8.300000000000001</v>
      </c>
      <c r="N779" s="7" t="inlineStr">
        <is>
          <t>Open Food Facts and NEVO, by EAN</t>
        </is>
      </c>
      <c r="O779" s="54" t="n">
        <v>4.15</v>
      </c>
      <c r="P779" s="54" t="n">
        <v>4.15</v>
      </c>
      <c r="Q779" s="7" t="inlineStr">
        <is>
          <t>no</t>
        </is>
      </c>
      <c r="R779" s="7" t="n"/>
      <c r="S779" s="7" t="n"/>
      <c r="T779" s="7" t="n"/>
      <c r="U779" s="7" t="n"/>
      <c r="V779" s="7" t="n"/>
      <c r="W779" s="7" t="inlineStr">
        <is>
          <t>stock</t>
        </is>
      </c>
      <c r="X779" s="55" t="n">
        <v>1</v>
      </c>
      <c r="Y779" s="50" t="n">
        <v>0.12</v>
      </c>
      <c r="Z779" s="7" t="inlineStr">
        <is>
          <t>declared</t>
        </is>
      </c>
      <c r="AA779" s="19">
        <f>IF(ISBLANK(Welcome!D805),"",Welcome!D805)</f>
        <v/>
      </c>
      <c r="AB779" s="29">
        <f>IF(ISBLANK(Welcome!E805),"",Welcome!E805)</f>
        <v/>
      </c>
      <c r="AC779" s="29">
        <f>IF(N(AB779)&gt;0,N(AB779),N(AA779)*Y779)</f>
        <v/>
      </c>
      <c r="AD779" s="29">
        <f>IF(H779="yes",AC779,0)</f>
        <v/>
      </c>
      <c r="AE779" s="29">
        <f>AD779*N(M779)/100</f>
        <v/>
      </c>
      <c r="AF779" s="29">
        <f>AD779*N(O779)/100</f>
        <v/>
      </c>
      <c r="AG779" s="29">
        <f>AD779*N(P779)/100</f>
        <v/>
      </c>
      <c r="AH779" s="50">
        <f>IF(Q779="yes",AD779/1000,0)</f>
        <v/>
      </c>
      <c r="AI779" s="50">
        <f>IF(S779="FG2",AH779*X779,AH779)</f>
        <v/>
      </c>
    </row>
    <row r="780">
      <c r="A780" s="7" t="inlineStr">
        <is>
          <t>HM00233</t>
        </is>
      </c>
      <c r="B780" s="16" t="inlineStr">
        <is>
          <t>4012345622447</t>
        </is>
      </c>
      <c r="C780" s="7" t="inlineStr">
        <is>
          <t>RAW KING PRAWNS 150G KESTREL</t>
        </is>
      </c>
      <c r="D780" s="7" t="inlineStr">
        <is>
          <t>Raw king prawns, 150g</t>
        </is>
      </c>
      <c r="E780" s="7" t="inlineStr">
        <is>
          <t>Kestrel Bay</t>
        </is>
      </c>
      <c r="F780" s="7" t="inlineStr">
        <is>
          <t>Fish &amp; Seafood</t>
        </is>
      </c>
      <c r="G780" s="7" t="inlineStr">
        <is>
          <t>Shellfish</t>
        </is>
      </c>
      <c r="H780" s="7" t="inlineStr">
        <is>
          <t>yes</t>
        </is>
      </c>
      <c r="I780" s="7" t="inlineStr">
        <is>
          <t>Animal core</t>
        </is>
      </c>
      <c r="J780" s="7" t="inlineStr">
        <is>
          <t>Fish and seafood</t>
        </is>
      </c>
      <c r="K780" s="7" t="inlineStr">
        <is>
          <t>B</t>
        </is>
      </c>
      <c r="L780" s="7" t="inlineStr">
        <is>
          <t>Follows the class</t>
        </is>
      </c>
      <c r="M780" s="51" t="n">
        <v>17.6</v>
      </c>
      <c r="N780" s="7" t="inlineStr">
        <is>
          <t>Open Food Facts and NEVO, by EAN</t>
        </is>
      </c>
      <c r="O780" s="54" t="n">
        <v>0</v>
      </c>
      <c r="P780" s="54" t="n">
        <v>17.6</v>
      </c>
      <c r="Q780" s="7" t="inlineStr">
        <is>
          <t>yes</t>
        </is>
      </c>
      <c r="R780" s="7" t="inlineStr">
        <is>
          <t>whole</t>
        </is>
      </c>
      <c r="S780" s="7" t="inlineStr">
        <is>
          <t>FG1</t>
        </is>
      </c>
      <c r="T780" s="7" t="inlineStr">
        <is>
          <t>Fish &amp; shellfish</t>
        </is>
      </c>
      <c r="U780" s="7" t="inlineStr">
        <is>
          <t>animal</t>
        </is>
      </c>
      <c r="V780" s="7" t="n"/>
      <c r="W780" s="7" t="n"/>
      <c r="X780" s="55" t="n">
        <v>1</v>
      </c>
      <c r="Y780" s="50" t="n">
        <v>0.15</v>
      </c>
      <c r="Z780" s="7" t="inlineStr">
        <is>
          <t>declared</t>
        </is>
      </c>
      <c r="AA780" s="19">
        <f>IF(ISBLANK(Welcome!D806),"",Welcome!D806)</f>
        <v/>
      </c>
      <c r="AB780" s="29">
        <f>IF(ISBLANK(Welcome!E806),"",Welcome!E806)</f>
        <v/>
      </c>
      <c r="AC780" s="29">
        <f>IF(N(AB780)&gt;0,N(AB780),N(AA780)*Y780)</f>
        <v/>
      </c>
      <c r="AD780" s="29">
        <f>IF(H780="yes",AC780,0)</f>
        <v/>
      </c>
      <c r="AE780" s="29">
        <f>AD780*N(M780)/100</f>
        <v/>
      </c>
      <c r="AF780" s="29">
        <f>AD780*N(O780)/100</f>
        <v/>
      </c>
      <c r="AG780" s="29">
        <f>AD780*N(P780)/100</f>
        <v/>
      </c>
      <c r="AH780" s="50">
        <f>IF(Q780="yes",AD780/1000,0)</f>
        <v/>
      </c>
      <c r="AI780" s="50">
        <f>IF(S780="FG2",AH780*X780,AH780)</f>
        <v/>
      </c>
    </row>
    <row r="781">
      <c r="A781" s="7" t="inlineStr">
        <is>
          <t>HM00144</t>
        </is>
      </c>
      <c r="B781" s="16" t="inlineStr">
        <is>
          <t>5012345657288</t>
        </is>
      </c>
      <c r="C781" s="7" t="inlineStr">
        <is>
          <t>HM ALUMINIUM FOIL EACH</t>
        </is>
      </c>
      <c r="D781" s="7" t="inlineStr">
        <is>
          <t>Aluminium foil</t>
        </is>
      </c>
      <c r="E781" s="7" t="inlineStr">
        <is>
          <t>Harbour Market</t>
        </is>
      </c>
      <c r="F781" s="7" t="inlineStr">
        <is>
          <t>Household</t>
        </is>
      </c>
      <c r="G781" s="7" t="inlineStr">
        <is>
          <t>Household</t>
        </is>
      </c>
      <c r="H781" s="7" t="inlineStr">
        <is>
          <t>no</t>
        </is>
      </c>
      <c r="I781" s="7" t="n"/>
      <c r="J781" s="7" t="n"/>
      <c r="K781" s="7" t="n"/>
      <c r="L781" s="7" t="n"/>
      <c r="M781" s="51" t="n"/>
      <c r="N781" s="7" t="n"/>
      <c r="O781" s="54" t="n"/>
      <c r="P781" s="54" t="n"/>
      <c r="Q781" s="7" t="inlineStr">
        <is>
          <t>no</t>
        </is>
      </c>
      <c r="R781" s="7" t="n"/>
      <c r="S781" s="7" t="n"/>
      <c r="T781" s="7" t="n"/>
      <c r="U781" s="7" t="n"/>
      <c r="V781" s="7" t="n"/>
      <c r="W781" s="7" t="n"/>
      <c r="X781" s="55" t="n">
        <v>1</v>
      </c>
      <c r="Y781" s="50" t="n">
        <v>0.2</v>
      </c>
      <c r="Z781" s="7" t="inlineStr">
        <is>
          <t>declared</t>
        </is>
      </c>
      <c r="AA781" s="19">
        <f>IF(ISBLANK(Welcome!D807),"",Welcome!D807)</f>
        <v/>
      </c>
      <c r="AB781" s="29">
        <f>IF(ISBLANK(Welcome!E807),"",Welcome!E807)</f>
        <v/>
      </c>
      <c r="AC781" s="29">
        <f>IF(N(AB781)&gt;0,N(AB781),N(AA781)*Y781)</f>
        <v/>
      </c>
      <c r="AD781" s="29">
        <f>IF(H781="yes",AC781,0)</f>
        <v/>
      </c>
      <c r="AE781" s="29">
        <f>AD781*N(M781)/100</f>
        <v/>
      </c>
      <c r="AF781" s="29">
        <f>AD781*N(O781)/100</f>
        <v/>
      </c>
      <c r="AG781" s="29">
        <f>AD781*N(P781)/100</f>
        <v/>
      </c>
      <c r="AH781" s="50">
        <f>IF(Q781="yes",AD781/1000,0)</f>
        <v/>
      </c>
      <c r="AI781" s="50">
        <f>IF(S781="FG2",AH781*X781,AH781)</f>
        <v/>
      </c>
    </row>
    <row r="782">
      <c r="A782" s="7" t="inlineStr">
        <is>
          <t>HM00487</t>
        </is>
      </c>
      <c r="B782" s="16" t="inlineStr">
        <is>
          <t>5012345589305</t>
        </is>
      </c>
      <c r="C782" s="7" t="inlineStr">
        <is>
          <t>HM PORK LIVER PATE 170G</t>
        </is>
      </c>
      <c r="D782" s="7" t="inlineStr">
        <is>
          <t>Pork liver pâté, 170g</t>
        </is>
      </c>
      <c r="E782" s="7" t="inlineStr">
        <is>
          <t>Harbour Market</t>
        </is>
      </c>
      <c r="F782" s="7" t="inlineStr">
        <is>
          <t>Deli</t>
        </is>
      </c>
      <c r="G782" s="7" t="inlineStr">
        <is>
          <t>Pâté</t>
        </is>
      </c>
      <c r="H782" s="7" t="inlineStr">
        <is>
          <t>yes</t>
        </is>
      </c>
      <c r="I782" s="7" t="inlineStr">
        <is>
          <t>Animal core</t>
        </is>
      </c>
      <c r="J782" s="7" t="inlineStr">
        <is>
          <t>Dishes and processed products</t>
        </is>
      </c>
      <c r="K782" s="7" t="inlineStr">
        <is>
          <t>B</t>
        </is>
      </c>
      <c r="L782" s="7" t="inlineStr">
        <is>
          <t>Follows the class</t>
        </is>
      </c>
      <c r="M782" s="51" t="n">
        <v>12.6</v>
      </c>
      <c r="N782" s="7" t="inlineStr">
        <is>
          <t>Open Food Facts and NEVO, by EAN</t>
        </is>
      </c>
      <c r="O782" s="54" t="n">
        <v>0</v>
      </c>
      <c r="P782" s="54" t="n">
        <v>12.6</v>
      </c>
      <c r="Q782" s="7" t="inlineStr">
        <is>
          <t>yes</t>
        </is>
      </c>
      <c r="R782" s="7" t="inlineStr">
        <is>
          <t>whole</t>
        </is>
      </c>
      <c r="S782" s="7" t="inlineStr">
        <is>
          <t>FG1</t>
        </is>
      </c>
      <c r="T782" s="7" t="inlineStr">
        <is>
          <t>Red meat</t>
        </is>
      </c>
      <c r="U782" s="7" t="inlineStr">
        <is>
          <t>animal</t>
        </is>
      </c>
      <c r="V782" s="7" t="n"/>
      <c r="W782" s="7" t="n"/>
      <c r="X782" s="55" t="n">
        <v>1</v>
      </c>
      <c r="Y782" s="50" t="n">
        <v>0.17</v>
      </c>
      <c r="Z782" s="7" t="inlineStr">
        <is>
          <t>label</t>
        </is>
      </c>
      <c r="AA782" s="19">
        <f>IF(ISBLANK(Welcome!D808),"",Welcome!D808)</f>
        <v/>
      </c>
      <c r="AB782" s="29">
        <f>IF(ISBLANK(Welcome!E808),"",Welcome!E808)</f>
        <v/>
      </c>
      <c r="AC782" s="29">
        <f>IF(N(AB782)&gt;0,N(AB782),N(AA782)*Y782)</f>
        <v/>
      </c>
      <c r="AD782" s="29">
        <f>IF(H782="yes",AC782,0)</f>
        <v/>
      </c>
      <c r="AE782" s="29">
        <f>AD782*N(M782)/100</f>
        <v/>
      </c>
      <c r="AF782" s="29">
        <f>AD782*N(O782)/100</f>
        <v/>
      </c>
      <c r="AG782" s="29">
        <f>AD782*N(P782)/100</f>
        <v/>
      </c>
      <c r="AH782" s="50">
        <f>IF(Q782="yes",AD782/1000,0)</f>
        <v/>
      </c>
      <c r="AI782" s="50">
        <f>IF(S782="FG2",AH782*X782,AH782)</f>
        <v/>
      </c>
    </row>
    <row r="783">
      <c r="A783" s="7" t="inlineStr">
        <is>
          <t>HM00343</t>
        </is>
      </c>
      <c r="B783" s="16" t="inlineStr">
        <is>
          <t>5012345421032</t>
        </is>
      </c>
      <c r="C783" s="7" t="inlineStr">
        <is>
          <t>VEG STOCK CUBES 8PK 80G CASTELNA</t>
        </is>
      </c>
      <c r="D783" s="7" t="inlineStr">
        <is>
          <t>Vegetable stock cubes, 8pk 80g</t>
        </is>
      </c>
      <c r="E783" s="7" t="inlineStr">
        <is>
          <t>Castelna</t>
        </is>
      </c>
      <c r="F783" s="7" t="inlineStr">
        <is>
          <t>Grocery</t>
        </is>
      </c>
      <c r="G783" s="7" t="inlineStr">
        <is>
          <t>Stock &amp; Gravy</t>
        </is>
      </c>
      <c r="H783" s="7" t="inlineStr">
        <is>
          <t>yes</t>
        </is>
      </c>
      <c r="I783" s="7" t="inlineStr">
        <is>
          <t>Plant-based non-core</t>
        </is>
      </c>
      <c r="J783" s="7" t="inlineStr">
        <is>
          <t>Outside the WWF scope</t>
        </is>
      </c>
      <c r="K783" s="7" t="inlineStr">
        <is>
          <t>A</t>
        </is>
      </c>
      <c r="L783" s="7" t="inlineStr">
        <is>
          <t>All ingredients on one side</t>
        </is>
      </c>
      <c r="M783" s="51" t="n">
        <v>7.6</v>
      </c>
      <c r="N783" s="7" t="inlineStr">
        <is>
          <t>Declared by the retailer</t>
        </is>
      </c>
      <c r="O783" s="54" t="n">
        <v>7.6</v>
      </c>
      <c r="P783" s="54" t="n">
        <v>0</v>
      </c>
      <c r="Q783" s="7" t="inlineStr">
        <is>
          <t>no</t>
        </is>
      </c>
      <c r="R783" s="7" t="n"/>
      <c r="S783" s="7" t="n"/>
      <c r="T783" s="7" t="n"/>
      <c r="U783" s="7" t="n"/>
      <c r="V783" s="7" t="n"/>
      <c r="W783" s="7" t="inlineStr">
        <is>
          <t>stock</t>
        </is>
      </c>
      <c r="X783" s="55" t="n">
        <v>1</v>
      </c>
      <c r="Y783" s="50" t="n">
        <v>0.08</v>
      </c>
      <c r="Z783" s="7" t="inlineStr">
        <is>
          <t>label</t>
        </is>
      </c>
      <c r="AA783" s="19">
        <f>IF(ISBLANK(Welcome!D809),"",Welcome!D809)</f>
        <v/>
      </c>
      <c r="AB783" s="29">
        <f>IF(ISBLANK(Welcome!E809),"",Welcome!E809)</f>
        <v/>
      </c>
      <c r="AC783" s="29">
        <f>IF(N(AB783)&gt;0,N(AB783),N(AA783)*Y783)</f>
        <v/>
      </c>
      <c r="AD783" s="29">
        <f>IF(H783="yes",AC783,0)</f>
        <v/>
      </c>
      <c r="AE783" s="29">
        <f>AD783*N(M783)/100</f>
        <v/>
      </c>
      <c r="AF783" s="29">
        <f>AD783*N(O783)/100</f>
        <v/>
      </c>
      <c r="AG783" s="29">
        <f>AD783*N(P783)/100</f>
        <v/>
      </c>
      <c r="AH783" s="50">
        <f>IF(Q783="yes",AD783/1000,0)</f>
        <v/>
      </c>
      <c r="AI783" s="50">
        <f>IF(S783="FG2",AH783*X783,AH783)</f>
        <v/>
      </c>
    </row>
    <row r="784">
      <c r="A784" s="7" t="inlineStr">
        <is>
          <t>HM00066</t>
        </is>
      </c>
      <c r="B784" s="16" t="inlineStr">
        <is>
          <t>8712345431464</t>
        </is>
      </c>
      <c r="C784" s="7" t="inlineStr">
        <is>
          <t>HM CHKN STOCK CUBES 8PK 80G</t>
        </is>
      </c>
      <c r="D784" s="7" t="inlineStr">
        <is>
          <t>Chicken stock cubes, 8pk 80g</t>
        </is>
      </c>
      <c r="E784" s="7" t="inlineStr">
        <is>
          <t>Harbour Market</t>
        </is>
      </c>
      <c r="F784" s="7" t="inlineStr">
        <is>
          <t>Grocery</t>
        </is>
      </c>
      <c r="G784" s="7" t="inlineStr">
        <is>
          <t>Stock &amp; Gravy</t>
        </is>
      </c>
      <c r="H784" s="7" t="inlineStr">
        <is>
          <t>yes</t>
        </is>
      </c>
      <c r="I784" s="7" t="inlineStr">
        <is>
          <t>Animal &amp; plant composite</t>
        </is>
      </c>
      <c r="J784" s="7" t="inlineStr">
        <is>
          <t>Other</t>
        </is>
      </c>
      <c r="K784" s="7" t="inlineStr">
        <is>
          <t>B</t>
        </is>
      </c>
      <c r="L784" s="7" t="inlineStr">
        <is>
          <t>50/50 convention</t>
        </is>
      </c>
      <c r="M784" s="51" t="n">
        <v>8.199999999999999</v>
      </c>
      <c r="N784" s="7" t="inlineStr">
        <is>
          <t>National food table (CIQUAL in France)</t>
        </is>
      </c>
      <c r="O784" s="54" t="n">
        <v>4.1</v>
      </c>
      <c r="P784" s="54" t="n">
        <v>4.1</v>
      </c>
      <c r="Q784" s="7" t="inlineStr">
        <is>
          <t>no</t>
        </is>
      </c>
      <c r="R784" s="7" t="n"/>
      <c r="S784" s="7" t="n"/>
      <c r="T784" s="7" t="n"/>
      <c r="U784" s="7" t="n"/>
      <c r="V784" s="7" t="n"/>
      <c r="W784" s="7" t="inlineStr">
        <is>
          <t>stock</t>
        </is>
      </c>
      <c r="X784" s="55" t="n">
        <v>1</v>
      </c>
      <c r="Y784" s="50" t="n">
        <v>0.08</v>
      </c>
      <c r="Z784" s="7" t="inlineStr">
        <is>
          <t>declared</t>
        </is>
      </c>
      <c r="AA784" s="19">
        <f>IF(ISBLANK(Welcome!D810),"",Welcome!D810)</f>
        <v/>
      </c>
      <c r="AB784" s="29">
        <f>IF(ISBLANK(Welcome!E810),"",Welcome!E810)</f>
        <v/>
      </c>
      <c r="AC784" s="29">
        <f>IF(N(AB784)&gt;0,N(AB784),N(AA784)*Y784)</f>
        <v/>
      </c>
      <c r="AD784" s="29">
        <f>IF(H784="yes",AC784,0)</f>
        <v/>
      </c>
      <c r="AE784" s="29">
        <f>AD784*N(M784)/100</f>
        <v/>
      </c>
      <c r="AF784" s="29">
        <f>AD784*N(O784)/100</f>
        <v/>
      </c>
      <c r="AG784" s="29">
        <f>AD784*N(P784)/100</f>
        <v/>
      </c>
      <c r="AH784" s="50">
        <f>IF(Q784="yes",AD784/1000,0)</f>
        <v/>
      </c>
      <c r="AI784" s="50">
        <f>IF(S784="FG2",AH784*X784,AH784)</f>
        <v/>
      </c>
    </row>
    <row r="785">
      <c r="A785" s="7" t="inlineStr">
        <is>
          <t>HM00112</t>
        </is>
      </c>
      <c r="B785" s="16" t="inlineStr">
        <is>
          <t>4012345204438</t>
        </is>
      </c>
      <c r="C785" s="7" t="inlineStr">
        <is>
          <t>SOFT CHEESE GARLIC HERB 150G ALDERWICK</t>
        </is>
      </c>
      <c r="D785" s="7" t="inlineStr">
        <is>
          <t>Soft cheese with garlic &amp; herbs, 150g</t>
        </is>
      </c>
      <c r="E785" s="7" t="inlineStr">
        <is>
          <t>Alderwick</t>
        </is>
      </c>
      <c r="F785" s="7" t="inlineStr">
        <is>
          <t>Cheese</t>
        </is>
      </c>
      <c r="G785" s="7" t="inlineStr">
        <is>
          <t>Fresh Cheese</t>
        </is>
      </c>
      <c r="H785" s="7" t="inlineStr">
        <is>
          <t>yes</t>
        </is>
      </c>
      <c r="I785" s="7" t="inlineStr">
        <is>
          <t>Animal core</t>
        </is>
      </c>
      <c r="J785" s="7" t="inlineStr">
        <is>
          <t>Cheese</t>
        </is>
      </c>
      <c r="K785" s="7" t="inlineStr">
        <is>
          <t>B</t>
        </is>
      </c>
      <c r="L785" s="7" t="inlineStr">
        <is>
          <t>First ingredient</t>
        </is>
      </c>
      <c r="M785" s="51" t="n">
        <v>6.2</v>
      </c>
      <c r="N785" s="7" t="inlineStr">
        <is>
          <t>Declared by the retailer</t>
        </is>
      </c>
      <c r="O785" s="54" t="n">
        <v>0</v>
      </c>
      <c r="P785" s="54" t="n">
        <v>6.2</v>
      </c>
      <c r="Q785" s="7" t="inlineStr">
        <is>
          <t>yes</t>
        </is>
      </c>
      <c r="R785" s="7" t="inlineStr">
        <is>
          <t>whole</t>
        </is>
      </c>
      <c r="S785" s="7" t="inlineStr">
        <is>
          <t>FG2</t>
        </is>
      </c>
      <c r="T785" s="7" t="inlineStr">
        <is>
          <t>Dairy</t>
        </is>
      </c>
      <c r="U785" s="7" t="inlineStr">
        <is>
          <t>animal</t>
        </is>
      </c>
      <c r="V785" s="7" t="n"/>
      <c r="W785" s="7" t="n"/>
      <c r="X785" s="55" t="n">
        <v>1</v>
      </c>
      <c r="Y785" s="50" t="n">
        <v>0.15</v>
      </c>
      <c r="Z785" s="7" t="inlineStr">
        <is>
          <t>declared</t>
        </is>
      </c>
      <c r="AA785" s="19">
        <f>IF(ISBLANK(Welcome!D811),"",Welcome!D811)</f>
        <v/>
      </c>
      <c r="AB785" s="29">
        <f>IF(ISBLANK(Welcome!E811),"",Welcome!E811)</f>
        <v/>
      </c>
      <c r="AC785" s="29">
        <f>IF(N(AB785)&gt;0,N(AB785),N(AA785)*Y785)</f>
        <v/>
      </c>
      <c r="AD785" s="29">
        <f>IF(H785="yes",AC785,0)</f>
        <v/>
      </c>
      <c r="AE785" s="29">
        <f>AD785*N(M785)/100</f>
        <v/>
      </c>
      <c r="AF785" s="29">
        <f>AD785*N(O785)/100</f>
        <v/>
      </c>
      <c r="AG785" s="29">
        <f>AD785*N(P785)/100</f>
        <v/>
      </c>
      <c r="AH785" s="50">
        <f>IF(Q785="yes",AD785/1000,0)</f>
        <v/>
      </c>
      <c r="AI785" s="50">
        <f>IF(S785="FG2",AH785*X785,AH785)</f>
        <v/>
      </c>
    </row>
    <row r="786">
      <c r="A786" s="7" t="inlineStr">
        <is>
          <t>HM00441</t>
        </is>
      </c>
      <c r="B786" s="16" t="inlineStr">
        <is>
          <t>0712345097736</t>
        </is>
      </c>
      <c r="C786" s="7" t="inlineStr">
        <is>
          <t>DARK CHOC 70% 100G MARLOWE</t>
        </is>
      </c>
      <c r="D786" s="7" t="inlineStr">
        <is>
          <t>70% dark chocolate, 100g</t>
        </is>
      </c>
      <c r="E786" s="7" t="inlineStr">
        <is>
          <t>Marlowe</t>
        </is>
      </c>
      <c r="F786" s="7" t="inlineStr">
        <is>
          <t>Breakfast &amp; Snacks</t>
        </is>
      </c>
      <c r="G786" s="7" t="inlineStr">
        <is>
          <t>Chocolate</t>
        </is>
      </c>
      <c r="H786" s="7" t="inlineStr">
        <is>
          <t>yes</t>
        </is>
      </c>
      <c r="I786" s="7" t="inlineStr">
        <is>
          <t>Plant-based non-core</t>
        </is>
      </c>
      <c r="J786" s="7" t="inlineStr">
        <is>
          <t>Discretionary products</t>
        </is>
      </c>
      <c r="K786" s="7" t="inlineStr">
        <is>
          <t>A</t>
        </is>
      </c>
      <c r="L786" s="7" t="inlineStr">
        <is>
          <t>All ingredients on one side</t>
        </is>
      </c>
      <c r="M786" s="51" t="n">
        <v>7.6</v>
      </c>
      <c r="N786" s="7" t="inlineStr">
        <is>
          <t>National food table (CIQUAL in France)</t>
        </is>
      </c>
      <c r="O786" s="54" t="n">
        <v>7.6</v>
      </c>
      <c r="P786" s="54" t="n">
        <v>0</v>
      </c>
      <c r="Q786" s="7" t="inlineStr">
        <is>
          <t>yes</t>
        </is>
      </c>
      <c r="R786" s="7" t="inlineStr">
        <is>
          <t>whole</t>
        </is>
      </c>
      <c r="S786" s="7" t="inlineStr">
        <is>
          <t>FG7</t>
        </is>
      </c>
      <c r="T786" s="7" t="n"/>
      <c r="U786" s="7" t="inlineStr">
        <is>
          <t>plant</t>
        </is>
      </c>
      <c r="V786" s="7" t="n"/>
      <c r="W786" s="7" t="n"/>
      <c r="X786" s="55" t="n">
        <v>1</v>
      </c>
      <c r="Y786" s="50" t="n">
        <v>0.1</v>
      </c>
      <c r="Z786" s="7" t="inlineStr">
        <is>
          <t>declared</t>
        </is>
      </c>
      <c r="AA786" s="19">
        <f>IF(ISBLANK(Welcome!D812),"",Welcome!D812)</f>
        <v/>
      </c>
      <c r="AB786" s="29">
        <f>IF(ISBLANK(Welcome!E812),"",Welcome!E812)</f>
        <v/>
      </c>
      <c r="AC786" s="29">
        <f>IF(N(AB786)&gt;0,N(AB786),N(AA786)*Y786)</f>
        <v/>
      </c>
      <c r="AD786" s="29">
        <f>IF(H786="yes",AC786,0)</f>
        <v/>
      </c>
      <c r="AE786" s="29">
        <f>AD786*N(M786)/100</f>
        <v/>
      </c>
      <c r="AF786" s="29">
        <f>AD786*N(O786)/100</f>
        <v/>
      </c>
      <c r="AG786" s="29">
        <f>AD786*N(P786)/100</f>
        <v/>
      </c>
      <c r="AH786" s="50">
        <f>IF(Q786="yes",AD786/1000,0)</f>
        <v/>
      </c>
      <c r="AI786" s="50">
        <f>IF(S786="FG2",AH786*X786,AH786)</f>
        <v/>
      </c>
    </row>
    <row r="787">
      <c r="A787" s="7" t="inlineStr">
        <is>
          <t>HM00101</t>
        </is>
      </c>
      <c r="B787" s="16" t="inlineStr">
        <is>
          <t>3012345039857</t>
        </is>
      </c>
      <c r="C787" s="7" t="inlineStr">
        <is>
          <t>HM SMKD SALMON TRIM 200G</t>
        </is>
      </c>
      <c r="D787" s="7" t="inlineStr">
        <is>
          <t>Smoked salmon trimmings, 200g</t>
        </is>
      </c>
      <c r="E787" s="7" t="inlineStr">
        <is>
          <t>Harbour Market</t>
        </is>
      </c>
      <c r="F787" s="7" t="inlineStr">
        <is>
          <t>Fish &amp; Seafood</t>
        </is>
      </c>
      <c r="G787" s="7" t="inlineStr">
        <is>
          <t>Smoked Fish</t>
        </is>
      </c>
      <c r="H787" s="7" t="inlineStr">
        <is>
          <t>yes</t>
        </is>
      </c>
      <c r="I787" s="7" t="inlineStr">
        <is>
          <t>Animal core</t>
        </is>
      </c>
      <c r="J787" s="7" t="inlineStr">
        <is>
          <t>Fish and seafood</t>
        </is>
      </c>
      <c r="K787" s="7" t="inlineStr">
        <is>
          <t>A</t>
        </is>
      </c>
      <c r="L787" s="7" t="inlineStr">
        <is>
          <t>All ingredients on one side</t>
        </is>
      </c>
      <c r="M787" s="51" t="n">
        <v>23</v>
      </c>
      <c r="N787" s="7" t="inlineStr">
        <is>
          <t>Declared by the retailer</t>
        </is>
      </c>
      <c r="O787" s="54" t="n">
        <v>0</v>
      </c>
      <c r="P787" s="54" t="n">
        <v>23</v>
      </c>
      <c r="Q787" s="7" t="inlineStr">
        <is>
          <t>yes</t>
        </is>
      </c>
      <c r="R787" s="7" t="inlineStr">
        <is>
          <t>whole</t>
        </is>
      </c>
      <c r="S787" s="7" t="inlineStr">
        <is>
          <t>FG1</t>
        </is>
      </c>
      <c r="T787" s="7" t="inlineStr">
        <is>
          <t>Fish &amp; shellfish</t>
        </is>
      </c>
      <c r="U787" s="7" t="inlineStr">
        <is>
          <t>animal</t>
        </is>
      </c>
      <c r="V787" s="7" t="n"/>
      <c r="W787" s="7" t="n"/>
      <c r="X787" s="55" t="n">
        <v>1</v>
      </c>
      <c r="Y787" s="50" t="n">
        <v>0.2</v>
      </c>
      <c r="Z787" s="7" t="inlineStr">
        <is>
          <t>declared</t>
        </is>
      </c>
      <c r="AA787" s="19">
        <f>IF(ISBLANK(Welcome!D813),"",Welcome!D813)</f>
        <v/>
      </c>
      <c r="AB787" s="29">
        <f>IF(ISBLANK(Welcome!E813),"",Welcome!E813)</f>
        <v/>
      </c>
      <c r="AC787" s="29">
        <f>IF(N(AB787)&gt;0,N(AB787),N(AA787)*Y787)</f>
        <v/>
      </c>
      <c r="AD787" s="29">
        <f>IF(H787="yes",AC787,0)</f>
        <v/>
      </c>
      <c r="AE787" s="29">
        <f>AD787*N(M787)/100</f>
        <v/>
      </c>
      <c r="AF787" s="29">
        <f>AD787*N(O787)/100</f>
        <v/>
      </c>
      <c r="AG787" s="29">
        <f>AD787*N(P787)/100</f>
        <v/>
      </c>
      <c r="AH787" s="50">
        <f>IF(Q787="yes",AD787/1000,0)</f>
        <v/>
      </c>
      <c r="AI787" s="50">
        <f>IF(S787="FG2",AH787*X787,AH787)</f>
        <v/>
      </c>
    </row>
    <row r="788">
      <c r="A788" s="7" t="inlineStr">
        <is>
          <t>HM00776</t>
        </is>
      </c>
      <c r="B788" s="16" t="inlineStr">
        <is>
          <t>5012345786554</t>
        </is>
      </c>
      <c r="C788" s="7" t="inlineStr">
        <is>
          <t>HM BIRTHDAY CANDLES EACH</t>
        </is>
      </c>
      <c r="D788" s="7" t="inlineStr">
        <is>
          <t>Birthday candles</t>
        </is>
      </c>
      <c r="E788" s="7" t="inlineStr">
        <is>
          <t>Harbour Market</t>
        </is>
      </c>
      <c r="F788" s="7" t="inlineStr">
        <is>
          <t>Household</t>
        </is>
      </c>
      <c r="G788" s="7" t="inlineStr">
        <is>
          <t>Household</t>
        </is>
      </c>
      <c r="H788" s="7" t="inlineStr">
        <is>
          <t>no</t>
        </is>
      </c>
      <c r="I788" s="7" t="n"/>
      <c r="J788" s="7" t="n"/>
      <c r="K788" s="7" t="n"/>
      <c r="L788" s="7" t="n"/>
      <c r="M788" s="51" t="n"/>
      <c r="N788" s="7" t="n"/>
      <c r="O788" s="54" t="n"/>
      <c r="P788" s="54" t="n"/>
      <c r="Q788" s="7" t="inlineStr">
        <is>
          <t>no</t>
        </is>
      </c>
      <c r="R788" s="7" t="n"/>
      <c r="S788" s="7" t="n"/>
      <c r="T788" s="7" t="n"/>
      <c r="U788" s="7" t="n"/>
      <c r="V788" s="7" t="n"/>
      <c r="W788" s="7" t="n"/>
      <c r="X788" s="55" t="n">
        <v>1</v>
      </c>
      <c r="Y788" s="50" t="n">
        <v>0.2</v>
      </c>
      <c r="Z788" s="7" t="inlineStr">
        <is>
          <t>declared</t>
        </is>
      </c>
      <c r="AA788" s="19">
        <f>IF(ISBLANK(Welcome!D814),"",Welcome!D814)</f>
        <v/>
      </c>
      <c r="AB788" s="29">
        <f>IF(ISBLANK(Welcome!E814),"",Welcome!E814)</f>
        <v/>
      </c>
      <c r="AC788" s="29">
        <f>IF(N(AB788)&gt;0,N(AB788),N(AA788)*Y788)</f>
        <v/>
      </c>
      <c r="AD788" s="29">
        <f>IF(H788="yes",AC788,0)</f>
        <v/>
      </c>
      <c r="AE788" s="29">
        <f>AD788*N(M788)/100</f>
        <v/>
      </c>
      <c r="AF788" s="29">
        <f>AD788*N(O788)/100</f>
        <v/>
      </c>
      <c r="AG788" s="29">
        <f>AD788*N(P788)/100</f>
        <v/>
      </c>
      <c r="AH788" s="50">
        <f>IF(Q788="yes",AD788/1000,0)</f>
        <v/>
      </c>
      <c r="AI788" s="50">
        <f>IF(S788="FG2",AH788*X788,AH788)</f>
        <v/>
      </c>
    </row>
    <row r="789">
      <c r="A789" s="7" t="inlineStr">
        <is>
          <t>HM00050</t>
        </is>
      </c>
      <c r="B789" s="16" t="inlineStr">
        <is>
          <t>5012345243795</t>
        </is>
      </c>
      <c r="C789" s="7" t="inlineStr">
        <is>
          <t>PENROCK CHIA SEEDS 300G</t>
        </is>
      </c>
      <c r="D789" s="7" t="inlineStr">
        <is>
          <t>Chia seeds, 300g</t>
        </is>
      </c>
      <c r="E789" s="7" t="inlineStr">
        <is>
          <t>Penrock</t>
        </is>
      </c>
      <c r="F789" s="7" t="inlineStr">
        <is>
          <t>Grocery</t>
        </is>
      </c>
      <c r="G789" s="7" t="inlineStr">
        <is>
          <t>Nuts &amp; Seeds</t>
        </is>
      </c>
      <c r="H789" s="7" t="inlineStr">
        <is>
          <t>yes</t>
        </is>
      </c>
      <c r="I789" s="7" t="inlineStr">
        <is>
          <t>Plant-based core</t>
        </is>
      </c>
      <c r="J789" s="7" t="inlineStr">
        <is>
          <t>Seeds</t>
        </is>
      </c>
      <c r="K789" s="7" t="inlineStr">
        <is>
          <t>A</t>
        </is>
      </c>
      <c r="L789" s="7" t="inlineStr">
        <is>
          <t>All ingredients on one side</t>
        </is>
      </c>
      <c r="M789" s="51" t="n">
        <v>17.8</v>
      </c>
      <c r="N789" s="7" t="inlineStr">
        <is>
          <t>Declared by the retailer</t>
        </is>
      </c>
      <c r="O789" s="54" t="n">
        <v>17.8</v>
      </c>
      <c r="P789" s="54" t="n">
        <v>0</v>
      </c>
      <c r="Q789" s="7" t="inlineStr">
        <is>
          <t>yes</t>
        </is>
      </c>
      <c r="R789" s="7" t="inlineStr">
        <is>
          <t>whole</t>
        </is>
      </c>
      <c r="S789" s="7" t="inlineStr">
        <is>
          <t>FG1</t>
        </is>
      </c>
      <c r="T789" s="7" t="inlineStr">
        <is>
          <t>Seeds</t>
        </is>
      </c>
      <c r="U789" s="7" t="inlineStr">
        <is>
          <t>plant</t>
        </is>
      </c>
      <c r="V789" s="7" t="n"/>
      <c r="W789" s="7" t="n"/>
      <c r="X789" s="55" t="n">
        <v>1</v>
      </c>
      <c r="Y789" s="50" t="n">
        <v>0.3</v>
      </c>
      <c r="Z789" s="7" t="inlineStr">
        <is>
          <t>label</t>
        </is>
      </c>
      <c r="AA789" s="19">
        <f>IF(ISBLANK(Welcome!D815),"",Welcome!D815)</f>
        <v/>
      </c>
      <c r="AB789" s="29">
        <f>IF(ISBLANK(Welcome!E815),"",Welcome!E815)</f>
        <v/>
      </c>
      <c r="AC789" s="29">
        <f>IF(N(AB789)&gt;0,N(AB789),N(AA789)*Y789)</f>
        <v/>
      </c>
      <c r="AD789" s="29">
        <f>IF(H789="yes",AC789,0)</f>
        <v/>
      </c>
      <c r="AE789" s="29">
        <f>AD789*N(M789)/100</f>
        <v/>
      </c>
      <c r="AF789" s="29">
        <f>AD789*N(O789)/100</f>
        <v/>
      </c>
      <c r="AG789" s="29">
        <f>AD789*N(P789)/100</f>
        <v/>
      </c>
      <c r="AH789" s="50">
        <f>IF(Q789="yes",AD789/1000,0)</f>
        <v/>
      </c>
      <c r="AI789" s="50">
        <f>IF(S789="FG2",AH789*X789,AH789)</f>
        <v/>
      </c>
    </row>
    <row r="790">
      <c r="A790" s="7" t="inlineStr">
        <is>
          <t>HM00244</t>
        </is>
      </c>
      <c r="B790" s="16" t="inlineStr">
        <is>
          <t>3012345819282</t>
        </is>
      </c>
      <c r="C790" s="7" t="inlineStr">
        <is>
          <t>HM VEGAN SLICES 200G</t>
        </is>
      </c>
      <c r="D790" s="7" t="inlineStr">
        <is>
          <t>Vegan cheese-style slices, 200g</t>
        </is>
      </c>
      <c r="E790" s="7" t="inlineStr">
        <is>
          <t>Harbour Market</t>
        </is>
      </c>
      <c r="F790" s="7" t="inlineStr">
        <is>
          <t>Plant-Based</t>
        </is>
      </c>
      <c r="G790" s="7" t="inlineStr">
        <is>
          <t>Dairy Alternatives</t>
        </is>
      </c>
      <c r="H790" s="7" t="inlineStr">
        <is>
          <t>yes</t>
        </is>
      </c>
      <c r="I790" s="7" t="inlineStr">
        <is>
          <t>Plant-based core</t>
        </is>
      </c>
      <c r="J790" s="7" t="inlineStr">
        <is>
          <t>Plant-based dairy alternatives</t>
        </is>
      </c>
      <c r="K790" s="7" t="inlineStr">
        <is>
          <t>A</t>
        </is>
      </c>
      <c r="L790" s="7" t="inlineStr">
        <is>
          <t>All ingredients on one side</t>
        </is>
      </c>
      <c r="M790" s="51" t="n">
        <v>1</v>
      </c>
      <c r="N790" s="7" t="inlineStr">
        <is>
          <t>Declared by the retailer</t>
        </is>
      </c>
      <c r="O790" s="54" t="n">
        <v>1</v>
      </c>
      <c r="P790" s="54" t="n">
        <v>0</v>
      </c>
      <c r="Q790" s="7" t="inlineStr">
        <is>
          <t>yes</t>
        </is>
      </c>
      <c r="R790" s="7" t="inlineStr">
        <is>
          <t>whole</t>
        </is>
      </c>
      <c r="S790" s="7" t="inlineStr">
        <is>
          <t>FG2</t>
        </is>
      </c>
      <c r="T790" s="7" t="inlineStr">
        <is>
          <t>Dairy alternatives</t>
        </is>
      </c>
      <c r="U790" s="7" t="inlineStr">
        <is>
          <t>plant</t>
        </is>
      </c>
      <c r="V790" s="7" t="n"/>
      <c r="W790" s="7" t="n"/>
      <c r="X790" s="55" t="n">
        <v>1</v>
      </c>
      <c r="Y790" s="50" t="n">
        <v>0.2</v>
      </c>
      <c r="Z790" s="7" t="inlineStr">
        <is>
          <t>declared</t>
        </is>
      </c>
      <c r="AA790" s="19">
        <f>IF(ISBLANK(Welcome!D816),"",Welcome!D816)</f>
        <v/>
      </c>
      <c r="AB790" s="29">
        <f>IF(ISBLANK(Welcome!E816),"",Welcome!E816)</f>
        <v/>
      </c>
      <c r="AC790" s="29">
        <f>IF(N(AB790)&gt;0,N(AB790),N(AA790)*Y790)</f>
        <v/>
      </c>
      <c r="AD790" s="29">
        <f>IF(H790="yes",AC790,0)</f>
        <v/>
      </c>
      <c r="AE790" s="29">
        <f>AD790*N(M790)/100</f>
        <v/>
      </c>
      <c r="AF790" s="29">
        <f>AD790*N(O790)/100</f>
        <v/>
      </c>
      <c r="AG790" s="29">
        <f>AD790*N(P790)/100</f>
        <v/>
      </c>
      <c r="AH790" s="50">
        <f>IF(Q790="yes",AD790/1000,0)</f>
        <v/>
      </c>
      <c r="AI790" s="50">
        <f>IF(S790="FG2",AH790*X790,AH790)</f>
        <v/>
      </c>
    </row>
    <row r="791">
      <c r="A791" s="7" t="inlineStr">
        <is>
          <t>HM00328</t>
        </is>
      </c>
      <c r="B791" s="16" t="inlineStr">
        <is>
          <t>5012345973166</t>
        </is>
      </c>
      <c r="C791" s="7" t="inlineStr">
        <is>
          <t>HM PRAWN SUSHI ROLLS 200G</t>
        </is>
      </c>
      <c r="D791" s="7" t="inlineStr">
        <is>
          <t>Prawn sushi rolls, 200g</t>
        </is>
      </c>
      <c r="E791" s="7" t="inlineStr">
        <is>
          <t>Harbour Market</t>
        </is>
      </c>
      <c r="F791" s="7" t="inlineStr">
        <is>
          <t>Ready Meals</t>
        </is>
      </c>
      <c r="G791" s="7" t="inlineStr">
        <is>
          <t>Sushi</t>
        </is>
      </c>
      <c r="H791" s="7" t="inlineStr">
        <is>
          <t>yes</t>
        </is>
      </c>
      <c r="I791" s="7" t="inlineStr">
        <is>
          <t>Animal &amp; plant composite</t>
        </is>
      </c>
      <c r="J791" s="7" t="inlineStr">
        <is>
          <t>Fish-based dishes</t>
        </is>
      </c>
      <c r="K791" s="7" t="inlineStr">
        <is>
          <t>B</t>
        </is>
      </c>
      <c r="L791" s="7" t="inlineStr">
        <is>
          <t>50/50 convention</t>
        </is>
      </c>
      <c r="M791" s="51" t="n">
        <v>7.2</v>
      </c>
      <c r="N791" s="7" t="inlineStr">
        <is>
          <t>National food table (CIQUAL in France)</t>
        </is>
      </c>
      <c r="O791" s="54" t="n">
        <v>3.6</v>
      </c>
      <c r="P791" s="54" t="n">
        <v>3.6</v>
      </c>
      <c r="Q791" s="7" t="inlineStr">
        <is>
          <t>yes</t>
        </is>
      </c>
      <c r="R791" s="7" t="inlineStr">
        <is>
          <t>composite</t>
        </is>
      </c>
      <c r="S791" s="7" t="n"/>
      <c r="T791" s="7" t="n"/>
      <c r="U791" s="7" t="n"/>
      <c r="V791" s="7" t="inlineStr">
        <is>
          <t>seafood-based</t>
        </is>
      </c>
      <c r="W791" s="7" t="n"/>
      <c r="X791" s="55" t="n">
        <v>1</v>
      </c>
      <c r="Y791" s="50" t="n">
        <v>0.2</v>
      </c>
      <c r="Z791" s="7" t="inlineStr">
        <is>
          <t>declared</t>
        </is>
      </c>
      <c r="AA791" s="19">
        <f>IF(ISBLANK(Welcome!D817),"",Welcome!D817)</f>
        <v/>
      </c>
      <c r="AB791" s="29">
        <f>IF(ISBLANK(Welcome!E817),"",Welcome!E817)</f>
        <v/>
      </c>
      <c r="AC791" s="29">
        <f>IF(N(AB791)&gt;0,N(AB791),N(AA791)*Y791)</f>
        <v/>
      </c>
      <c r="AD791" s="29">
        <f>IF(H791="yes",AC791,0)</f>
        <v/>
      </c>
      <c r="AE791" s="29">
        <f>AD791*N(M791)/100</f>
        <v/>
      </c>
      <c r="AF791" s="29">
        <f>AD791*N(O791)/100</f>
        <v/>
      </c>
      <c r="AG791" s="29">
        <f>AD791*N(P791)/100</f>
        <v/>
      </c>
      <c r="AH791" s="50">
        <f>IF(Q791="yes",AD791/1000,0)</f>
        <v/>
      </c>
      <c r="AI791" s="50">
        <f>IF(S791="FG2",AH791*X791,AH791)</f>
        <v/>
      </c>
    </row>
    <row r="792">
      <c r="A792" s="7" t="inlineStr">
        <is>
          <t>HM00165</t>
        </is>
      </c>
      <c r="B792" s="16" t="inlineStr">
        <is>
          <t>3012345334464</t>
        </is>
      </c>
      <c r="C792" s="7" t="inlineStr">
        <is>
          <t>HM DUCK PATE ORANGE 170G</t>
        </is>
      </c>
      <c r="D792" s="7" t="inlineStr">
        <is>
          <t>Duck pâté with orange, 170g</t>
        </is>
      </c>
      <c r="E792" s="7" t="inlineStr">
        <is>
          <t>Harbour Market</t>
        </is>
      </c>
      <c r="F792" s="7" t="inlineStr">
        <is>
          <t>Deli</t>
        </is>
      </c>
      <c r="G792" s="7" t="inlineStr">
        <is>
          <t>Pâté</t>
        </is>
      </c>
      <c r="H792" s="7" t="inlineStr">
        <is>
          <t>yes</t>
        </is>
      </c>
      <c r="I792" s="7" t="inlineStr">
        <is>
          <t>Animal core</t>
        </is>
      </c>
      <c r="J792" s="7" t="inlineStr">
        <is>
          <t>Dishes and processed products</t>
        </is>
      </c>
      <c r="K792" s="7" t="inlineStr">
        <is>
          <t>B</t>
        </is>
      </c>
      <c r="L792" s="7" t="inlineStr">
        <is>
          <t>Follows the class</t>
        </is>
      </c>
      <c r="M792" s="51" t="n">
        <v>12.1</v>
      </c>
      <c r="N792" s="7" t="inlineStr">
        <is>
          <t>Declared by the retailer</t>
        </is>
      </c>
      <c r="O792" s="54" t="n">
        <v>0</v>
      </c>
      <c r="P792" s="54" t="n">
        <v>12.1</v>
      </c>
      <c r="Q792" s="7" t="inlineStr">
        <is>
          <t>yes</t>
        </is>
      </c>
      <c r="R792" s="7" t="inlineStr">
        <is>
          <t>whole</t>
        </is>
      </c>
      <c r="S792" s="7" t="inlineStr">
        <is>
          <t>FG1</t>
        </is>
      </c>
      <c r="T792" s="7" t="inlineStr">
        <is>
          <t>Poultry</t>
        </is>
      </c>
      <c r="U792" s="7" t="inlineStr">
        <is>
          <t>animal</t>
        </is>
      </c>
      <c r="V792" s="7" t="n"/>
      <c r="W792" s="7" t="n"/>
      <c r="X792" s="55" t="n">
        <v>1</v>
      </c>
      <c r="Y792" s="50" t="n">
        <v>0.17</v>
      </c>
      <c r="Z792" s="7" t="inlineStr">
        <is>
          <t>declared</t>
        </is>
      </c>
      <c r="AA792" s="19">
        <f>IF(ISBLANK(Welcome!D818),"",Welcome!D818)</f>
        <v/>
      </c>
      <c r="AB792" s="29">
        <f>IF(ISBLANK(Welcome!E818),"",Welcome!E818)</f>
        <v/>
      </c>
      <c r="AC792" s="29">
        <f>IF(N(AB792)&gt;0,N(AB792),N(AA792)*Y792)</f>
        <v/>
      </c>
      <c r="AD792" s="29">
        <f>IF(H792="yes",AC792,0)</f>
        <v/>
      </c>
      <c r="AE792" s="29">
        <f>AD792*N(M792)/100</f>
        <v/>
      </c>
      <c r="AF792" s="29">
        <f>AD792*N(O792)/100</f>
        <v/>
      </c>
      <c r="AG792" s="29">
        <f>AD792*N(P792)/100</f>
        <v/>
      </c>
      <c r="AH792" s="50">
        <f>IF(Q792="yes",AD792/1000,0)</f>
        <v/>
      </c>
      <c r="AI792" s="50">
        <f>IF(S792="FG2",AH792*X792,AH792)</f>
        <v/>
      </c>
    </row>
    <row r="793">
      <c r="A793" s="7" t="inlineStr">
        <is>
          <t>HM00322</t>
        </is>
      </c>
      <c r="B793" s="16" t="inlineStr">
        <is>
          <t>3012345623988</t>
        </is>
      </c>
      <c r="C793" s="7" t="inlineStr">
        <is>
          <t>CASTELNA SMOKED PAPRIKA 50G</t>
        </is>
      </c>
      <c r="D793" s="7" t="inlineStr">
        <is>
          <t>Smoked paprika, 50g</t>
        </is>
      </c>
      <c r="E793" s="7" t="inlineStr">
        <is>
          <t>Castelna</t>
        </is>
      </c>
      <c r="F793" s="7" t="inlineStr">
        <is>
          <t>Grocery</t>
        </is>
      </c>
      <c r="G793" s="7" t="inlineStr">
        <is>
          <t>Herbs &amp; Spices</t>
        </is>
      </c>
      <c r="H793" s="7" t="inlineStr">
        <is>
          <t>yes</t>
        </is>
      </c>
      <c r="I793" s="7" t="inlineStr">
        <is>
          <t>Plant-based non-core</t>
        </is>
      </c>
      <c r="J793" s="7" t="inlineStr">
        <is>
          <t>Outside the WWF scope</t>
        </is>
      </c>
      <c r="K793" s="7" t="inlineStr">
        <is>
          <t>B</t>
        </is>
      </c>
      <c r="L793" s="7" t="inlineStr">
        <is>
          <t>Follows the class</t>
        </is>
      </c>
      <c r="M793" s="51" t="n">
        <v>10.6</v>
      </c>
      <c r="N793" s="7" t="inlineStr">
        <is>
          <t>Declared by the retailer</t>
        </is>
      </c>
      <c r="O793" s="54" t="n">
        <v>10.6</v>
      </c>
      <c r="P793" s="54" t="n">
        <v>0</v>
      </c>
      <c r="Q793" s="7" t="inlineStr">
        <is>
          <t>no</t>
        </is>
      </c>
      <c r="R793" s="7" t="n"/>
      <c r="S793" s="7" t="n"/>
      <c r="T793" s="7" t="n"/>
      <c r="U793" s="7" t="n"/>
      <c r="V793" s="7" t="n"/>
      <c r="W793" s="7" t="inlineStr">
        <is>
          <t>herbs spices</t>
        </is>
      </c>
      <c r="X793" s="55" t="n">
        <v>1</v>
      </c>
      <c r="Y793" s="50" t="n">
        <v>0.05</v>
      </c>
      <c r="Z793" s="7" t="inlineStr">
        <is>
          <t>declared</t>
        </is>
      </c>
      <c r="AA793" s="19">
        <f>IF(ISBLANK(Welcome!D819),"",Welcome!D819)</f>
        <v/>
      </c>
      <c r="AB793" s="29">
        <f>IF(ISBLANK(Welcome!E819),"",Welcome!E819)</f>
        <v/>
      </c>
      <c r="AC793" s="29">
        <f>IF(N(AB793)&gt;0,N(AB793),N(AA793)*Y793)</f>
        <v/>
      </c>
      <c r="AD793" s="29">
        <f>IF(H793="yes",AC793,0)</f>
        <v/>
      </c>
      <c r="AE793" s="29">
        <f>AD793*N(M793)/100</f>
        <v/>
      </c>
      <c r="AF793" s="29">
        <f>AD793*N(O793)/100</f>
        <v/>
      </c>
      <c r="AG793" s="29">
        <f>AD793*N(P793)/100</f>
        <v/>
      </c>
      <c r="AH793" s="50">
        <f>IF(Q793="yes",AD793/1000,0)</f>
        <v/>
      </c>
      <c r="AI793" s="50">
        <f>IF(S793="FG2",AH793*X793,AH793)</f>
        <v/>
      </c>
    </row>
    <row r="794">
      <c r="A794" s="7" t="inlineStr">
        <is>
          <t>HM00397</t>
        </is>
      </c>
      <c r="B794" s="16" t="inlineStr">
        <is>
          <t>8712345215484</t>
        </is>
      </c>
      <c r="C794" s="7" t="inlineStr">
        <is>
          <t>PENROCK CHIA SEEDS 150G</t>
        </is>
      </c>
      <c r="D794" s="7" t="inlineStr">
        <is>
          <t>Chia seeds, 150g</t>
        </is>
      </c>
      <c r="E794" s="7" t="inlineStr">
        <is>
          <t>Penrock</t>
        </is>
      </c>
      <c r="F794" s="7" t="inlineStr">
        <is>
          <t>Grocery</t>
        </is>
      </c>
      <c r="G794" s="7" t="inlineStr">
        <is>
          <t>Nuts &amp; Seeds</t>
        </is>
      </c>
      <c r="H794" s="7" t="inlineStr">
        <is>
          <t>yes</t>
        </is>
      </c>
      <c r="I794" s="7" t="inlineStr">
        <is>
          <t>Plant-based core</t>
        </is>
      </c>
      <c r="J794" s="7" t="inlineStr">
        <is>
          <t>Seeds</t>
        </is>
      </c>
      <c r="K794" s="7" t="inlineStr">
        <is>
          <t>B</t>
        </is>
      </c>
      <c r="L794" s="7" t="inlineStr">
        <is>
          <t>Follows the class</t>
        </is>
      </c>
      <c r="M794" s="51" t="n">
        <v>16.2</v>
      </c>
      <c r="N794" s="7" t="inlineStr">
        <is>
          <t>Declared by the retailer</t>
        </is>
      </c>
      <c r="O794" s="54" t="n">
        <v>16.2</v>
      </c>
      <c r="P794" s="54" t="n">
        <v>0</v>
      </c>
      <c r="Q794" s="7" t="inlineStr">
        <is>
          <t>yes</t>
        </is>
      </c>
      <c r="R794" s="7" t="inlineStr">
        <is>
          <t>whole</t>
        </is>
      </c>
      <c r="S794" s="7" t="inlineStr">
        <is>
          <t>FG1</t>
        </is>
      </c>
      <c r="T794" s="7" t="inlineStr">
        <is>
          <t>Seeds</t>
        </is>
      </c>
      <c r="U794" s="7" t="inlineStr">
        <is>
          <t>plant</t>
        </is>
      </c>
      <c r="V794" s="7" t="n"/>
      <c r="W794" s="7" t="n"/>
      <c r="X794" s="55" t="n">
        <v>1</v>
      </c>
      <c r="Y794" s="50" t="n">
        <v>0.15</v>
      </c>
      <c r="Z794" s="7" t="inlineStr">
        <is>
          <t>label</t>
        </is>
      </c>
      <c r="AA794" s="19">
        <f>IF(ISBLANK(Welcome!D820),"",Welcome!D820)</f>
        <v/>
      </c>
      <c r="AB794" s="29">
        <f>IF(ISBLANK(Welcome!E820),"",Welcome!E820)</f>
        <v/>
      </c>
      <c r="AC794" s="29">
        <f>IF(N(AB794)&gt;0,N(AB794),N(AA794)*Y794)</f>
        <v/>
      </c>
      <c r="AD794" s="29">
        <f>IF(H794="yes",AC794,0)</f>
        <v/>
      </c>
      <c r="AE794" s="29">
        <f>AD794*N(M794)/100</f>
        <v/>
      </c>
      <c r="AF794" s="29">
        <f>AD794*N(O794)/100</f>
        <v/>
      </c>
      <c r="AG794" s="29">
        <f>AD794*N(P794)/100</f>
        <v/>
      </c>
      <c r="AH794" s="50">
        <f>IF(Q794="yes",AD794/1000,0)</f>
        <v/>
      </c>
      <c r="AI794" s="50">
        <f>IF(S794="FG2",AH794*X794,AH794)</f>
        <v/>
      </c>
    </row>
    <row r="795">
      <c r="A795" s="7" t="inlineStr">
        <is>
          <t>HM00015</t>
        </is>
      </c>
      <c r="B795" s="16" t="inlineStr">
        <is>
          <t>4012345189018</t>
        </is>
      </c>
      <c r="C795" s="7" t="inlineStr">
        <is>
          <t>HM BLACK PEPPER GROUND 100G</t>
        </is>
      </c>
      <c r="D795" s="7" t="inlineStr">
        <is>
          <t>Ground black pepper, 100g</t>
        </is>
      </c>
      <c r="E795" s="7" t="inlineStr">
        <is>
          <t>Harbour Market</t>
        </is>
      </c>
      <c r="F795" s="7" t="inlineStr">
        <is>
          <t>Grocery</t>
        </is>
      </c>
      <c r="G795" s="7" t="inlineStr">
        <is>
          <t>Herbs &amp; Spices</t>
        </is>
      </c>
      <c r="H795" s="7" t="inlineStr">
        <is>
          <t>yes</t>
        </is>
      </c>
      <c r="I795" s="7" t="inlineStr">
        <is>
          <t>Plant-based non-core</t>
        </is>
      </c>
      <c r="J795" s="7" t="inlineStr">
        <is>
          <t>Outside the WWF scope</t>
        </is>
      </c>
      <c r="K795" s="7" t="inlineStr">
        <is>
          <t>B</t>
        </is>
      </c>
      <c r="L795" s="7" t="inlineStr">
        <is>
          <t>Follows the class</t>
        </is>
      </c>
      <c r="M795" s="51" t="n">
        <v>9.800000000000001</v>
      </c>
      <c r="N795" s="7" t="inlineStr">
        <is>
          <t>Median of the family</t>
        </is>
      </c>
      <c r="O795" s="54" t="n">
        <v>9.800000000000001</v>
      </c>
      <c r="P795" s="54" t="n">
        <v>0</v>
      </c>
      <c r="Q795" s="7" t="inlineStr">
        <is>
          <t>no</t>
        </is>
      </c>
      <c r="R795" s="7" t="n"/>
      <c r="S795" s="7" t="n"/>
      <c r="T795" s="7" t="n"/>
      <c r="U795" s="7" t="n"/>
      <c r="V795" s="7" t="n"/>
      <c r="W795" s="7" t="inlineStr">
        <is>
          <t>herbs spices</t>
        </is>
      </c>
      <c r="X795" s="55" t="n">
        <v>1</v>
      </c>
      <c r="Y795" s="50" t="n">
        <v>0.1</v>
      </c>
      <c r="Z795" s="7" t="inlineStr">
        <is>
          <t>declared</t>
        </is>
      </c>
      <c r="AA795" s="19">
        <f>IF(ISBLANK(Welcome!D821),"",Welcome!D821)</f>
        <v/>
      </c>
      <c r="AB795" s="29">
        <f>IF(ISBLANK(Welcome!E821),"",Welcome!E821)</f>
        <v/>
      </c>
      <c r="AC795" s="29">
        <f>IF(N(AB795)&gt;0,N(AB795),N(AA795)*Y795)</f>
        <v/>
      </c>
      <c r="AD795" s="29">
        <f>IF(H795="yes",AC795,0)</f>
        <v/>
      </c>
      <c r="AE795" s="29">
        <f>AD795*N(M795)/100</f>
        <v/>
      </c>
      <c r="AF795" s="29">
        <f>AD795*N(O795)/100</f>
        <v/>
      </c>
      <c r="AG795" s="29">
        <f>AD795*N(P795)/100</f>
        <v/>
      </c>
      <c r="AH795" s="50">
        <f>IF(Q795="yes",AD795/1000,0)</f>
        <v/>
      </c>
      <c r="AI795" s="50">
        <f>IF(S795="FG2",AH795*X795,AH795)</f>
        <v/>
      </c>
    </row>
    <row r="796">
      <c r="A796" s="7" t="inlineStr">
        <is>
          <t>HM00401</t>
        </is>
      </c>
      <c r="B796" s="16" t="inlineStr">
        <is>
          <t>5012345069982</t>
        </is>
      </c>
      <c r="C796" s="7" t="inlineStr">
        <is>
          <t>GROUND CUMIN 40G CASTELNA</t>
        </is>
      </c>
      <c r="D796" s="7" t="inlineStr">
        <is>
          <t>Ground cumin, 40g</t>
        </is>
      </c>
      <c r="E796" s="7" t="inlineStr">
        <is>
          <t>Castelna</t>
        </is>
      </c>
      <c r="F796" s="7" t="inlineStr">
        <is>
          <t>Grocery</t>
        </is>
      </c>
      <c r="G796" s="7" t="inlineStr">
        <is>
          <t>Herbs &amp; Spices</t>
        </is>
      </c>
      <c r="H796" s="7" t="inlineStr">
        <is>
          <t>yes</t>
        </is>
      </c>
      <c r="I796" s="7" t="inlineStr">
        <is>
          <t>Plant-based non-core</t>
        </is>
      </c>
      <c r="J796" s="7" t="inlineStr">
        <is>
          <t>Outside the WWF scope</t>
        </is>
      </c>
      <c r="K796" s="7" t="inlineStr">
        <is>
          <t>A</t>
        </is>
      </c>
      <c r="L796" s="7" t="inlineStr">
        <is>
          <t>All ingredients on one side</t>
        </is>
      </c>
      <c r="M796" s="51" t="n">
        <v>10.2</v>
      </c>
      <c r="N796" s="7" t="inlineStr">
        <is>
          <t>Declared by the retailer</t>
        </is>
      </c>
      <c r="O796" s="54" t="n">
        <v>10.2</v>
      </c>
      <c r="P796" s="54" t="n">
        <v>0</v>
      </c>
      <c r="Q796" s="7" t="inlineStr">
        <is>
          <t>no</t>
        </is>
      </c>
      <c r="R796" s="7" t="n"/>
      <c r="S796" s="7" t="n"/>
      <c r="T796" s="7" t="n"/>
      <c r="U796" s="7" t="n"/>
      <c r="V796" s="7" t="n"/>
      <c r="W796" s="7" t="inlineStr">
        <is>
          <t>herbs spices</t>
        </is>
      </c>
      <c r="X796" s="55" t="n">
        <v>1</v>
      </c>
      <c r="Y796" s="50" t="n">
        <v>0.04</v>
      </c>
      <c r="Z796" s="7" t="inlineStr">
        <is>
          <t>declared</t>
        </is>
      </c>
      <c r="AA796" s="19">
        <f>IF(ISBLANK(Welcome!D822),"",Welcome!D822)</f>
        <v/>
      </c>
      <c r="AB796" s="29">
        <f>IF(ISBLANK(Welcome!E822),"",Welcome!E822)</f>
        <v/>
      </c>
      <c r="AC796" s="29">
        <f>IF(N(AB796)&gt;0,N(AB796),N(AA796)*Y796)</f>
        <v/>
      </c>
      <c r="AD796" s="29">
        <f>IF(H796="yes",AC796,0)</f>
        <v/>
      </c>
      <c r="AE796" s="29">
        <f>AD796*N(M796)/100</f>
        <v/>
      </c>
      <c r="AF796" s="29">
        <f>AD796*N(O796)/100</f>
        <v/>
      </c>
      <c r="AG796" s="29">
        <f>AD796*N(P796)/100</f>
        <v/>
      </c>
      <c r="AH796" s="50">
        <f>IF(Q796="yes",AD796/1000,0)</f>
        <v/>
      </c>
      <c r="AI796" s="50">
        <f>IF(S796="FG2",AH796*X796,AH796)</f>
        <v/>
      </c>
    </row>
    <row r="797">
      <c r="A797" s="7" t="inlineStr">
        <is>
          <t>HM00459</t>
        </is>
      </c>
      <c r="B797" s="16" t="inlineStr">
        <is>
          <t>4012345457650</t>
        </is>
      </c>
      <c r="C797" s="7" t="inlineStr">
        <is>
          <t>HM MIXED DRIED HERBS 100G</t>
        </is>
      </c>
      <c r="D797" s="7" t="inlineStr">
        <is>
          <t>Mixed dried herbs, 100g</t>
        </is>
      </c>
      <c r="E797" s="7" t="inlineStr">
        <is>
          <t>Harbour Market</t>
        </is>
      </c>
      <c r="F797" s="7" t="inlineStr">
        <is>
          <t>Grocery</t>
        </is>
      </c>
      <c r="G797" s="7" t="inlineStr">
        <is>
          <t>Herbs &amp; Spices</t>
        </is>
      </c>
      <c r="H797" s="7" t="inlineStr">
        <is>
          <t>yes</t>
        </is>
      </c>
      <c r="I797" s="7" t="inlineStr">
        <is>
          <t>Plant-based non-core</t>
        </is>
      </c>
      <c r="J797" s="7" t="inlineStr">
        <is>
          <t>Outside the WWF scope</t>
        </is>
      </c>
      <c r="K797" s="7" t="inlineStr">
        <is>
          <t>B</t>
        </is>
      </c>
      <c r="L797" s="7" t="inlineStr">
        <is>
          <t>Follows the class</t>
        </is>
      </c>
      <c r="M797" s="51" t="n">
        <v>10</v>
      </c>
      <c r="N797" s="7" t="inlineStr">
        <is>
          <t>Declared by the retailer</t>
        </is>
      </c>
      <c r="O797" s="54" t="n">
        <v>10</v>
      </c>
      <c r="P797" s="54" t="n">
        <v>0</v>
      </c>
      <c r="Q797" s="7" t="inlineStr">
        <is>
          <t>no</t>
        </is>
      </c>
      <c r="R797" s="7" t="n"/>
      <c r="S797" s="7" t="n"/>
      <c r="T797" s="7" t="n"/>
      <c r="U797" s="7" t="n"/>
      <c r="V797" s="7" t="n"/>
      <c r="W797" s="7" t="inlineStr">
        <is>
          <t>herbs spices</t>
        </is>
      </c>
      <c r="X797" s="55" t="n">
        <v>1</v>
      </c>
      <c r="Y797" s="50" t="n">
        <v>0.1</v>
      </c>
      <c r="Z797" s="7" t="inlineStr">
        <is>
          <t>label</t>
        </is>
      </c>
      <c r="AA797" s="19">
        <f>IF(ISBLANK(Welcome!D823),"",Welcome!D823)</f>
        <v/>
      </c>
      <c r="AB797" s="29">
        <f>IF(ISBLANK(Welcome!E823),"",Welcome!E823)</f>
        <v/>
      </c>
      <c r="AC797" s="29">
        <f>IF(N(AB797)&gt;0,N(AB797),N(AA797)*Y797)</f>
        <v/>
      </c>
      <c r="AD797" s="29">
        <f>IF(H797="yes",AC797,0)</f>
        <v/>
      </c>
      <c r="AE797" s="29">
        <f>AD797*N(M797)/100</f>
        <v/>
      </c>
      <c r="AF797" s="29">
        <f>AD797*N(O797)/100</f>
        <v/>
      </c>
      <c r="AG797" s="29">
        <f>AD797*N(P797)/100</f>
        <v/>
      </c>
      <c r="AH797" s="50">
        <f>IF(Q797="yes",AD797/1000,0)</f>
        <v/>
      </c>
      <c r="AI797" s="50">
        <f>IF(S797="FG2",AH797*X797,AH797)</f>
        <v/>
      </c>
    </row>
    <row r="798">
      <c r="A798" s="7" t="inlineStr">
        <is>
          <t>HM00523</t>
        </is>
      </c>
      <c r="B798" s="16" t="inlineStr">
        <is>
          <t>3012345913850</t>
        </is>
      </c>
      <c r="C798" s="7" t="inlineStr">
        <is>
          <t>CASTELNA VEG STOCK CUBES 12PK 120G</t>
        </is>
      </c>
      <c r="D798" s="7" t="inlineStr">
        <is>
          <t>Vegetable stock cubes, 12pk 120g</t>
        </is>
      </c>
      <c r="E798" s="7" t="inlineStr">
        <is>
          <t>Castelna</t>
        </is>
      </c>
      <c r="F798" s="7" t="inlineStr">
        <is>
          <t>Grocery</t>
        </is>
      </c>
      <c r="G798" s="7" t="inlineStr">
        <is>
          <t>Stock &amp; Gravy</t>
        </is>
      </c>
      <c r="H798" s="7" t="inlineStr">
        <is>
          <t>yes</t>
        </is>
      </c>
      <c r="I798" s="7" t="inlineStr">
        <is>
          <t>Plant-based non-core</t>
        </is>
      </c>
      <c r="J798" s="7" t="inlineStr">
        <is>
          <t>Outside the WWF scope</t>
        </is>
      </c>
      <c r="K798" s="7" t="inlineStr">
        <is>
          <t>A</t>
        </is>
      </c>
      <c r="L798" s="7" t="inlineStr">
        <is>
          <t>All ingredients on one side</t>
        </is>
      </c>
      <c r="M798" s="51" t="n">
        <v>8.199999999999999</v>
      </c>
      <c r="N798" s="7" t="inlineStr">
        <is>
          <t>Declared by the retailer</t>
        </is>
      </c>
      <c r="O798" s="54" t="n">
        <v>8.199999999999999</v>
      </c>
      <c r="P798" s="54" t="n">
        <v>0</v>
      </c>
      <c r="Q798" s="7" t="inlineStr">
        <is>
          <t>no</t>
        </is>
      </c>
      <c r="R798" s="7" t="n"/>
      <c r="S798" s="7" t="n"/>
      <c r="T798" s="7" t="n"/>
      <c r="U798" s="7" t="n"/>
      <c r="V798" s="7" t="n"/>
      <c r="W798" s="7" t="inlineStr">
        <is>
          <t>stock</t>
        </is>
      </c>
      <c r="X798" s="55" t="n">
        <v>1</v>
      </c>
      <c r="Y798" s="50" t="n">
        <v>0.12</v>
      </c>
      <c r="Z798" s="7" t="inlineStr">
        <is>
          <t>declared</t>
        </is>
      </c>
      <c r="AA798" s="19">
        <f>IF(ISBLANK(Welcome!D824),"",Welcome!D824)</f>
        <v/>
      </c>
      <c r="AB798" s="29">
        <f>IF(ISBLANK(Welcome!E824),"",Welcome!E824)</f>
        <v/>
      </c>
      <c r="AC798" s="29">
        <f>IF(N(AB798)&gt;0,N(AB798),N(AA798)*Y798)</f>
        <v/>
      </c>
      <c r="AD798" s="29">
        <f>IF(H798="yes",AC798,0)</f>
        <v/>
      </c>
      <c r="AE798" s="29">
        <f>AD798*N(M798)/100</f>
        <v/>
      </c>
      <c r="AF798" s="29">
        <f>AD798*N(O798)/100</f>
        <v/>
      </c>
      <c r="AG798" s="29">
        <f>AD798*N(P798)/100</f>
        <v/>
      </c>
      <c r="AH798" s="50">
        <f>IF(Q798="yes",AD798/1000,0)</f>
        <v/>
      </c>
      <c r="AI798" s="50">
        <f>IF(S798="FG2",AH798*X798,AH798)</f>
        <v/>
      </c>
    </row>
    <row r="799">
      <c r="A799" s="7" t="inlineStr">
        <is>
          <t>HM00404</t>
        </is>
      </c>
      <c r="B799" s="16" t="inlineStr">
        <is>
          <t>4012345947250</t>
        </is>
      </c>
      <c r="C799" s="7" t="inlineStr">
        <is>
          <t>HM MIXED DRIED HERBS 50G</t>
        </is>
      </c>
      <c r="D799" s="7" t="inlineStr">
        <is>
          <t>Mixed dried herbs, 50g</t>
        </is>
      </c>
      <c r="E799" s="7" t="inlineStr">
        <is>
          <t>Harbour Market</t>
        </is>
      </c>
      <c r="F799" s="7" t="inlineStr">
        <is>
          <t>Grocery</t>
        </is>
      </c>
      <c r="G799" s="7" t="inlineStr">
        <is>
          <t>Herbs &amp; Spices</t>
        </is>
      </c>
      <c r="H799" s="7" t="inlineStr">
        <is>
          <t>yes</t>
        </is>
      </c>
      <c r="I799" s="7" t="inlineStr">
        <is>
          <t>Plant-based non-core</t>
        </is>
      </c>
      <c r="J799" s="7" t="inlineStr">
        <is>
          <t>Outside the WWF scope</t>
        </is>
      </c>
      <c r="K799" s="7" t="inlineStr">
        <is>
          <t>B</t>
        </is>
      </c>
      <c r="L799" s="7" t="inlineStr">
        <is>
          <t>Follows the class</t>
        </is>
      </c>
      <c r="M799" s="51" t="n">
        <v>9.699999999999999</v>
      </c>
      <c r="N799" s="7" t="inlineStr">
        <is>
          <t>Declared by the retailer</t>
        </is>
      </c>
      <c r="O799" s="54" t="n">
        <v>9.699999999999999</v>
      </c>
      <c r="P799" s="54" t="n">
        <v>0</v>
      </c>
      <c r="Q799" s="7" t="inlineStr">
        <is>
          <t>no</t>
        </is>
      </c>
      <c r="R799" s="7" t="n"/>
      <c r="S799" s="7" t="n"/>
      <c r="T799" s="7" t="n"/>
      <c r="U799" s="7" t="n"/>
      <c r="V799" s="7" t="n"/>
      <c r="W799" s="7" t="inlineStr">
        <is>
          <t>herbs spices</t>
        </is>
      </c>
      <c r="X799" s="55" t="n">
        <v>1</v>
      </c>
      <c r="Y799" s="50" t="n">
        <v>0.05</v>
      </c>
      <c r="Z799" s="7" t="inlineStr">
        <is>
          <t>declared</t>
        </is>
      </c>
      <c r="AA799" s="19">
        <f>IF(ISBLANK(Welcome!D825),"",Welcome!D825)</f>
        <v/>
      </c>
      <c r="AB799" s="29">
        <f>IF(ISBLANK(Welcome!E825),"",Welcome!E825)</f>
        <v/>
      </c>
      <c r="AC799" s="29">
        <f>IF(N(AB799)&gt;0,N(AB799),N(AA799)*Y799)</f>
        <v/>
      </c>
      <c r="AD799" s="29">
        <f>IF(H799="yes",AC799,0)</f>
        <v/>
      </c>
      <c r="AE799" s="29">
        <f>AD799*N(M799)/100</f>
        <v/>
      </c>
      <c r="AF799" s="29">
        <f>AD799*N(O799)/100</f>
        <v/>
      </c>
      <c r="AG799" s="29">
        <f>AD799*N(P799)/100</f>
        <v/>
      </c>
      <c r="AH799" s="50">
        <f>IF(Q799="yes",AD799/1000,0)</f>
        <v/>
      </c>
      <c r="AI799" s="50">
        <f>IF(S799="FG2",AH799*X799,AH799)</f>
        <v/>
      </c>
    </row>
    <row r="800">
      <c r="A800" s="7" t="inlineStr">
        <is>
          <t>HM00135</t>
        </is>
      </c>
      <c r="B800" s="16" t="inlineStr">
        <is>
          <t>8712345785680</t>
        </is>
      </c>
      <c r="C800" s="7" t="inlineStr">
        <is>
          <t>CASTELNA MIXED DRIED HERBS 100G</t>
        </is>
      </c>
      <c r="D800" s="7" t="inlineStr">
        <is>
          <t>Mixed dried herbs, 100g</t>
        </is>
      </c>
      <c r="E800" s="7" t="inlineStr">
        <is>
          <t>Castelna</t>
        </is>
      </c>
      <c r="F800" s="7" t="inlineStr">
        <is>
          <t>Grocery</t>
        </is>
      </c>
      <c r="G800" s="7" t="inlineStr">
        <is>
          <t>Herbs &amp; Spices</t>
        </is>
      </c>
      <c r="H800" s="7" t="inlineStr">
        <is>
          <t>yes</t>
        </is>
      </c>
      <c r="I800" s="7" t="inlineStr">
        <is>
          <t>Plant-based non-core</t>
        </is>
      </c>
      <c r="J800" s="7" t="inlineStr">
        <is>
          <t>Outside the WWF scope</t>
        </is>
      </c>
      <c r="K800" s="7" t="inlineStr">
        <is>
          <t>A</t>
        </is>
      </c>
      <c r="L800" s="7" t="inlineStr">
        <is>
          <t>All ingredients on one side</t>
        </is>
      </c>
      <c r="M800" s="51" t="n">
        <v>9.5</v>
      </c>
      <c r="N800" s="7" t="inlineStr">
        <is>
          <t>Declared by the retailer</t>
        </is>
      </c>
      <c r="O800" s="54" t="n">
        <v>9.5</v>
      </c>
      <c r="P800" s="54" t="n">
        <v>0</v>
      </c>
      <c r="Q800" s="7" t="inlineStr">
        <is>
          <t>no</t>
        </is>
      </c>
      <c r="R800" s="7" t="n"/>
      <c r="S800" s="7" t="n"/>
      <c r="T800" s="7" t="n"/>
      <c r="U800" s="7" t="n"/>
      <c r="V800" s="7" t="n"/>
      <c r="W800" s="7" t="inlineStr">
        <is>
          <t>herbs spices</t>
        </is>
      </c>
      <c r="X800" s="55" t="n">
        <v>1</v>
      </c>
      <c r="Y800" s="50" t="n">
        <v>0.1</v>
      </c>
      <c r="Z800" s="7" t="inlineStr">
        <is>
          <t>declared</t>
        </is>
      </c>
      <c r="AA800" s="19">
        <f>IF(ISBLANK(Welcome!D826),"",Welcome!D826)</f>
        <v/>
      </c>
      <c r="AB800" s="29">
        <f>IF(ISBLANK(Welcome!E826),"",Welcome!E826)</f>
        <v/>
      </c>
      <c r="AC800" s="29">
        <f>IF(N(AB800)&gt;0,N(AB800),N(AA800)*Y800)</f>
        <v/>
      </c>
      <c r="AD800" s="29">
        <f>IF(H800="yes",AC800,0)</f>
        <v/>
      </c>
      <c r="AE800" s="29">
        <f>AD800*N(M800)/100</f>
        <v/>
      </c>
      <c r="AF800" s="29">
        <f>AD800*N(O800)/100</f>
        <v/>
      </c>
      <c r="AG800" s="29">
        <f>AD800*N(P800)/100</f>
        <v/>
      </c>
      <c r="AH800" s="50">
        <f>IF(Q800="yes",AD800/1000,0)</f>
        <v/>
      </c>
      <c r="AI800" s="50">
        <f>IF(S800="FG2",AH800*X800,AH800)</f>
        <v/>
      </c>
    </row>
    <row r="801">
      <c r="A801" s="7" t="inlineStr">
        <is>
          <t>HM00185</t>
        </is>
      </c>
      <c r="B801" s="16" t="inlineStr">
        <is>
          <t>3012345175678</t>
        </is>
      </c>
      <c r="C801" s="7" t="inlineStr">
        <is>
          <t>CASTELNA BLACK PEPPER GROUND 40G</t>
        </is>
      </c>
      <c r="D801" s="7" t="inlineStr">
        <is>
          <t>Ground black pepper, 40g</t>
        </is>
      </c>
      <c r="E801" s="7" t="inlineStr">
        <is>
          <t>Castelna</t>
        </is>
      </c>
      <c r="F801" s="7" t="inlineStr">
        <is>
          <t>Grocery</t>
        </is>
      </c>
      <c r="G801" s="7" t="inlineStr">
        <is>
          <t>Herbs &amp; Spices</t>
        </is>
      </c>
      <c r="H801" s="7" t="inlineStr">
        <is>
          <t>yes</t>
        </is>
      </c>
      <c r="I801" s="7" t="inlineStr">
        <is>
          <t>Plant-based non-core</t>
        </is>
      </c>
      <c r="J801" s="7" t="inlineStr">
        <is>
          <t>Outside the WWF scope</t>
        </is>
      </c>
      <c r="K801" s="7" t="inlineStr">
        <is>
          <t>A</t>
        </is>
      </c>
      <c r="L801" s="7" t="inlineStr">
        <is>
          <t>All ingredients on one side</t>
        </is>
      </c>
      <c r="M801" s="51" t="n">
        <v>10.4</v>
      </c>
      <c r="N801" s="7" t="inlineStr">
        <is>
          <t>Altera reference base</t>
        </is>
      </c>
      <c r="O801" s="54" t="n">
        <v>10.4</v>
      </c>
      <c r="P801" s="54" t="n">
        <v>0</v>
      </c>
      <c r="Q801" s="7" t="inlineStr">
        <is>
          <t>no</t>
        </is>
      </c>
      <c r="R801" s="7" t="n"/>
      <c r="S801" s="7" t="n"/>
      <c r="T801" s="7" t="n"/>
      <c r="U801" s="7" t="n"/>
      <c r="V801" s="7" t="n"/>
      <c r="W801" s="7" t="inlineStr">
        <is>
          <t>herbs spices</t>
        </is>
      </c>
      <c r="X801" s="55" t="n">
        <v>1</v>
      </c>
      <c r="Y801" s="50" t="n">
        <v>0.04</v>
      </c>
      <c r="Z801" s="7" t="inlineStr">
        <is>
          <t>declared</t>
        </is>
      </c>
      <c r="AA801" s="19">
        <f>IF(ISBLANK(Welcome!D827),"",Welcome!D827)</f>
        <v/>
      </c>
      <c r="AB801" s="29">
        <f>IF(ISBLANK(Welcome!E827),"",Welcome!E827)</f>
        <v/>
      </c>
      <c r="AC801" s="29">
        <f>IF(N(AB801)&gt;0,N(AB801),N(AA801)*Y801)</f>
        <v/>
      </c>
      <c r="AD801" s="29">
        <f>IF(H801="yes",AC801,0)</f>
        <v/>
      </c>
      <c r="AE801" s="29">
        <f>AD801*N(M801)/100</f>
        <v/>
      </c>
      <c r="AF801" s="29">
        <f>AD801*N(O801)/100</f>
        <v/>
      </c>
      <c r="AG801" s="29">
        <f>AD801*N(P801)/100</f>
        <v/>
      </c>
      <c r="AH801" s="50">
        <f>IF(Q801="yes",AD801/1000,0)</f>
        <v/>
      </c>
      <c r="AI801" s="50">
        <f>IF(S801="FG2",AH801*X801,AH801)</f>
        <v/>
      </c>
    </row>
    <row r="802">
      <c r="A802" s="7" t="inlineStr">
        <is>
          <t>HM00189</t>
        </is>
      </c>
      <c r="B802" s="16" t="inlineStr">
        <is>
          <t>4012345184044</t>
        </is>
      </c>
      <c r="C802" s="7" t="inlineStr">
        <is>
          <t>HM FUSILLI 500G</t>
        </is>
      </c>
      <c r="D802" s="7" t="inlineStr">
        <is>
          <t>Fusilli, 500g</t>
        </is>
      </c>
      <c r="E802" s="7" t="inlineStr">
        <is>
          <t>Harbour Market</t>
        </is>
      </c>
      <c r="F802" s="7" t="inlineStr">
        <is>
          <t>Grocery</t>
        </is>
      </c>
      <c r="G802" s="7" t="inlineStr">
        <is>
          <t>Pasta</t>
        </is>
      </c>
      <c r="H802" s="7" t="inlineStr">
        <is>
          <t>no</t>
        </is>
      </c>
      <c r="I802" s="7" t="n"/>
      <c r="J802" s="7" t="n"/>
      <c r="K802" s="7" t="n"/>
      <c r="L802" s="7" t="n"/>
      <c r="M802" s="51" t="n"/>
      <c r="N802" s="7" t="n"/>
      <c r="O802" s="54" t="n"/>
      <c r="P802" s="54" t="n"/>
      <c r="Q802" s="7" t="inlineStr">
        <is>
          <t>no</t>
        </is>
      </c>
      <c r="R802" s="7" t="n"/>
      <c r="S802" s="7" t="n"/>
      <c r="T802" s="7" t="n"/>
      <c r="U802" s="7" t="n"/>
      <c r="V802" s="7" t="n"/>
      <c r="W802" s="7" t="n"/>
      <c r="X802" s="55" t="n">
        <v>1</v>
      </c>
      <c r="Y802" s="50" t="n">
        <v>0.5</v>
      </c>
      <c r="Z802" s="7" t="inlineStr">
        <is>
          <t>declared</t>
        </is>
      </c>
      <c r="AA802" s="19">
        <f>IF(ISBLANK(Welcome!D828),"",Welcome!D828)</f>
        <v/>
      </c>
      <c r="AB802" s="29">
        <f>IF(ISBLANK(Welcome!E828),"",Welcome!E828)</f>
        <v/>
      </c>
      <c r="AC802" s="29">
        <f>IF(N(AB802)&gt;0,N(AB802),N(AA802)*Y802)</f>
        <v/>
      </c>
      <c r="AD802" s="29">
        <f>IF(H802="yes",AC802,0)</f>
        <v/>
      </c>
      <c r="AE802" s="29">
        <f>AD802*N(M802)/100</f>
        <v/>
      </c>
      <c r="AF802" s="29">
        <f>AD802*N(O802)/100</f>
        <v/>
      </c>
      <c r="AG802" s="29">
        <f>AD802*N(P802)/100</f>
        <v/>
      </c>
      <c r="AH802" s="50">
        <f>IF(Q802="yes",AD802/1000,0)</f>
        <v/>
      </c>
      <c r="AI802" s="50">
        <f>IF(S802="FG2",AH802*X802,AH802)</f>
        <v/>
      </c>
    </row>
    <row r="803">
      <c r="A803" s="7" t="inlineStr">
        <is>
          <t>HM00192</t>
        </is>
      </c>
      <c r="B803" s="16" t="inlineStr">
        <is>
          <t>8712345783761</t>
        </is>
      </c>
      <c r="C803" s="7" t="inlineStr">
        <is>
          <t>HM MILK CHOC BAR 200G</t>
        </is>
      </c>
      <c r="D803" s="7" t="inlineStr">
        <is>
          <t>Milk chocolate bar, 200g</t>
        </is>
      </c>
      <c r="E803" s="7" t="inlineStr">
        <is>
          <t>Harbour Market</t>
        </is>
      </c>
      <c r="F803" s="7" t="inlineStr">
        <is>
          <t>Breakfast &amp; Snacks</t>
        </is>
      </c>
      <c r="G803" s="7" t="inlineStr">
        <is>
          <t>Chocolate</t>
        </is>
      </c>
      <c r="H803" s="7" t="inlineStr">
        <is>
          <t>no</t>
        </is>
      </c>
      <c r="I803" s="7" t="n"/>
      <c r="J803" s="7" t="n"/>
      <c r="K803" s="7" t="n"/>
      <c r="L803" s="7" t="n"/>
      <c r="M803" s="51" t="n"/>
      <c r="N803" s="7" t="n"/>
      <c r="O803" s="54" t="n"/>
      <c r="P803" s="54" t="n"/>
      <c r="Q803" s="7" t="inlineStr">
        <is>
          <t>no</t>
        </is>
      </c>
      <c r="R803" s="7" t="n"/>
      <c r="S803" s="7" t="n"/>
      <c r="T803" s="7" t="n"/>
      <c r="U803" s="7" t="n"/>
      <c r="V803" s="7" t="n"/>
      <c r="W803" s="7" t="n"/>
      <c r="X803" s="55" t="n">
        <v>1</v>
      </c>
      <c r="Y803" s="50" t="n">
        <v>0.2</v>
      </c>
      <c r="Z803" s="7" t="inlineStr">
        <is>
          <t>declared</t>
        </is>
      </c>
      <c r="AA803" s="19">
        <f>IF(ISBLANK(Welcome!D829),"",Welcome!D829)</f>
        <v/>
      </c>
      <c r="AB803" s="29">
        <f>IF(ISBLANK(Welcome!E829),"",Welcome!E829)</f>
        <v/>
      </c>
      <c r="AC803" s="29">
        <f>IF(N(AB803)&gt;0,N(AB803),N(AA803)*Y803)</f>
        <v/>
      </c>
      <c r="AD803" s="29">
        <f>IF(H803="yes",AC803,0)</f>
        <v/>
      </c>
      <c r="AE803" s="29">
        <f>AD803*N(M803)/100</f>
        <v/>
      </c>
      <c r="AF803" s="29">
        <f>AD803*N(O803)/100</f>
        <v/>
      </c>
      <c r="AG803" s="29">
        <f>AD803*N(P803)/100</f>
        <v/>
      </c>
      <c r="AH803" s="50">
        <f>IF(Q803="yes",AD803/1000,0)</f>
        <v/>
      </c>
      <c r="AI803" s="50">
        <f>IF(S803="FG2",AH803*X803,AH803)</f>
        <v/>
      </c>
    </row>
    <row r="804">
      <c r="A804" s="7" t="inlineStr">
        <is>
          <t>HM00546</t>
        </is>
      </c>
      <c r="B804" s="16" t="inlineStr">
        <is>
          <t>3012345006033</t>
        </is>
      </c>
      <c r="C804" s="7" t="inlineStr">
        <is>
          <t>HM BF MINCE 5% 1KG</t>
        </is>
      </c>
      <c r="D804" s="7" t="inlineStr">
        <is>
          <t>Beef mince, 5% fat, 1kg</t>
        </is>
      </c>
      <c r="E804" s="7" t="inlineStr">
        <is>
          <t>Harbour Market</t>
        </is>
      </c>
      <c r="F804" s="7" t="inlineStr">
        <is>
          <t>Fresh Meat &amp; Poultry</t>
        </is>
      </c>
      <c r="G804" s="7" t="inlineStr">
        <is>
          <t>Beef</t>
        </is>
      </c>
      <c r="H804" s="7" t="inlineStr">
        <is>
          <t>no</t>
        </is>
      </c>
      <c r="I804" s="7" t="n"/>
      <c r="J804" s="7" t="n"/>
      <c r="K804" s="7" t="n"/>
      <c r="L804" s="7" t="n"/>
      <c r="M804" s="51" t="n"/>
      <c r="N804" s="7" t="n"/>
      <c r="O804" s="54" t="n"/>
      <c r="P804" s="54" t="n"/>
      <c r="Q804" s="7" t="inlineStr">
        <is>
          <t>no</t>
        </is>
      </c>
      <c r="R804" s="7" t="n"/>
      <c r="S804" s="7" t="n"/>
      <c r="T804" s="7" t="n"/>
      <c r="U804" s="7" t="n"/>
      <c r="V804" s="7" t="n"/>
      <c r="W804" s="7" t="n"/>
      <c r="X804" s="55" t="n">
        <v>1</v>
      </c>
      <c r="Y804" s="50" t="n">
        <v>1</v>
      </c>
      <c r="Z804" s="7" t="inlineStr">
        <is>
          <t>declared</t>
        </is>
      </c>
      <c r="AA804" s="19">
        <f>IF(ISBLANK(Welcome!D830),"",Welcome!D830)</f>
        <v/>
      </c>
      <c r="AB804" s="29">
        <f>IF(ISBLANK(Welcome!E830),"",Welcome!E830)</f>
        <v/>
      </c>
      <c r="AC804" s="29">
        <f>IF(N(AB804)&gt;0,N(AB804),N(AA804)*Y804)</f>
        <v/>
      </c>
      <c r="AD804" s="29">
        <f>IF(H804="yes",AC804,0)</f>
        <v/>
      </c>
      <c r="AE804" s="29">
        <f>AD804*N(M804)/100</f>
        <v/>
      </c>
      <c r="AF804" s="29">
        <f>AD804*N(O804)/100</f>
        <v/>
      </c>
      <c r="AG804" s="29">
        <f>AD804*N(P804)/100</f>
        <v/>
      </c>
      <c r="AH804" s="50">
        <f>IF(Q804="yes",AD804/1000,0)</f>
        <v/>
      </c>
      <c r="AI804" s="50">
        <f>IF(S804="FG2",AH804*X804,AH804)</f>
        <v/>
      </c>
    </row>
  </sheetData>
  <autoFilter ref="A4:AI804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2026-10-16T22:43:41Z</dcterms:created>
  <dcterms:modified xmlns:dcterms="http://purl.org/dc/terms/" xmlns:xsi="http://www.w3.org/2001/XMLSchema-instance" xsi:type="dcterms:W3CDTF">2026-10-16T22:43:41Z</dcterms:modified>
</cp:coreProperties>
</file>