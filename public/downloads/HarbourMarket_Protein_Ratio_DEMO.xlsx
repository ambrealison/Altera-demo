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Protein Tracker" sheetId="3" state="visible" r:id="rId3"/>
    <sheet xmlns:r="http://schemas.openxmlformats.org/officeDocument/2006/relationships" name="WWF" sheetId="4" state="visible" r:id="rId4"/>
  </sheets>
  <definedNames>
    <definedName name="_xlnm._FilterDatabase" localSheetId="1" hidden="1">'Products'!$A$2:$AF$802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0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4264A"/>
      <sz val="16"/>
    </font>
    <font>
      <name val="Arial"/>
      <b val="1"/>
      <color rgb="00B42318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FFFFFF"/>
      <sz val="8"/>
    </font>
    <font>
      <name val="Arial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4264A"/>
      </patternFill>
    </fill>
    <fill>
      <patternFill patternType="solid">
        <fgColor rgb="00FFF6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4" fillId="0" borderId="0" pivotButton="0" quotePrefix="0" xfId="0"/>
    <xf numFmtId="49" fontId="4" fillId="0" borderId="0" pivotButton="0" quotePrefix="0" xfId="0"/>
    <xf numFmtId="3" fontId="4" fillId="3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Harbour Market — protein ratio (DEMO)</t>
        </is>
      </c>
    </row>
    <row r="2">
      <c r="A2" s="2" t="inlineStr">
        <is>
          <t>FICTITIOUS DATA — demo file. Harbour Market, its brands and every figure are invented.</t>
        </is>
      </c>
    </row>
    <row r="4" ht="42" customHeight="1">
      <c r="A4" s="3" t="inlineStr">
        <is>
          <t>What this file is</t>
        </is>
      </c>
      <c r="B4" s="4" t="inlineStr">
        <is>
          <t>An example of the workbook Altera AI delivers. It is built from an invented catalogue of 800 products and exists only to show the structure of a real deliverable.</t>
        </is>
      </c>
    </row>
    <row r="6" ht="42" customHeight="1">
      <c r="A6" s="3" t="inlineStr">
        <is>
          <t>How to use it</t>
        </is>
      </c>
      <c r="B6" s="4" t="inlineStr">
        <is>
          <t>The yellow column 'Units sold (INPUT)' on the Products sheet is the only input. Change a volume and every figure on the Protein Tracker and WWF sheets recalculates.</t>
        </is>
      </c>
    </row>
    <row r="8" ht="42" customHeight="1">
      <c r="A8" s="3" t="inlineStr">
        <is>
          <t>Protein Tracker</t>
        </is>
      </c>
      <c r="B8" s="4" t="inlineStr">
        <is>
          <t>Green Protein Alliance / ProVeg methodology. Tonnes of protein, split plant / animal. Level A: the split is measured. Level B: it follows the class or the 50/50 convention.</t>
        </is>
      </c>
    </row>
    <row r="10" ht="42" customHeight="1">
      <c r="A10" s="3" t="inlineStr">
        <is>
          <t>WWF Planet-Based Diets</t>
        </is>
      </c>
      <c r="B10" s="4" t="inlineStr">
        <is>
          <t>Tonnes of product. Whole products by food group, composites by category. FG2 in dairy equivalents (hard and soft cheese x10). Appendix A exclusions apply.</t>
        </is>
      </c>
    </row>
    <row r="12" ht="42" customHeight="1">
      <c r="A12" s="3" t="inlineStr">
        <is>
          <t>Scope</t>
        </is>
      </c>
      <c r="B12" s="4" t="inlineStr">
        <is>
          <t>Measured: 784 products sold over the year. Left out: 11 non-food items, 2 test items, 3 products without sales. WWF scope: alcohol, beverages other than dairy, coffee and tea, herbs and spices, condiments and stock excluded (Appendix A).</t>
        </is>
      </c>
    </row>
    <row r="14" ht="42" customHeight="1">
      <c r="A14" s="3" t="inlineStr">
        <is>
          <t>Sources of each value</t>
        </is>
      </c>
      <c r="B14" s="4" t="inlineStr">
        <is>
          <t>Every protein value and every split carries its source in its own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34" customWidth="1" min="3" max="3"/>
    <col width="34" customWidth="1" min="4" max="4"/>
    <col width="16" customWidth="1" min="5" max="5"/>
    <col width="20" customWidth="1" min="6" max="6"/>
    <col width="18" customWidth="1" min="7" max="7"/>
    <col width="9" customWidth="1" min="8" max="8"/>
    <col width="22" customWidth="1" min="9" max="9"/>
    <col width="9" customWidth="1" min="10" max="10"/>
    <col width="26" customWidth="1" min="11" max="11"/>
    <col width="11" customWidth="1" min="12" max="12"/>
    <col width="24" customWidth="1" min="13" max="13"/>
    <col width="11" customWidth="1" min="14" max="14"/>
    <col width="11" customWidth="1" min="15" max="15"/>
    <col width="9" customWidth="1" min="16" max="16"/>
    <col width="12" customWidth="1" min="17" max="17"/>
    <col width="9" customWidth="1" min="18" max="18"/>
    <col width="18" customWidth="1" min="19" max="19"/>
    <col width="10" customWidth="1" min="20" max="20"/>
    <col width="15" customWidth="1" min="21" max="21"/>
    <col width="14" customWidth="1" min="22" max="22"/>
    <col width="8" customWidth="1" min="23" max="23"/>
    <col width="10" customWidth="1" min="24" max="24"/>
    <col width="14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1" customWidth="1" min="31" max="31"/>
    <col width="12" customWidth="1" min="32" max="32"/>
  </cols>
  <sheetData>
    <row r="1">
      <c r="A1" s="2" t="inlineStr">
        <is>
          <t>FICTITIOUS DATA — demo file. Harbour Market, its brands and every figure are invented.</t>
        </is>
      </c>
    </row>
    <row r="2" ht="30" customHeight="1">
      <c r="A2" s="5" t="inlineStr">
        <is>
          <t>Product ID</t>
        </is>
      </c>
      <c r="B2" s="5" t="inlineStr">
        <is>
          <t>Code</t>
        </is>
      </c>
      <c r="C2" s="5" t="inlineStr">
        <is>
          <t>Till label</t>
        </is>
      </c>
      <c r="D2" s="5" t="inlineStr">
        <is>
          <t>Product name</t>
        </is>
      </c>
      <c r="E2" s="5" t="inlineStr">
        <is>
          <t>Brand</t>
        </is>
      </c>
      <c r="F2" s="5" t="inlineStr">
        <is>
          <t>Department</t>
        </is>
      </c>
      <c r="G2" s="5" t="inlineStr">
        <is>
          <t>Family</t>
        </is>
      </c>
      <c r="H2" s="5" t="inlineStr">
        <is>
          <t>In scope</t>
        </is>
      </c>
      <c r="I2" s="5" t="inlineStr">
        <is>
          <t>PT class</t>
        </is>
      </c>
      <c r="J2" s="5" t="inlineStr">
        <is>
          <t>Data level</t>
        </is>
      </c>
      <c r="K2" s="5" t="inlineStr">
        <is>
          <t>Split source</t>
        </is>
      </c>
      <c r="L2" s="5" t="inlineStr">
        <is>
          <t>Protein g/100g</t>
        </is>
      </c>
      <c r="M2" s="5" t="inlineStr">
        <is>
          <t>Protein source</t>
        </is>
      </c>
      <c r="N2" s="5" t="inlineStr">
        <is>
          <t>Plant protein g/100g</t>
        </is>
      </c>
      <c r="O2" s="5" t="inlineStr">
        <is>
          <t>Animal protein g/100g</t>
        </is>
      </c>
      <c r="P2" s="5" t="inlineStr">
        <is>
          <t>WWF in scope</t>
        </is>
      </c>
      <c r="Q2" s="5" t="inlineStr">
        <is>
          <t>WWF structure</t>
        </is>
      </c>
      <c r="R2" s="5" t="inlineStr">
        <is>
          <t>Food group</t>
        </is>
      </c>
      <c r="S2" s="5" t="inlineStr">
        <is>
          <t>WWF sub-group</t>
        </is>
      </c>
      <c r="T2" s="5" t="inlineStr">
        <is>
          <t>WWF origin</t>
        </is>
      </c>
      <c r="U2" s="5" t="inlineStr">
        <is>
          <t>Composite category</t>
        </is>
      </c>
      <c r="V2" s="5" t="inlineStr">
        <is>
          <t>WWF exclusion</t>
        </is>
      </c>
      <c r="W2" s="5" t="inlineStr">
        <is>
          <t>Dairy factor</t>
        </is>
      </c>
      <c r="X2" s="5" t="inlineStr">
        <is>
          <t>Net weight kg</t>
        </is>
      </c>
      <c r="Y2" s="5" t="inlineStr">
        <is>
          <t>Weight source</t>
        </is>
      </c>
      <c r="Z2" s="5" t="inlineStr">
        <is>
          <t>Units sold (INPUT)</t>
        </is>
      </c>
      <c r="AA2" s="5" t="inlineStr">
        <is>
          <t>Mass kg</t>
        </is>
      </c>
      <c r="AB2" s="5" t="inlineStr">
        <is>
          <t>Protein kg</t>
        </is>
      </c>
      <c r="AC2" s="5" t="inlineStr">
        <is>
          <t>Plant protein kg</t>
        </is>
      </c>
      <c r="AD2" s="5" t="inlineStr">
        <is>
          <t>Animal protein kg</t>
        </is>
      </c>
      <c r="AE2" s="5" t="inlineStr">
        <is>
          <t>WWF tonnes</t>
        </is>
      </c>
      <c r="AF2" s="5" t="inlineStr">
        <is>
          <t>WWF tonnes, dairy eq.</t>
        </is>
      </c>
    </row>
    <row r="3">
      <c r="A3" s="6" t="inlineStr">
        <is>
          <t>HM00001</t>
        </is>
      </c>
      <c r="B3" s="7" t="inlineStr">
        <is>
          <t>3012345357746</t>
        </is>
      </c>
      <c r="C3" s="6" t="inlineStr">
        <is>
          <t>HM MILK CHOC BAR 4X40G</t>
        </is>
      </c>
      <c r="D3" s="6" t="inlineStr">
        <is>
          <t>Milk chocolate bar, 4x40g</t>
        </is>
      </c>
      <c r="E3" s="6" t="inlineStr">
        <is>
          <t>Harbour Market</t>
        </is>
      </c>
      <c r="F3" s="6" t="inlineStr">
        <is>
          <t>Breakfast &amp; Snacks</t>
        </is>
      </c>
      <c r="G3" s="6" t="inlineStr">
        <is>
          <t>Chocolate</t>
        </is>
      </c>
      <c r="H3" s="6" t="inlineStr">
        <is>
          <t>yes</t>
        </is>
      </c>
      <c r="I3" s="6" t="inlineStr">
        <is>
          <t>Animal &amp; plant composite</t>
        </is>
      </c>
      <c r="J3" s="6" t="inlineStr">
        <is>
          <t>A</t>
        </is>
      </c>
      <c r="K3" s="6" t="inlineStr">
        <is>
          <t>Ingredient list</t>
        </is>
      </c>
      <c r="L3" s="6" t="n">
        <v>7.7</v>
      </c>
      <c r="M3" s="6" t="inlineStr">
        <is>
          <t>Declared by the retailer</t>
        </is>
      </c>
      <c r="N3" s="6" t="n">
        <v>3.54</v>
      </c>
      <c r="O3" s="6" t="n">
        <v>4.16</v>
      </c>
      <c r="P3" s="6" t="inlineStr">
        <is>
          <t>yes</t>
        </is>
      </c>
      <c r="Q3" s="6" t="inlineStr">
        <is>
          <t>whole</t>
        </is>
      </c>
      <c r="R3" s="6" t="inlineStr">
        <is>
          <t>FG7</t>
        </is>
      </c>
      <c r="S3" s="6" t="n"/>
      <c r="T3" s="6" t="inlineStr">
        <is>
          <t>plant</t>
        </is>
      </c>
      <c r="U3" s="6" t="n"/>
      <c r="V3" s="6" t="n"/>
      <c r="W3" s="6" t="n">
        <v>1</v>
      </c>
      <c r="X3" s="6" t="n">
        <v>0.16</v>
      </c>
      <c r="Y3" s="6" t="inlineStr">
        <is>
          <t>declared</t>
        </is>
      </c>
      <c r="Z3" s="8" t="n">
        <v>7595</v>
      </c>
      <c r="AA3" s="9">
        <f>IF(H3="yes",Z3*X3,0)</f>
        <v/>
      </c>
      <c r="AB3" s="9">
        <f>IF(H3="yes",AA3*N(L3)/100,0)</f>
        <v/>
      </c>
      <c r="AC3" s="9">
        <f>IF(H3="yes",AA3*N(N3)/100,0)</f>
        <v/>
      </c>
      <c r="AD3" s="9">
        <f>IF(H3="yes",AA3*N(O3)/100,0)</f>
        <v/>
      </c>
      <c r="AE3" s="10">
        <f>IF(P3="yes",AA3/1000,0)</f>
        <v/>
      </c>
      <c r="AF3" s="10">
        <f>IF(R3="FG2",AE3*W3,AE3)</f>
        <v/>
      </c>
    </row>
    <row r="4">
      <c r="A4" s="6" t="inlineStr">
        <is>
          <t>HM00002</t>
        </is>
      </c>
      <c r="B4" s="7" t="inlineStr">
        <is>
          <t>5012345864327</t>
        </is>
      </c>
      <c r="C4" s="6" t="inlineStr">
        <is>
          <t>HM CHKN BREAST FLT 500G</t>
        </is>
      </c>
      <c r="D4" s="6" t="inlineStr">
        <is>
          <t>Chicken breast fillets, 500g</t>
        </is>
      </c>
      <c r="E4" s="6" t="inlineStr">
        <is>
          <t>Harbour Market</t>
        </is>
      </c>
      <c r="F4" s="6" t="inlineStr">
        <is>
          <t>Fresh Meat &amp; Poultry</t>
        </is>
      </c>
      <c r="G4" s="6" t="inlineStr">
        <is>
          <t>Poultry</t>
        </is>
      </c>
      <c r="H4" s="6" t="inlineStr">
        <is>
          <t>yes</t>
        </is>
      </c>
      <c r="I4" s="6" t="inlineStr">
        <is>
          <t>Animal core</t>
        </is>
      </c>
      <c r="J4" s="6" t="inlineStr">
        <is>
          <t>B</t>
        </is>
      </c>
      <c r="K4" s="6" t="inlineStr">
        <is>
          <t>Follows the class</t>
        </is>
      </c>
      <c r="L4" s="6" t="n">
        <v>25</v>
      </c>
      <c r="M4" s="6" t="inlineStr">
        <is>
          <t>Name match (CIQUAL / NEVO)</t>
        </is>
      </c>
      <c r="N4" s="6" t="n">
        <v>0</v>
      </c>
      <c r="O4" s="6" t="n">
        <v>25</v>
      </c>
      <c r="P4" s="6" t="inlineStr">
        <is>
          <t>yes</t>
        </is>
      </c>
      <c r="Q4" s="6" t="inlineStr">
        <is>
          <t>whole</t>
        </is>
      </c>
      <c r="R4" s="6" t="inlineStr">
        <is>
          <t>FG1</t>
        </is>
      </c>
      <c r="S4" s="6" t="inlineStr">
        <is>
          <t>poultry</t>
        </is>
      </c>
      <c r="T4" s="6" t="inlineStr">
        <is>
          <t>animal</t>
        </is>
      </c>
      <c r="U4" s="6" t="n"/>
      <c r="V4" s="6" t="n"/>
      <c r="W4" s="6" t="n">
        <v>1</v>
      </c>
      <c r="X4" s="6" t="n">
        <v>0.5</v>
      </c>
      <c r="Y4" s="6" t="inlineStr">
        <is>
          <t>declared</t>
        </is>
      </c>
      <c r="Z4" s="8" t="n">
        <v>31433</v>
      </c>
      <c r="AA4" s="9">
        <f>IF(H4="yes",Z4*X4,0)</f>
        <v/>
      </c>
      <c r="AB4" s="9">
        <f>IF(H4="yes",AA4*N(L4)/100,0)</f>
        <v/>
      </c>
      <c r="AC4" s="9">
        <f>IF(H4="yes",AA4*N(N4)/100,0)</f>
        <v/>
      </c>
      <c r="AD4" s="9">
        <f>IF(H4="yes",AA4*N(O4)/100,0)</f>
        <v/>
      </c>
      <c r="AE4" s="10">
        <f>IF(P4="yes",AA4/1000,0)</f>
        <v/>
      </c>
      <c r="AF4" s="10">
        <f>IF(R4="FG2",AE4*W4,AE4)</f>
        <v/>
      </c>
    </row>
    <row r="5">
      <c r="A5" s="6" t="inlineStr">
        <is>
          <t>HM00003</t>
        </is>
      </c>
      <c r="B5" s="7" t="inlineStr">
        <is>
          <t>8712345464387</t>
        </is>
      </c>
      <c r="C5" s="6" t="inlineStr">
        <is>
          <t>PENROCK SALTED PEANUTS 100G</t>
        </is>
      </c>
      <c r="D5" s="6" t="inlineStr">
        <is>
          <t>Salted peanuts, 100g</t>
        </is>
      </c>
      <c r="E5" s="6" t="inlineStr">
        <is>
          <t>Penrock</t>
        </is>
      </c>
      <c r="F5" s="6" t="inlineStr">
        <is>
          <t>Grocery</t>
        </is>
      </c>
      <c r="G5" s="6" t="inlineStr">
        <is>
          <t>Nuts &amp; Seeds</t>
        </is>
      </c>
      <c r="H5" s="6" t="inlineStr">
        <is>
          <t>yes</t>
        </is>
      </c>
      <c r="I5" s="6" t="inlineStr">
        <is>
          <t>Plant-based core</t>
        </is>
      </c>
      <c r="J5" s="6" t="inlineStr">
        <is>
          <t>A</t>
        </is>
      </c>
      <c r="K5" s="6" t="inlineStr">
        <is>
          <t>All ingredients on one side</t>
        </is>
      </c>
      <c r="L5" s="6" t="n">
        <v>25.1</v>
      </c>
      <c r="M5" s="6" t="inlineStr">
        <is>
          <t>Declared by the retailer</t>
        </is>
      </c>
      <c r="N5" s="6" t="n">
        <v>25.1</v>
      </c>
      <c r="O5" s="6" t="n">
        <v>0</v>
      </c>
      <c r="P5" s="6" t="inlineStr">
        <is>
          <t>yes</t>
        </is>
      </c>
      <c r="Q5" s="6" t="inlineStr">
        <is>
          <t>whole</t>
        </is>
      </c>
      <c r="R5" s="6" t="inlineStr">
        <is>
          <t>FG1</t>
        </is>
      </c>
      <c r="S5" s="6" t="inlineStr">
        <is>
          <t>nuts</t>
        </is>
      </c>
      <c r="T5" s="6" t="inlineStr">
        <is>
          <t>plant</t>
        </is>
      </c>
      <c r="U5" s="6" t="n"/>
      <c r="V5" s="6" t="n"/>
      <c r="W5" s="6" t="n">
        <v>1</v>
      </c>
      <c r="X5" s="6" t="n">
        <v>0.1</v>
      </c>
      <c r="Y5" s="6" t="inlineStr">
        <is>
          <t>declared</t>
        </is>
      </c>
      <c r="Z5" s="8" t="n">
        <v>16037</v>
      </c>
      <c r="AA5" s="9">
        <f>IF(H5="yes",Z5*X5,0)</f>
        <v/>
      </c>
      <c r="AB5" s="9">
        <f>IF(H5="yes",AA5*N(L5)/100,0)</f>
        <v/>
      </c>
      <c r="AC5" s="9">
        <f>IF(H5="yes",AA5*N(N5)/100,0)</f>
        <v/>
      </c>
      <c r="AD5" s="9">
        <f>IF(H5="yes",AA5*N(O5)/100,0)</f>
        <v/>
      </c>
      <c r="AE5" s="10">
        <f>IF(P5="yes",AA5/1000,0)</f>
        <v/>
      </c>
      <c r="AF5" s="10">
        <f>IF(R5="FG2",AE5*W5,AE5)</f>
        <v/>
      </c>
    </row>
    <row r="6">
      <c r="A6" s="6" t="inlineStr">
        <is>
          <t>HM00004</t>
        </is>
      </c>
      <c r="B6" s="7" t="inlineStr">
        <is>
          <t>4012345136876</t>
        </is>
      </c>
      <c r="C6" s="6" t="inlineStr">
        <is>
          <t>HM CUCUMBER EACH</t>
        </is>
      </c>
      <c r="D6" s="6" t="inlineStr">
        <is>
          <t>Cucumber</t>
        </is>
      </c>
      <c r="E6" s="6" t="inlineStr">
        <is>
          <t>Harbour Market</t>
        </is>
      </c>
      <c r="F6" s="6" t="inlineStr">
        <is>
          <t>Fruit &amp; Vegetables</t>
        </is>
      </c>
      <c r="G6" s="6" t="inlineStr">
        <is>
          <t>Vegetables</t>
        </is>
      </c>
      <c r="H6" s="6" t="inlineStr">
        <is>
          <t>yes</t>
        </is>
      </c>
      <c r="I6" s="6" t="inlineStr">
        <is>
          <t>Plant-based non-core</t>
        </is>
      </c>
      <c r="J6" s="6" t="inlineStr">
        <is>
          <t>B</t>
        </is>
      </c>
      <c r="K6" s="6" t="inlineStr">
        <is>
          <t>Follows the class</t>
        </is>
      </c>
      <c r="L6" s="6" t="n">
        <v>0.59</v>
      </c>
      <c r="M6" s="6" t="inlineStr">
        <is>
          <t>Median of the family</t>
        </is>
      </c>
      <c r="N6" s="6" t="n">
        <v>0.59</v>
      </c>
      <c r="O6" s="6" t="n">
        <v>0</v>
      </c>
      <c r="P6" s="6" t="inlineStr">
        <is>
          <t>yes</t>
        </is>
      </c>
      <c r="Q6" s="6" t="inlineStr">
        <is>
          <t>whole</t>
        </is>
      </c>
      <c r="R6" s="6" t="inlineStr">
        <is>
          <t>FG4</t>
        </is>
      </c>
      <c r="S6" s="6" t="n"/>
      <c r="T6" s="6" t="inlineStr">
        <is>
          <t>plant</t>
        </is>
      </c>
      <c r="U6" s="6" t="n"/>
      <c r="V6" s="6" t="n"/>
      <c r="W6" s="6" t="n">
        <v>1</v>
      </c>
      <c r="X6" s="6" t="n">
        <v>0.35</v>
      </c>
      <c r="Y6" s="6" t="inlineStr">
        <is>
          <t>typical_piece</t>
        </is>
      </c>
      <c r="Z6" s="8" t="n">
        <v>59748</v>
      </c>
      <c r="AA6" s="9">
        <f>IF(H6="yes",Z6*X6,0)</f>
        <v/>
      </c>
      <c r="AB6" s="9">
        <f>IF(H6="yes",AA6*N(L6)/100,0)</f>
        <v/>
      </c>
      <c r="AC6" s="9">
        <f>IF(H6="yes",AA6*N(N6)/100,0)</f>
        <v/>
      </c>
      <c r="AD6" s="9">
        <f>IF(H6="yes",AA6*N(O6)/100,0)</f>
        <v/>
      </c>
      <c r="AE6" s="10">
        <f>IF(P6="yes",AA6/1000,0)</f>
        <v/>
      </c>
      <c r="AF6" s="10">
        <f>IF(R6="FG2",AE6*W6,AE6)</f>
        <v/>
      </c>
    </row>
    <row r="7">
      <c r="A7" s="6" t="inlineStr">
        <is>
          <t>HM00005</t>
        </is>
      </c>
      <c r="B7" s="7" t="inlineStr">
        <is>
          <t>4012345806564</t>
        </is>
      </c>
      <c r="C7" s="6" t="inlineStr">
        <is>
          <t>ORVALIS BLACK BEANS 4X400G</t>
        </is>
      </c>
      <c r="D7" s="6" t="inlineStr">
        <is>
          <t>Black beans in water, 4x400g</t>
        </is>
      </c>
      <c r="E7" s="6" t="inlineStr">
        <is>
          <t>Orvalis</t>
        </is>
      </c>
      <c r="F7" s="6" t="inlineStr">
        <is>
          <t>Grocery</t>
        </is>
      </c>
      <c r="G7" s="6" t="inlineStr">
        <is>
          <t>Pulses</t>
        </is>
      </c>
      <c r="H7" s="6" t="inlineStr">
        <is>
          <t>yes</t>
        </is>
      </c>
      <c r="I7" s="6" t="inlineStr">
        <is>
          <t>Plant-based core</t>
        </is>
      </c>
      <c r="J7" s="6" t="inlineStr">
        <is>
          <t>A</t>
        </is>
      </c>
      <c r="K7" s="6" t="inlineStr">
        <is>
          <t>All ingredients on one side</t>
        </is>
      </c>
      <c r="L7" s="6" t="n">
        <v>7</v>
      </c>
      <c r="M7" s="6" t="inlineStr">
        <is>
          <t>Median of the family</t>
        </is>
      </c>
      <c r="N7" s="6" t="n">
        <v>7</v>
      </c>
      <c r="O7" s="6" t="n">
        <v>0</v>
      </c>
      <c r="P7" s="6" t="inlineStr">
        <is>
          <t>yes</t>
        </is>
      </c>
      <c r="Q7" s="6" t="inlineStr">
        <is>
          <t>whole</t>
        </is>
      </c>
      <c r="R7" s="6" t="inlineStr">
        <is>
          <t>FG1</t>
        </is>
      </c>
      <c r="S7" s="6" t="inlineStr">
        <is>
          <t>pulses</t>
        </is>
      </c>
      <c r="T7" s="6" t="inlineStr">
        <is>
          <t>plant</t>
        </is>
      </c>
      <c r="U7" s="6" t="n"/>
      <c r="V7" s="6" t="n"/>
      <c r="W7" s="6" t="n">
        <v>1</v>
      </c>
      <c r="X7" s="6" t="n">
        <v>1.6</v>
      </c>
      <c r="Y7" s="6" t="inlineStr">
        <is>
          <t>declared</t>
        </is>
      </c>
      <c r="Z7" s="8" t="n">
        <v>17242</v>
      </c>
      <c r="AA7" s="9">
        <f>IF(H7="yes",Z7*X7,0)</f>
        <v/>
      </c>
      <c r="AB7" s="9">
        <f>IF(H7="yes",AA7*N(L7)/100,0)</f>
        <v/>
      </c>
      <c r="AC7" s="9">
        <f>IF(H7="yes",AA7*N(N7)/100,0)</f>
        <v/>
      </c>
      <c r="AD7" s="9">
        <f>IF(H7="yes",AA7*N(O7)/100,0)</f>
        <v/>
      </c>
      <c r="AE7" s="10">
        <f>IF(P7="yes",AA7/1000,0)</f>
        <v/>
      </c>
      <c r="AF7" s="10">
        <f>IF(R7="FG2",AE7*W7,AE7)</f>
        <v/>
      </c>
    </row>
    <row r="8">
      <c r="A8" s="6" t="inlineStr">
        <is>
          <t>HM00006</t>
        </is>
      </c>
      <c r="B8" s="7" t="inlineStr">
        <is>
          <t>4012345549430</t>
        </is>
      </c>
      <c r="C8" s="6" t="inlineStr">
        <is>
          <t>HM COD FISH FINGERS 4PK 440G</t>
        </is>
      </c>
      <c r="D8" s="6" t="inlineStr">
        <is>
          <t>Cod fish fingers, 4pk 440g</t>
        </is>
      </c>
      <c r="E8" s="6" t="inlineStr">
        <is>
          <t>Harbour Market</t>
        </is>
      </c>
      <c r="F8" s="6" t="inlineStr">
        <is>
          <t>Frozen</t>
        </is>
      </c>
      <c r="G8" s="6" t="inlineStr">
        <is>
          <t>Frozen Fish</t>
        </is>
      </c>
      <c r="H8" s="6" t="inlineStr">
        <is>
          <t>yes</t>
        </is>
      </c>
      <c r="I8" s="6" t="inlineStr">
        <is>
          <t>Animal core</t>
        </is>
      </c>
      <c r="J8" s="6" t="inlineStr">
        <is>
          <t>B</t>
        </is>
      </c>
      <c r="K8" s="6" t="inlineStr">
        <is>
          <t>First ingredient (step 4a)</t>
        </is>
      </c>
      <c r="L8" s="6" t="n">
        <v>11.6</v>
      </c>
      <c r="M8" s="6" t="inlineStr">
        <is>
          <t>Declared by the retailer</t>
        </is>
      </c>
      <c r="N8" s="6" t="n">
        <v>0</v>
      </c>
      <c r="O8" s="6" t="n">
        <v>11.6</v>
      </c>
      <c r="P8" s="6" t="inlineStr">
        <is>
          <t>yes</t>
        </is>
      </c>
      <c r="Q8" s="6" t="inlineStr">
        <is>
          <t>whole</t>
        </is>
      </c>
      <c r="R8" s="6" t="inlineStr">
        <is>
          <t>FG1</t>
        </is>
      </c>
      <c r="S8" s="6" t="inlineStr">
        <is>
          <t>fish shellfish</t>
        </is>
      </c>
      <c r="T8" s="6" t="inlineStr">
        <is>
          <t>animal</t>
        </is>
      </c>
      <c r="U8" s="6" t="n"/>
      <c r="V8" s="6" t="n"/>
      <c r="W8" s="6" t="n">
        <v>1</v>
      </c>
      <c r="X8" s="6" t="n">
        <v>0.44</v>
      </c>
      <c r="Y8" s="6" t="inlineStr">
        <is>
          <t>declared</t>
        </is>
      </c>
      <c r="Z8" s="8" t="n">
        <v>38088</v>
      </c>
      <c r="AA8" s="9">
        <f>IF(H8="yes",Z8*X8,0)</f>
        <v/>
      </c>
      <c r="AB8" s="9">
        <f>IF(H8="yes",AA8*N(L8)/100,0)</f>
        <v/>
      </c>
      <c r="AC8" s="9">
        <f>IF(H8="yes",AA8*N(N8)/100,0)</f>
        <v/>
      </c>
      <c r="AD8" s="9">
        <f>IF(H8="yes",AA8*N(O8)/100,0)</f>
        <v/>
      </c>
      <c r="AE8" s="10">
        <f>IF(P8="yes",AA8/1000,0)</f>
        <v/>
      </c>
      <c r="AF8" s="10">
        <f>IF(R8="FG2",AE8*W8,AE8)</f>
        <v/>
      </c>
    </row>
    <row r="9">
      <c r="A9" s="6" t="inlineStr">
        <is>
          <t>HM00007</t>
        </is>
      </c>
      <c r="B9" s="7" t="inlineStr">
        <is>
          <t>2172222284030</t>
        </is>
      </c>
      <c r="C9" s="6" t="inlineStr">
        <is>
          <t>HM CONFERENCE PEARS LOOSE</t>
        </is>
      </c>
      <c r="D9" s="6" t="inlineStr">
        <is>
          <t>Conference pears</t>
        </is>
      </c>
      <c r="E9" s="6" t="inlineStr">
        <is>
          <t>Harbour Market</t>
        </is>
      </c>
      <c r="F9" s="6" t="inlineStr">
        <is>
          <t>Fruit &amp; Vegetables</t>
        </is>
      </c>
      <c r="G9" s="6" t="inlineStr">
        <is>
          <t>Fruit</t>
        </is>
      </c>
      <c r="H9" s="6" t="inlineStr">
        <is>
          <t>yes</t>
        </is>
      </c>
      <c r="I9" s="6" t="inlineStr">
        <is>
          <t>Plant-based non-core</t>
        </is>
      </c>
      <c r="J9" s="6" t="inlineStr">
        <is>
          <t>B</t>
        </is>
      </c>
      <c r="K9" s="6" t="inlineStr">
        <is>
          <t>Follows the class</t>
        </is>
      </c>
      <c r="L9" s="6" t="n">
        <v>0.39</v>
      </c>
      <c r="M9" s="6" t="inlineStr">
        <is>
          <t>Declared by the retailer</t>
        </is>
      </c>
      <c r="N9" s="6" t="n">
        <v>0.39</v>
      </c>
      <c r="O9" s="6" t="n">
        <v>0</v>
      </c>
      <c r="P9" s="6" t="inlineStr">
        <is>
          <t>yes</t>
        </is>
      </c>
      <c r="Q9" s="6" t="inlineStr">
        <is>
          <t>whole</t>
        </is>
      </c>
      <c r="R9" s="6" t="inlineStr">
        <is>
          <t>FG4</t>
        </is>
      </c>
      <c r="S9" s="6" t="n"/>
      <c r="T9" s="6" t="inlineStr">
        <is>
          <t>plant</t>
        </is>
      </c>
      <c r="U9" s="6" t="n"/>
      <c r="V9" s="6" t="n"/>
      <c r="W9" s="6" t="n">
        <v>1</v>
      </c>
      <c r="X9" s="6" t="n">
        <v>1</v>
      </c>
      <c r="Y9" s="6" t="inlineStr">
        <is>
          <t>variable</t>
        </is>
      </c>
      <c r="Z9" s="8" t="n">
        <v>11976</v>
      </c>
      <c r="AA9" s="9">
        <f>IF(H9="yes",Z9*X9,0)</f>
        <v/>
      </c>
      <c r="AB9" s="9">
        <f>IF(H9="yes",AA9*N(L9)/100,0)</f>
        <v/>
      </c>
      <c r="AC9" s="9">
        <f>IF(H9="yes",AA9*N(N9)/100,0)</f>
        <v/>
      </c>
      <c r="AD9" s="9">
        <f>IF(H9="yes",AA9*N(O9)/100,0)</f>
        <v/>
      </c>
      <c r="AE9" s="10">
        <f>IF(P9="yes",AA9/1000,0)</f>
        <v/>
      </c>
      <c r="AF9" s="10">
        <f>IF(R9="FG2",AE9*W9,AE9)</f>
        <v/>
      </c>
    </row>
    <row r="10">
      <c r="A10" s="6" t="inlineStr">
        <is>
          <t>HM00008</t>
        </is>
      </c>
      <c r="B10" s="7" t="inlineStr">
        <is>
          <t>3012345602952</t>
        </is>
      </c>
      <c r="C10" s="6" t="inlineStr">
        <is>
          <t>BBQ PORK RIBS MARIN 700G TARROW</t>
        </is>
      </c>
      <c r="D10" s="6" t="inlineStr">
        <is>
          <t>Marinated BBQ pork ribs, 700g</t>
        </is>
      </c>
      <c r="E10" s="6" t="inlineStr">
        <is>
          <t>Tarrow Farm</t>
        </is>
      </c>
      <c r="F10" s="6" t="inlineStr">
        <is>
          <t>Fresh Meat &amp; Poultry</t>
        </is>
      </c>
      <c r="G10" s="6" t="inlineStr">
        <is>
          <t>BBQ &amp; Marinated</t>
        </is>
      </c>
      <c r="H10" s="6" t="inlineStr">
        <is>
          <t>yes</t>
        </is>
      </c>
      <c r="I10" s="6" t="inlineStr">
        <is>
          <t>Animal core</t>
        </is>
      </c>
      <c r="J10" s="6" t="inlineStr">
        <is>
          <t>B</t>
        </is>
      </c>
      <c r="K10" s="6" t="inlineStr">
        <is>
          <t>First ingredient (step 4a)</t>
        </is>
      </c>
      <c r="L10" s="6" t="n">
        <v>16.7</v>
      </c>
      <c r="M10" s="6" t="inlineStr">
        <is>
          <t>Median of the family</t>
        </is>
      </c>
      <c r="N10" s="6" t="n">
        <v>0</v>
      </c>
      <c r="O10" s="6" t="n">
        <v>16.7</v>
      </c>
      <c r="P10" s="6" t="inlineStr">
        <is>
          <t>yes</t>
        </is>
      </c>
      <c r="Q10" s="6" t="inlineStr">
        <is>
          <t>whole</t>
        </is>
      </c>
      <c r="R10" s="6" t="inlineStr">
        <is>
          <t>FG1</t>
        </is>
      </c>
      <c r="S10" s="6" t="inlineStr">
        <is>
          <t>red meat</t>
        </is>
      </c>
      <c r="T10" s="6" t="inlineStr">
        <is>
          <t>animal</t>
        </is>
      </c>
      <c r="U10" s="6" t="n"/>
      <c r="V10" s="6" t="n"/>
      <c r="W10" s="6" t="n">
        <v>1</v>
      </c>
      <c r="X10" s="6" t="n">
        <v>0.7</v>
      </c>
      <c r="Y10" s="6" t="inlineStr">
        <is>
          <t>declared</t>
        </is>
      </c>
      <c r="Z10" s="8" t="n">
        <v>45180</v>
      </c>
      <c r="AA10" s="9">
        <f>IF(H10="yes",Z10*X10,0)</f>
        <v/>
      </c>
      <c r="AB10" s="9">
        <f>IF(H10="yes",AA10*N(L10)/100,0)</f>
        <v/>
      </c>
      <c r="AC10" s="9">
        <f>IF(H10="yes",AA10*N(N10)/100,0)</f>
        <v/>
      </c>
      <c r="AD10" s="9">
        <f>IF(H10="yes",AA10*N(O10)/100,0)</f>
        <v/>
      </c>
      <c r="AE10" s="10">
        <f>IF(P10="yes",AA10/1000,0)</f>
        <v/>
      </c>
      <c r="AF10" s="10">
        <f>IF(R10="FG2",AE10*W10,AE10)</f>
        <v/>
      </c>
    </row>
    <row r="11">
      <c r="A11" s="6" t="inlineStr">
        <is>
          <t>HM00009</t>
        </is>
      </c>
      <c r="B11" s="7" t="inlineStr">
        <is>
          <t>5012345329642</t>
        </is>
      </c>
      <c r="C11" s="6" t="inlineStr">
        <is>
          <t>HM COURGETTES EACH</t>
        </is>
      </c>
      <c r="D11" s="6" t="inlineStr">
        <is>
          <t>Courgettes</t>
        </is>
      </c>
      <c r="E11" s="6" t="inlineStr">
        <is>
          <t>Harbour Market</t>
        </is>
      </c>
      <c r="F11" s="6" t="inlineStr">
        <is>
          <t>Fruit &amp; Vegetables</t>
        </is>
      </c>
      <c r="G11" s="6" t="inlineStr">
        <is>
          <t>Vegetables</t>
        </is>
      </c>
      <c r="H11" s="6" t="inlineStr">
        <is>
          <t>yes</t>
        </is>
      </c>
      <c r="I11" s="6" t="inlineStr">
        <is>
          <t>Plant-based non-core</t>
        </is>
      </c>
      <c r="J11" s="6" t="inlineStr">
        <is>
          <t>B</t>
        </is>
      </c>
      <c r="K11" s="6" t="inlineStr">
        <is>
          <t>Follows the class</t>
        </is>
      </c>
      <c r="L11" s="6" t="n">
        <v>1.7</v>
      </c>
      <c r="M11" s="6" t="inlineStr">
        <is>
          <t>Altera reference base</t>
        </is>
      </c>
      <c r="N11" s="6" t="n">
        <v>1.7</v>
      </c>
      <c r="O11" s="6" t="n">
        <v>0</v>
      </c>
      <c r="P11" s="6" t="inlineStr">
        <is>
          <t>yes</t>
        </is>
      </c>
      <c r="Q11" s="6" t="inlineStr">
        <is>
          <t>whole</t>
        </is>
      </c>
      <c r="R11" s="6" t="inlineStr">
        <is>
          <t>FG4</t>
        </is>
      </c>
      <c r="S11" s="6" t="n"/>
      <c r="T11" s="6" t="inlineStr">
        <is>
          <t>plant</t>
        </is>
      </c>
      <c r="U11" s="6" t="n"/>
      <c r="V11" s="6" t="n"/>
      <c r="W11" s="6" t="n">
        <v>1</v>
      </c>
      <c r="X11" s="6" t="n">
        <v>0.25</v>
      </c>
      <c r="Y11" s="6" t="inlineStr">
        <is>
          <t>typical_piece</t>
        </is>
      </c>
      <c r="Z11" s="8" t="n">
        <v>62876</v>
      </c>
      <c r="AA11" s="9">
        <f>IF(H11="yes",Z11*X11,0)</f>
        <v/>
      </c>
      <c r="AB11" s="9">
        <f>IF(H11="yes",AA11*N(L11)/100,0)</f>
        <v/>
      </c>
      <c r="AC11" s="9">
        <f>IF(H11="yes",AA11*N(N11)/100,0)</f>
        <v/>
      </c>
      <c r="AD11" s="9">
        <f>IF(H11="yes",AA11*N(O11)/100,0)</f>
        <v/>
      </c>
      <c r="AE11" s="10">
        <f>IF(P11="yes",AA11/1000,0)</f>
        <v/>
      </c>
      <c r="AF11" s="10">
        <f>IF(R11="FG2",AE11*W11,AE11)</f>
        <v/>
      </c>
    </row>
    <row r="12">
      <c r="A12" s="6" t="inlineStr">
        <is>
          <t>HM00010</t>
        </is>
      </c>
      <c r="B12" s="7" t="inlineStr">
        <is>
          <t>4012345408249</t>
        </is>
      </c>
      <c r="C12" s="6" t="inlineStr">
        <is>
          <t>HM WHITE POTATOES 750G</t>
        </is>
      </c>
      <c r="D12" s="6" t="inlineStr">
        <is>
          <t>White potatoes, 750g</t>
        </is>
      </c>
      <c r="E12" s="6" t="inlineStr">
        <is>
          <t>Harbour Market</t>
        </is>
      </c>
      <c r="F12" s="6" t="inlineStr">
        <is>
          <t>Fruit &amp; Vegetables</t>
        </is>
      </c>
      <c r="G12" s="6" t="inlineStr">
        <is>
          <t>Potatoes</t>
        </is>
      </c>
      <c r="H12" s="6" t="inlineStr">
        <is>
          <t>yes</t>
        </is>
      </c>
      <c r="I12" s="6" t="inlineStr">
        <is>
          <t>Plant-based non-core</t>
        </is>
      </c>
      <c r="J12" s="6" t="inlineStr">
        <is>
          <t>B</t>
        </is>
      </c>
      <c r="K12" s="6" t="inlineStr">
        <is>
          <t>Follows the class</t>
        </is>
      </c>
      <c r="L12" s="6" t="n">
        <v>1.9</v>
      </c>
      <c r="M12" s="6" t="inlineStr">
        <is>
          <t>Open Food Facts, by EAN</t>
        </is>
      </c>
      <c r="N12" s="6" t="n">
        <v>1.9</v>
      </c>
      <c r="O12" s="6" t="n">
        <v>0</v>
      </c>
      <c r="P12" s="6" t="inlineStr">
        <is>
          <t>yes</t>
        </is>
      </c>
      <c r="Q12" s="6" t="inlineStr">
        <is>
          <t>whole</t>
        </is>
      </c>
      <c r="R12" s="6" t="inlineStr">
        <is>
          <t>FG6</t>
        </is>
      </c>
      <c r="S12" s="6" t="n"/>
      <c r="T12" s="6" t="inlineStr">
        <is>
          <t>plant</t>
        </is>
      </c>
      <c r="U12" s="6" t="n"/>
      <c r="V12" s="6" t="n"/>
      <c r="W12" s="6" t="n">
        <v>1</v>
      </c>
      <c r="X12" s="6" t="n">
        <v>0.75</v>
      </c>
      <c r="Y12" s="6" t="inlineStr">
        <is>
          <t>declared</t>
        </is>
      </c>
      <c r="Z12" s="8" t="n">
        <v>39256</v>
      </c>
      <c r="AA12" s="9">
        <f>IF(H12="yes",Z12*X12,0)</f>
        <v/>
      </c>
      <c r="AB12" s="9">
        <f>IF(H12="yes",AA12*N(L12)/100,0)</f>
        <v/>
      </c>
      <c r="AC12" s="9">
        <f>IF(H12="yes",AA12*N(N12)/100,0)</f>
        <v/>
      </c>
      <c r="AD12" s="9">
        <f>IF(H12="yes",AA12*N(O12)/100,0)</f>
        <v/>
      </c>
      <c r="AE12" s="10">
        <f>IF(P12="yes",AA12/1000,0)</f>
        <v/>
      </c>
      <c r="AF12" s="10">
        <f>IF(R12="FG2",AE12*W12,AE12)</f>
        <v/>
      </c>
    </row>
    <row r="13">
      <c r="A13" s="6" t="inlineStr">
        <is>
          <t>HM00011</t>
        </is>
      </c>
      <c r="B13" s="7" t="inlineStr">
        <is>
          <t>4012345434316</t>
        </is>
      </c>
      <c r="C13" s="6" t="inlineStr">
        <is>
          <t>CHERRY YOG 450G FJELDA</t>
        </is>
      </c>
      <c r="D13" s="6" t="inlineStr">
        <is>
          <t>Cherry yoghurt, 450g</t>
        </is>
      </c>
      <c r="E13" s="6" t="inlineStr">
        <is>
          <t>Fjelda</t>
        </is>
      </c>
      <c r="F13" s="6" t="inlineStr">
        <is>
          <t>Dairy &amp; Eggs</t>
        </is>
      </c>
      <c r="G13" s="6" t="inlineStr">
        <is>
          <t>Yoghurt</t>
        </is>
      </c>
      <c r="H13" s="6" t="inlineStr">
        <is>
          <t>yes</t>
        </is>
      </c>
      <c r="I13" s="6" t="inlineStr">
        <is>
          <t>Animal core</t>
        </is>
      </c>
      <c r="J13" s="6" t="inlineStr">
        <is>
          <t>B</t>
        </is>
      </c>
      <c r="K13" s="6" t="inlineStr">
        <is>
          <t>First ingredient (step 4a)</t>
        </is>
      </c>
      <c r="L13" s="6" t="n">
        <v>3.5</v>
      </c>
      <c r="M13" s="6" t="inlineStr">
        <is>
          <t>Altera reference base</t>
        </is>
      </c>
      <c r="N13" s="6" t="n">
        <v>0</v>
      </c>
      <c r="O13" s="6" t="n">
        <v>3.5</v>
      </c>
      <c r="P13" s="6" t="inlineStr">
        <is>
          <t>yes</t>
        </is>
      </c>
      <c r="Q13" s="6" t="inlineStr">
        <is>
          <t>whole</t>
        </is>
      </c>
      <c r="R13" s="6" t="inlineStr">
        <is>
          <t>FG2</t>
        </is>
      </c>
      <c r="S13" s="6" t="inlineStr">
        <is>
          <t>dairy</t>
        </is>
      </c>
      <c r="T13" s="6" t="inlineStr">
        <is>
          <t>animal</t>
        </is>
      </c>
      <c r="U13" s="6" t="n"/>
      <c r="V13" s="6" t="n"/>
      <c r="W13" s="6" t="n">
        <v>1</v>
      </c>
      <c r="X13" s="6" t="n">
        <v>0.45</v>
      </c>
      <c r="Y13" s="6" t="inlineStr">
        <is>
          <t>label</t>
        </is>
      </c>
      <c r="Z13" s="8" t="n">
        <v>20236</v>
      </c>
      <c r="AA13" s="9">
        <f>IF(H13="yes",Z13*X13,0)</f>
        <v/>
      </c>
      <c r="AB13" s="9">
        <f>IF(H13="yes",AA13*N(L13)/100,0)</f>
        <v/>
      </c>
      <c r="AC13" s="9">
        <f>IF(H13="yes",AA13*N(N13)/100,0)</f>
        <v/>
      </c>
      <c r="AD13" s="9">
        <f>IF(H13="yes",AA13*N(O13)/100,0)</f>
        <v/>
      </c>
      <c r="AE13" s="10">
        <f>IF(P13="yes",AA13/1000,0)</f>
        <v/>
      </c>
      <c r="AF13" s="10">
        <f>IF(R13="FG2",AE13*W13,AE13)</f>
        <v/>
      </c>
    </row>
    <row r="14">
      <c r="A14" s="6" t="inlineStr">
        <is>
          <t>HM00012</t>
        </is>
      </c>
      <c r="B14" s="7" t="inlineStr">
        <is>
          <t>5012345518169</t>
        </is>
      </c>
      <c r="C14" s="6" t="inlineStr">
        <is>
          <t>HM BF MINCE 20% 400G</t>
        </is>
      </c>
      <c r="D14" s="6" t="inlineStr">
        <is>
          <t>Beef mince, 20% fat, 400g</t>
        </is>
      </c>
      <c r="E14" s="6" t="inlineStr">
        <is>
          <t>Harbour Market</t>
        </is>
      </c>
      <c r="F14" s="6" t="inlineStr">
        <is>
          <t>Fresh Meat &amp; Poultry</t>
        </is>
      </c>
      <c r="G14" s="6" t="inlineStr">
        <is>
          <t>Beef</t>
        </is>
      </c>
      <c r="H14" s="6" t="inlineStr">
        <is>
          <t>yes</t>
        </is>
      </c>
      <c r="I14" s="6" t="inlineStr">
        <is>
          <t>Animal core</t>
        </is>
      </c>
      <c r="J14" s="6" t="inlineStr">
        <is>
          <t>A</t>
        </is>
      </c>
      <c r="K14" s="6" t="inlineStr">
        <is>
          <t>All ingredients on one side</t>
        </is>
      </c>
      <c r="L14" s="6" t="n">
        <v>17.8</v>
      </c>
      <c r="M14" s="6" t="inlineStr">
        <is>
          <t>Open Food Facts, by EAN</t>
        </is>
      </c>
      <c r="N14" s="6" t="n">
        <v>0</v>
      </c>
      <c r="O14" s="6" t="n">
        <v>17.8</v>
      </c>
      <c r="P14" s="6" t="inlineStr">
        <is>
          <t>yes</t>
        </is>
      </c>
      <c r="Q14" s="6" t="inlineStr">
        <is>
          <t>whole</t>
        </is>
      </c>
      <c r="R14" s="6" t="inlineStr">
        <is>
          <t>FG1</t>
        </is>
      </c>
      <c r="S14" s="6" t="inlineStr">
        <is>
          <t>red meat</t>
        </is>
      </c>
      <c r="T14" s="6" t="inlineStr">
        <is>
          <t>animal</t>
        </is>
      </c>
      <c r="U14" s="6" t="n"/>
      <c r="V14" s="6" t="n"/>
      <c r="W14" s="6" t="n">
        <v>1</v>
      </c>
      <c r="X14" s="6" t="n">
        <v>0.4</v>
      </c>
      <c r="Y14" s="6" t="inlineStr">
        <is>
          <t>declared</t>
        </is>
      </c>
      <c r="Z14" s="8" t="n">
        <v>95677</v>
      </c>
      <c r="AA14" s="9">
        <f>IF(H14="yes",Z14*X14,0)</f>
        <v/>
      </c>
      <c r="AB14" s="9">
        <f>IF(H14="yes",AA14*N(L14)/100,0)</f>
        <v/>
      </c>
      <c r="AC14" s="9">
        <f>IF(H14="yes",AA14*N(N14)/100,0)</f>
        <v/>
      </c>
      <c r="AD14" s="9">
        <f>IF(H14="yes",AA14*N(O14)/100,0)</f>
        <v/>
      </c>
      <c r="AE14" s="10">
        <f>IF(P14="yes",AA14/1000,0)</f>
        <v/>
      </c>
      <c r="AF14" s="10">
        <f>IF(R14="FG2",AE14*W14,AE14)</f>
        <v/>
      </c>
    </row>
    <row r="15">
      <c r="A15" s="6" t="inlineStr">
        <is>
          <t>HM00013</t>
        </is>
      </c>
      <c r="B15" s="7" t="inlineStr">
        <is>
          <t>5012345596600</t>
        </is>
      </c>
      <c r="C15" s="6" t="inlineStr">
        <is>
          <t>HM BRIOCHE ROLLS 6PK 270G</t>
        </is>
      </c>
      <c r="D15" s="6" t="inlineStr">
        <is>
          <t>Brioche rolls, 6pk 270g</t>
        </is>
      </c>
      <c r="E15" s="6" t="inlineStr">
        <is>
          <t>Harbour Market</t>
        </is>
      </c>
      <c r="F15" s="6" t="inlineStr">
        <is>
          <t>Bakery</t>
        </is>
      </c>
      <c r="G15" s="6" t="inlineStr">
        <is>
          <t>Pastries</t>
        </is>
      </c>
      <c r="H15" s="6" t="inlineStr">
        <is>
          <t>yes</t>
        </is>
      </c>
      <c r="I15" s="6" t="inlineStr">
        <is>
          <t>Animal &amp; plant composite</t>
        </is>
      </c>
      <c r="J15" s="6" t="inlineStr">
        <is>
          <t>B</t>
        </is>
      </c>
      <c r="K15" s="6" t="inlineStr">
        <is>
          <t>50/50 convention</t>
        </is>
      </c>
      <c r="L15" s="6" t="n">
        <v>7.8</v>
      </c>
      <c r="M15" s="6" t="inlineStr">
        <is>
          <t>Declared by the retailer</t>
        </is>
      </c>
      <c r="N15" s="6" t="n">
        <v>3.9</v>
      </c>
      <c r="O15" s="6" t="n">
        <v>3.9</v>
      </c>
      <c r="P15" s="6" t="inlineStr">
        <is>
          <t>yes</t>
        </is>
      </c>
      <c r="Q15" s="6" t="inlineStr">
        <is>
          <t>whole</t>
        </is>
      </c>
      <c r="R15" s="6" t="inlineStr">
        <is>
          <t>FG7</t>
        </is>
      </c>
      <c r="S15" s="6" t="n"/>
      <c r="T15" s="6" t="inlineStr">
        <is>
          <t>plant</t>
        </is>
      </c>
      <c r="U15" s="6" t="n"/>
      <c r="V15" s="6" t="n"/>
      <c r="W15" s="6" t="n">
        <v>1</v>
      </c>
      <c r="X15" s="6" t="n">
        <v>0.27</v>
      </c>
      <c r="Y15" s="6" t="inlineStr">
        <is>
          <t>declared</t>
        </is>
      </c>
      <c r="Z15" s="8" t="n">
        <v>28283</v>
      </c>
      <c r="AA15" s="9">
        <f>IF(H15="yes",Z15*X15,0)</f>
        <v/>
      </c>
      <c r="AB15" s="9">
        <f>IF(H15="yes",AA15*N(L15)/100,0)</f>
        <v/>
      </c>
      <c r="AC15" s="9">
        <f>IF(H15="yes",AA15*N(N15)/100,0)</f>
        <v/>
      </c>
      <c r="AD15" s="9">
        <f>IF(H15="yes",AA15*N(O15)/100,0)</f>
        <v/>
      </c>
      <c r="AE15" s="10">
        <f>IF(P15="yes",AA15/1000,0)</f>
        <v/>
      </c>
      <c r="AF15" s="10">
        <f>IF(R15="FG2",AE15*W15,AE15)</f>
        <v/>
      </c>
    </row>
    <row r="16">
      <c r="A16" s="6" t="inlineStr">
        <is>
          <t>HM00014</t>
        </is>
      </c>
      <c r="B16" s="7" t="inlineStr">
        <is>
          <t>8712345015398</t>
        </is>
      </c>
      <c r="C16" s="6" t="inlineStr">
        <is>
          <t>HM CHORIZO SLICES 70G</t>
        </is>
      </c>
      <c r="D16" s="6" t="inlineStr">
        <is>
          <t>Chorizo slices, 70g</t>
        </is>
      </c>
      <c r="E16" s="6" t="inlineStr">
        <is>
          <t>Harbour Market</t>
        </is>
      </c>
      <c r="F16" s="6" t="inlineStr">
        <is>
          <t>Deli</t>
        </is>
      </c>
      <c r="G16" s="6" t="inlineStr">
        <is>
          <t>Cured Meats</t>
        </is>
      </c>
      <c r="H16" s="6" t="inlineStr">
        <is>
          <t>yes</t>
        </is>
      </c>
      <c r="I16" s="6" t="inlineStr">
        <is>
          <t>Animal core</t>
        </is>
      </c>
      <c r="J16" s="6" t="inlineStr">
        <is>
          <t>A</t>
        </is>
      </c>
      <c r="K16" s="6" t="inlineStr">
        <is>
          <t>All ingredients on one side</t>
        </is>
      </c>
      <c r="L16" s="6" t="n">
        <v>24.5</v>
      </c>
      <c r="M16" s="6" t="inlineStr">
        <is>
          <t>Declared by the retailer</t>
        </is>
      </c>
      <c r="N16" s="6" t="n">
        <v>0</v>
      </c>
      <c r="O16" s="6" t="n">
        <v>24.5</v>
      </c>
      <c r="P16" s="6" t="inlineStr">
        <is>
          <t>yes</t>
        </is>
      </c>
      <c r="Q16" s="6" t="inlineStr">
        <is>
          <t>whole</t>
        </is>
      </c>
      <c r="R16" s="6" t="inlineStr">
        <is>
          <t>FG1</t>
        </is>
      </c>
      <c r="S16" s="6" t="inlineStr">
        <is>
          <t>red meat</t>
        </is>
      </c>
      <c r="T16" s="6" t="inlineStr">
        <is>
          <t>animal</t>
        </is>
      </c>
      <c r="U16" s="6" t="n"/>
      <c r="V16" s="6" t="n"/>
      <c r="W16" s="6" t="n">
        <v>1</v>
      </c>
      <c r="X16" s="6" t="n">
        <v>0.07000000000000001</v>
      </c>
      <c r="Y16" s="6" t="inlineStr">
        <is>
          <t>declared</t>
        </is>
      </c>
      <c r="Z16" s="8" t="n">
        <v>42024</v>
      </c>
      <c r="AA16" s="9">
        <f>IF(H16="yes",Z16*X16,0)</f>
        <v/>
      </c>
      <c r="AB16" s="9">
        <f>IF(H16="yes",AA16*N(L16)/100,0)</f>
        <v/>
      </c>
      <c r="AC16" s="9">
        <f>IF(H16="yes",AA16*N(N16)/100,0)</f>
        <v/>
      </c>
      <c r="AD16" s="9">
        <f>IF(H16="yes",AA16*N(O16)/100,0)</f>
        <v/>
      </c>
      <c r="AE16" s="10">
        <f>IF(P16="yes",AA16/1000,0)</f>
        <v/>
      </c>
      <c r="AF16" s="10">
        <f>IF(R16="FG2",AE16*W16,AE16)</f>
        <v/>
      </c>
    </row>
    <row r="17">
      <c r="A17" s="6" t="inlineStr">
        <is>
          <t>HM00015</t>
        </is>
      </c>
      <c r="B17" s="7" t="inlineStr">
        <is>
          <t>4012345189018</t>
        </is>
      </c>
      <c r="C17" s="6" t="inlineStr">
        <is>
          <t>HM BLACK PEPPER GROUND 100G</t>
        </is>
      </c>
      <c r="D17" s="6" t="inlineStr">
        <is>
          <t>Ground black pepper, 100g</t>
        </is>
      </c>
      <c r="E17" s="6" t="inlineStr">
        <is>
          <t>Harbour Market</t>
        </is>
      </c>
      <c r="F17" s="6" t="inlineStr">
        <is>
          <t>Grocery</t>
        </is>
      </c>
      <c r="G17" s="6" t="inlineStr">
        <is>
          <t>Herbs &amp; Spices</t>
        </is>
      </c>
      <c r="H17" s="6" t="inlineStr">
        <is>
          <t>yes</t>
        </is>
      </c>
      <c r="I17" s="6" t="inlineStr">
        <is>
          <t>Plant-based non-core</t>
        </is>
      </c>
      <c r="J17" s="6" t="inlineStr">
        <is>
          <t>B</t>
        </is>
      </c>
      <c r="K17" s="6" t="inlineStr">
        <is>
          <t>Follows the class</t>
        </is>
      </c>
      <c r="L17" s="6" t="n">
        <v>9.800000000000001</v>
      </c>
      <c r="M17" s="6" t="inlineStr">
        <is>
          <t>Median of the family</t>
        </is>
      </c>
      <c r="N17" s="6" t="n">
        <v>9.800000000000001</v>
      </c>
      <c r="O17" s="6" t="n">
        <v>0</v>
      </c>
      <c r="P17" s="6" t="inlineStr">
        <is>
          <t>no</t>
        </is>
      </c>
      <c r="Q17" s="6" t="n"/>
      <c r="R17" s="6" t="n"/>
      <c r="S17" s="6" t="n"/>
      <c r="T17" s="6" t="n"/>
      <c r="U17" s="6" t="n"/>
      <c r="V17" s="6" t="inlineStr">
        <is>
          <t>herbs spices</t>
        </is>
      </c>
      <c r="W17" s="6" t="n">
        <v>1</v>
      </c>
      <c r="X17" s="6" t="n">
        <v>0.1</v>
      </c>
      <c r="Y17" s="6" t="inlineStr">
        <is>
          <t>declared</t>
        </is>
      </c>
      <c r="Z17" s="8" t="n">
        <v>2863</v>
      </c>
      <c r="AA17" s="9">
        <f>IF(H17="yes",Z17*X17,0)</f>
        <v/>
      </c>
      <c r="AB17" s="9">
        <f>IF(H17="yes",AA17*N(L17)/100,0)</f>
        <v/>
      </c>
      <c r="AC17" s="9">
        <f>IF(H17="yes",AA17*N(N17)/100,0)</f>
        <v/>
      </c>
      <c r="AD17" s="9">
        <f>IF(H17="yes",AA17*N(O17)/100,0)</f>
        <v/>
      </c>
      <c r="AE17" s="10">
        <f>IF(P17="yes",AA17/1000,0)</f>
        <v/>
      </c>
      <c r="AF17" s="10">
        <f>IF(R17="FG2",AE17*W17,AE17)</f>
        <v/>
      </c>
    </row>
    <row r="18">
      <c r="A18" s="6" t="inlineStr">
        <is>
          <t>HM00016</t>
        </is>
      </c>
      <c r="B18" s="7" t="inlineStr">
        <is>
          <t>5012345976006</t>
        </is>
      </c>
      <c r="C18" s="6" t="inlineStr">
        <is>
          <t>HM NUT CHOC BARS 5X35G</t>
        </is>
      </c>
      <c r="D18" s="6" t="inlineStr">
        <is>
          <t>Nut &amp; dark chocolate bars, 5x35g</t>
        </is>
      </c>
      <c r="E18" s="6" t="inlineStr">
        <is>
          <t>Harbour Market</t>
        </is>
      </c>
      <c r="F18" s="6" t="inlineStr">
        <is>
          <t>Breakfast &amp; Snacks</t>
        </is>
      </c>
      <c r="G18" s="6" t="inlineStr">
        <is>
          <t>Cereal Bars</t>
        </is>
      </c>
      <c r="H18" s="6" t="inlineStr">
        <is>
          <t>yes</t>
        </is>
      </c>
      <c r="I18" s="6" t="inlineStr">
        <is>
          <t>Plant-based non-core</t>
        </is>
      </c>
      <c r="J18" s="6" t="inlineStr">
        <is>
          <t>B</t>
        </is>
      </c>
      <c r="K18" s="6" t="inlineStr">
        <is>
          <t>Follows the class</t>
        </is>
      </c>
      <c r="L18" s="6" t="n">
        <v>6.2</v>
      </c>
      <c r="M18" s="6" t="inlineStr">
        <is>
          <t>Declared by the retailer</t>
        </is>
      </c>
      <c r="N18" s="6" t="n">
        <v>6.2</v>
      </c>
      <c r="O18" s="6" t="n">
        <v>0</v>
      </c>
      <c r="P18" s="6" t="inlineStr">
        <is>
          <t>yes</t>
        </is>
      </c>
      <c r="Q18" s="6" t="inlineStr">
        <is>
          <t>whole</t>
        </is>
      </c>
      <c r="R18" s="6" t="inlineStr">
        <is>
          <t>FG7</t>
        </is>
      </c>
      <c r="S18" s="6" t="n"/>
      <c r="T18" s="6" t="inlineStr">
        <is>
          <t>plant</t>
        </is>
      </c>
      <c r="U18" s="6" t="n"/>
      <c r="V18" s="6" t="n"/>
      <c r="W18" s="6" t="n">
        <v>1</v>
      </c>
      <c r="X18" s="6" t="n">
        <v>0.175</v>
      </c>
      <c r="Y18" s="6" t="inlineStr">
        <is>
          <t>declared</t>
        </is>
      </c>
      <c r="Z18" s="8" t="n">
        <v>166857</v>
      </c>
      <c r="AA18" s="9">
        <f>IF(H18="yes",Z18*X18,0)</f>
        <v/>
      </c>
      <c r="AB18" s="9">
        <f>IF(H18="yes",AA18*N(L18)/100,0)</f>
        <v/>
      </c>
      <c r="AC18" s="9">
        <f>IF(H18="yes",AA18*N(N18)/100,0)</f>
        <v/>
      </c>
      <c r="AD18" s="9">
        <f>IF(H18="yes",AA18*N(O18)/100,0)</f>
        <v/>
      </c>
      <c r="AE18" s="10">
        <f>IF(P18="yes",AA18/1000,0)</f>
        <v/>
      </c>
      <c r="AF18" s="10">
        <f>IF(R18="FG2",AE18*W18,AE18)</f>
        <v/>
      </c>
    </row>
    <row r="19">
      <c r="A19" s="6" t="inlineStr">
        <is>
          <t>HM00017</t>
        </is>
      </c>
      <c r="B19" s="7" t="inlineStr">
        <is>
          <t>4012345124340</t>
        </is>
      </c>
      <c r="C19" s="6" t="inlineStr">
        <is>
          <t>HM APPLES PINK LADY 6PK</t>
        </is>
      </c>
      <c r="D19" s="6" t="inlineStr">
        <is>
          <t>Pink Lady apples, 6pk</t>
        </is>
      </c>
      <c r="E19" s="6" t="inlineStr">
        <is>
          <t>Harbour Market</t>
        </is>
      </c>
      <c r="F19" s="6" t="inlineStr">
        <is>
          <t>Fruit &amp; Vegetables</t>
        </is>
      </c>
      <c r="G19" s="6" t="inlineStr">
        <is>
          <t>Fruit</t>
        </is>
      </c>
      <c r="H19" s="6" t="inlineStr">
        <is>
          <t>yes</t>
        </is>
      </c>
      <c r="I19" s="6" t="inlineStr">
        <is>
          <t>Plant-based non-core</t>
        </is>
      </c>
      <c r="J19" s="6" t="inlineStr">
        <is>
          <t>B</t>
        </is>
      </c>
      <c r="K19" s="6" t="inlineStr">
        <is>
          <t>Follows the class</t>
        </is>
      </c>
      <c r="L19" s="6" t="n">
        <v>0.3</v>
      </c>
      <c r="M19" s="6" t="inlineStr">
        <is>
          <t>Declared by the retailer</t>
        </is>
      </c>
      <c r="N19" s="6" t="n">
        <v>0.3</v>
      </c>
      <c r="O19" s="6" t="n">
        <v>0</v>
      </c>
      <c r="P19" s="6" t="inlineStr">
        <is>
          <t>yes</t>
        </is>
      </c>
      <c r="Q19" s="6" t="inlineStr">
        <is>
          <t>whole</t>
        </is>
      </c>
      <c r="R19" s="6" t="inlineStr">
        <is>
          <t>FG4</t>
        </is>
      </c>
      <c r="S19" s="6" t="n"/>
      <c r="T19" s="6" t="inlineStr">
        <is>
          <t>plant</t>
        </is>
      </c>
      <c r="U19" s="6" t="n"/>
      <c r="V19" s="6" t="n"/>
      <c r="W19" s="6" t="n">
        <v>1</v>
      </c>
      <c r="X19" s="6" t="n">
        <v>0.9</v>
      </c>
      <c r="Y19" s="6" t="inlineStr">
        <is>
          <t>declared</t>
        </is>
      </c>
      <c r="Z19" s="8" t="n">
        <v>88505</v>
      </c>
      <c r="AA19" s="9">
        <f>IF(H19="yes",Z19*X19,0)</f>
        <v/>
      </c>
      <c r="AB19" s="9">
        <f>IF(H19="yes",AA19*N(L19)/100,0)</f>
        <v/>
      </c>
      <c r="AC19" s="9">
        <f>IF(H19="yes",AA19*N(N19)/100,0)</f>
        <v/>
      </c>
      <c r="AD19" s="9">
        <f>IF(H19="yes",AA19*N(O19)/100,0)</f>
        <v/>
      </c>
      <c r="AE19" s="10">
        <f>IF(P19="yes",AA19/1000,0)</f>
        <v/>
      </c>
      <c r="AF19" s="10">
        <f>IF(R19="FG2",AE19*W19,AE19)</f>
        <v/>
      </c>
    </row>
    <row r="20">
      <c r="A20" s="6" t="inlineStr">
        <is>
          <t>HM00018</t>
        </is>
      </c>
      <c r="B20" s="7" t="inlineStr">
        <is>
          <t>8712345317010</t>
        </is>
      </c>
      <c r="C20" s="6" t="inlineStr">
        <is>
          <t>HM OAT RAISIN BARS 5X35G</t>
        </is>
      </c>
      <c r="D20" s="6" t="inlineStr">
        <is>
          <t>Oat &amp; raisin bars, 5x35g</t>
        </is>
      </c>
      <c r="E20" s="6" t="inlineStr">
        <is>
          <t>Harbour Market</t>
        </is>
      </c>
      <c r="F20" s="6" t="inlineStr">
        <is>
          <t>Breakfast &amp; Snacks</t>
        </is>
      </c>
      <c r="G20" s="6" t="inlineStr">
        <is>
          <t>Cereal Bars</t>
        </is>
      </c>
      <c r="H20" s="6" t="inlineStr">
        <is>
          <t>yes</t>
        </is>
      </c>
      <c r="I20" s="6" t="inlineStr">
        <is>
          <t>Plant-based non-core</t>
        </is>
      </c>
      <c r="J20" s="6" t="inlineStr">
        <is>
          <t>A</t>
        </is>
      </c>
      <c r="K20" s="6" t="inlineStr">
        <is>
          <t>All ingredients on one side</t>
        </is>
      </c>
      <c r="L20" s="6" t="n">
        <v>5.7</v>
      </c>
      <c r="M20" s="6" t="inlineStr">
        <is>
          <t>Declared by the retailer</t>
        </is>
      </c>
      <c r="N20" s="6" t="n">
        <v>5.7</v>
      </c>
      <c r="O20" s="6" t="n">
        <v>0</v>
      </c>
      <c r="P20" s="6" t="inlineStr">
        <is>
          <t>yes</t>
        </is>
      </c>
      <c r="Q20" s="6" t="inlineStr">
        <is>
          <t>whole</t>
        </is>
      </c>
      <c r="R20" s="6" t="inlineStr">
        <is>
          <t>FG7</t>
        </is>
      </c>
      <c r="S20" s="6" t="n"/>
      <c r="T20" s="6" t="inlineStr">
        <is>
          <t>plant</t>
        </is>
      </c>
      <c r="U20" s="6" t="n"/>
      <c r="V20" s="6" t="n"/>
      <c r="W20" s="6" t="n">
        <v>1</v>
      </c>
      <c r="X20" s="6" t="n">
        <v>0.175</v>
      </c>
      <c r="Y20" s="6" t="inlineStr">
        <is>
          <t>declared</t>
        </is>
      </c>
      <c r="Z20" s="8" t="n">
        <v>8680</v>
      </c>
      <c r="AA20" s="9">
        <f>IF(H20="yes",Z20*X20,0)</f>
        <v/>
      </c>
      <c r="AB20" s="9">
        <f>IF(H20="yes",AA20*N(L20)/100,0)</f>
        <v/>
      </c>
      <c r="AC20" s="9">
        <f>IF(H20="yes",AA20*N(N20)/100,0)</f>
        <v/>
      </c>
      <c r="AD20" s="9">
        <f>IF(H20="yes",AA20*N(O20)/100,0)</f>
        <v/>
      </c>
      <c r="AE20" s="10">
        <f>IF(P20="yes",AA20/1000,0)</f>
        <v/>
      </c>
      <c r="AF20" s="10">
        <f>IF(R20="FG2",AE20*W20,AE20)</f>
        <v/>
      </c>
    </row>
    <row r="21">
      <c r="A21" s="6" t="inlineStr">
        <is>
          <t>HM00019</t>
        </is>
      </c>
      <c r="B21" s="7" t="inlineStr">
        <is>
          <t>8712345435639</t>
        </is>
      </c>
      <c r="C21" s="6" t="inlineStr">
        <is>
          <t>HM CHOC CHIP COOKIES 200G</t>
        </is>
      </c>
      <c r="D21" s="6" t="inlineStr">
        <is>
          <t>Chocolate chip cookies, 200g</t>
        </is>
      </c>
      <c r="E21" s="6" t="inlineStr">
        <is>
          <t>Harbour Market</t>
        </is>
      </c>
      <c r="F21" s="6" t="inlineStr">
        <is>
          <t>Breakfast &amp; Snacks</t>
        </is>
      </c>
      <c r="G21" s="6" t="inlineStr">
        <is>
          <t>Biscuits</t>
        </is>
      </c>
      <c r="H21" s="6" t="inlineStr">
        <is>
          <t>yes</t>
        </is>
      </c>
      <c r="I21" s="6" t="inlineStr">
        <is>
          <t>Animal &amp; plant composite</t>
        </is>
      </c>
      <c r="J21" s="6" t="inlineStr">
        <is>
          <t>B</t>
        </is>
      </c>
      <c r="K21" s="6" t="inlineStr">
        <is>
          <t>50/50 convention</t>
        </is>
      </c>
      <c r="L21" s="6" t="n">
        <v>6.4</v>
      </c>
      <c r="M21" s="6" t="inlineStr">
        <is>
          <t>Declared by the retailer</t>
        </is>
      </c>
      <c r="N21" s="6" t="n">
        <v>3.2</v>
      </c>
      <c r="O21" s="6" t="n">
        <v>3.2</v>
      </c>
      <c r="P21" s="6" t="inlineStr">
        <is>
          <t>yes</t>
        </is>
      </c>
      <c r="Q21" s="6" t="inlineStr">
        <is>
          <t>whole</t>
        </is>
      </c>
      <c r="R21" s="6" t="inlineStr">
        <is>
          <t>FG7</t>
        </is>
      </c>
      <c r="S21" s="6" t="n"/>
      <c r="T21" s="6" t="inlineStr">
        <is>
          <t>plant</t>
        </is>
      </c>
      <c r="U21" s="6" t="n"/>
      <c r="V21" s="6" t="n"/>
      <c r="W21" s="6" t="n">
        <v>1</v>
      </c>
      <c r="X21" s="6" t="n">
        <v>0.2</v>
      </c>
      <c r="Y21" s="6" t="inlineStr">
        <is>
          <t>declared</t>
        </is>
      </c>
      <c r="Z21" s="8" t="n">
        <v>177702</v>
      </c>
      <c r="AA21" s="9">
        <f>IF(H21="yes",Z21*X21,0)</f>
        <v/>
      </c>
      <c r="AB21" s="9">
        <f>IF(H21="yes",AA21*N(L21)/100,0)</f>
        <v/>
      </c>
      <c r="AC21" s="9">
        <f>IF(H21="yes",AA21*N(N21)/100,0)</f>
        <v/>
      </c>
      <c r="AD21" s="9">
        <f>IF(H21="yes",AA21*N(O21)/100,0)</f>
        <v/>
      </c>
      <c r="AE21" s="10">
        <f>IF(P21="yes",AA21/1000,0)</f>
        <v/>
      </c>
      <c r="AF21" s="10">
        <f>IF(R21="FG2",AE21*W21,AE21)</f>
        <v/>
      </c>
    </row>
    <row r="22">
      <c r="A22" s="6" t="inlineStr">
        <is>
          <t>HM00020</t>
        </is>
      </c>
      <c r="B22" s="7" t="inlineStr">
        <is>
          <t>8712345090920</t>
        </is>
      </c>
      <c r="C22" s="6" t="inlineStr">
        <is>
          <t>HM SMKD TOFU 200G</t>
        </is>
      </c>
      <c r="D22" s="6" t="inlineStr">
        <is>
          <t>Smoked tofu, 200g</t>
        </is>
      </c>
      <c r="E22" s="6" t="inlineStr">
        <is>
          <t>Harbour Market</t>
        </is>
      </c>
      <c r="F22" s="6" t="inlineStr">
        <is>
          <t>Plant-Based</t>
        </is>
      </c>
      <c r="G22" s="6" t="inlineStr">
        <is>
          <t>Tofu &amp; Tempeh</t>
        </is>
      </c>
      <c r="H22" s="6" t="inlineStr">
        <is>
          <t>yes</t>
        </is>
      </c>
      <c r="I22" s="6" t="inlineStr">
        <is>
          <t>Plant-based core</t>
        </is>
      </c>
      <c r="J22" s="6" t="inlineStr">
        <is>
          <t>B</t>
        </is>
      </c>
      <c r="K22" s="6" t="inlineStr">
        <is>
          <t>Follows the class</t>
        </is>
      </c>
      <c r="L22" s="6" t="n">
        <v>12.5</v>
      </c>
      <c r="M22" s="6" t="inlineStr">
        <is>
          <t>Open Food Facts, by EAN</t>
        </is>
      </c>
      <c r="N22" s="6" t="n">
        <v>12.5</v>
      </c>
      <c r="O22" s="6" t="n">
        <v>0</v>
      </c>
      <c r="P22" s="6" t="inlineStr">
        <is>
          <t>yes</t>
        </is>
      </c>
      <c r="Q22" s="6" t="inlineStr">
        <is>
          <t>whole</t>
        </is>
      </c>
      <c r="R22" s="6" t="inlineStr">
        <is>
          <t>FG1</t>
        </is>
      </c>
      <c r="S22" s="6" t="inlineStr">
        <is>
          <t>tofu tempeh seitan</t>
        </is>
      </c>
      <c r="T22" s="6" t="inlineStr">
        <is>
          <t>plant</t>
        </is>
      </c>
      <c r="U22" s="6" t="n"/>
      <c r="V22" s="6" t="n"/>
      <c r="W22" s="6" t="n">
        <v>1</v>
      </c>
      <c r="X22" s="6" t="n">
        <v>0.2</v>
      </c>
      <c r="Y22" s="6" t="inlineStr">
        <is>
          <t>declared</t>
        </is>
      </c>
      <c r="Z22" s="8" t="n">
        <v>16130</v>
      </c>
      <c r="AA22" s="9">
        <f>IF(H22="yes",Z22*X22,0)</f>
        <v/>
      </c>
      <c r="AB22" s="9">
        <f>IF(H22="yes",AA22*N(L22)/100,0)</f>
        <v/>
      </c>
      <c r="AC22" s="9">
        <f>IF(H22="yes",AA22*N(N22)/100,0)</f>
        <v/>
      </c>
      <c r="AD22" s="9">
        <f>IF(H22="yes",AA22*N(O22)/100,0)</f>
        <v/>
      </c>
      <c r="AE22" s="10">
        <f>IF(P22="yes",AA22/1000,0)</f>
        <v/>
      </c>
      <c r="AF22" s="10">
        <f>IF(R22="FG2",AE22*W22,AE22)</f>
        <v/>
      </c>
    </row>
    <row r="23">
      <c r="A23" s="6" t="inlineStr">
        <is>
          <t>HM00021</t>
        </is>
      </c>
      <c r="B23" s="7" t="inlineStr">
        <is>
          <t>0012345871504</t>
        </is>
      </c>
      <c r="C23" s="6" t="inlineStr">
        <is>
          <t>HM MILK CHOC HAZELNUT 4X40G</t>
        </is>
      </c>
      <c r="D23" s="6" t="inlineStr">
        <is>
          <t>Milk chocolate with hazelnuts, 4x40g</t>
        </is>
      </c>
      <c r="E23" s="6" t="inlineStr">
        <is>
          <t>Harbour Market</t>
        </is>
      </c>
      <c r="F23" s="6" t="inlineStr">
        <is>
          <t>Breakfast &amp; Snacks</t>
        </is>
      </c>
      <c r="G23" s="6" t="inlineStr">
        <is>
          <t>Chocolate</t>
        </is>
      </c>
      <c r="H23" s="6" t="inlineStr">
        <is>
          <t>yes</t>
        </is>
      </c>
      <c r="I23" s="6" t="inlineStr">
        <is>
          <t>Animal &amp; plant composite</t>
        </is>
      </c>
      <c r="J23" s="6" t="inlineStr">
        <is>
          <t>A</t>
        </is>
      </c>
      <c r="K23" s="6" t="inlineStr">
        <is>
          <t>Ingredient list</t>
        </is>
      </c>
      <c r="L23" s="6" t="n">
        <v>7.8</v>
      </c>
      <c r="M23" s="6" t="inlineStr">
        <is>
          <t>Declared by the retailer</t>
        </is>
      </c>
      <c r="N23" s="6" t="n">
        <v>3.59</v>
      </c>
      <c r="O23" s="6" t="n">
        <v>4.21</v>
      </c>
      <c r="P23" s="6" t="inlineStr">
        <is>
          <t>yes</t>
        </is>
      </c>
      <c r="Q23" s="6" t="inlineStr">
        <is>
          <t>whole</t>
        </is>
      </c>
      <c r="R23" s="6" t="inlineStr">
        <is>
          <t>FG7</t>
        </is>
      </c>
      <c r="S23" s="6" t="n"/>
      <c r="T23" s="6" t="inlineStr">
        <is>
          <t>plant</t>
        </is>
      </c>
      <c r="U23" s="6" t="n"/>
      <c r="V23" s="6" t="n"/>
      <c r="W23" s="6" t="n">
        <v>1</v>
      </c>
      <c r="X23" s="6" t="n">
        <v>0.16</v>
      </c>
      <c r="Y23" s="6" t="inlineStr">
        <is>
          <t>declared</t>
        </is>
      </c>
      <c r="Z23" s="8" t="n">
        <v>41407</v>
      </c>
      <c r="AA23" s="9">
        <f>IF(H23="yes",Z23*X23,0)</f>
        <v/>
      </c>
      <c r="AB23" s="9">
        <f>IF(H23="yes",AA23*N(L23)/100,0)</f>
        <v/>
      </c>
      <c r="AC23" s="9">
        <f>IF(H23="yes",AA23*N(N23)/100,0)</f>
        <v/>
      </c>
      <c r="AD23" s="9">
        <f>IF(H23="yes",AA23*N(O23)/100,0)</f>
        <v/>
      </c>
      <c r="AE23" s="10">
        <f>IF(P23="yes",AA23/1000,0)</f>
        <v/>
      </c>
      <c r="AF23" s="10">
        <f>IF(R23="FG2",AE23*W23,AE23)</f>
        <v/>
      </c>
    </row>
    <row r="24">
      <c r="A24" s="6" t="inlineStr">
        <is>
          <t>HM00022</t>
        </is>
      </c>
      <c r="B24" s="7" t="inlineStr">
        <is>
          <t>5012345520179</t>
        </is>
      </c>
      <c r="C24" s="6" t="inlineStr">
        <is>
          <t>HM RAPESEED OIL 1L</t>
        </is>
      </c>
      <c r="D24" s="6" t="inlineStr">
        <is>
          <t>Rapeseed oil, 1l</t>
        </is>
      </c>
      <c r="E24" s="6" t="inlineStr">
        <is>
          <t>Harbour Market</t>
        </is>
      </c>
      <c r="F24" s="6" t="inlineStr">
        <is>
          <t>Grocery</t>
        </is>
      </c>
      <c r="G24" s="6" t="inlineStr">
        <is>
          <t>Oils</t>
        </is>
      </c>
      <c r="H24" s="6" t="inlineStr">
        <is>
          <t>yes</t>
        </is>
      </c>
      <c r="I24" s="6" t="inlineStr">
        <is>
          <t>Plant-based non-core</t>
        </is>
      </c>
      <c r="J24" s="6" t="inlineStr">
        <is>
          <t>B</t>
        </is>
      </c>
      <c r="K24" s="6" t="inlineStr">
        <is>
          <t>Follows the class</t>
        </is>
      </c>
      <c r="L24" s="6" t="n">
        <v>0</v>
      </c>
      <c r="M24" s="6" t="inlineStr">
        <is>
          <t>Median of the family</t>
        </is>
      </c>
      <c r="N24" s="6" t="n">
        <v>0</v>
      </c>
      <c r="O24" s="6" t="n">
        <v>0</v>
      </c>
      <c r="P24" s="6" t="inlineStr">
        <is>
          <t>yes</t>
        </is>
      </c>
      <c r="Q24" s="6" t="inlineStr">
        <is>
          <t>whole</t>
        </is>
      </c>
      <c r="R24" s="6" t="inlineStr">
        <is>
          <t>FG3</t>
        </is>
      </c>
      <c r="S24" s="6" t="inlineStr">
        <is>
          <t>plant fat</t>
        </is>
      </c>
      <c r="T24" s="6" t="inlineStr">
        <is>
          <t>plant</t>
        </is>
      </c>
      <c r="U24" s="6" t="n"/>
      <c r="V24" s="6" t="n"/>
      <c r="W24" s="6" t="n">
        <v>1</v>
      </c>
      <c r="X24" s="6" t="n">
        <v>0.92</v>
      </c>
      <c r="Y24" s="6" t="inlineStr">
        <is>
          <t>label</t>
        </is>
      </c>
      <c r="Z24" s="8" t="n">
        <v>8930</v>
      </c>
      <c r="AA24" s="9">
        <f>IF(H24="yes",Z24*X24,0)</f>
        <v/>
      </c>
      <c r="AB24" s="9">
        <f>IF(H24="yes",AA24*N(L24)/100,0)</f>
        <v/>
      </c>
      <c r="AC24" s="9">
        <f>IF(H24="yes",AA24*N(N24)/100,0)</f>
        <v/>
      </c>
      <c r="AD24" s="9">
        <f>IF(H24="yes",AA24*N(O24)/100,0)</f>
        <v/>
      </c>
      <c r="AE24" s="10">
        <f>IF(P24="yes",AA24/1000,0)</f>
        <v/>
      </c>
      <c r="AF24" s="10">
        <f>IF(R24="FG2",AE24*W24,AE24)</f>
        <v/>
      </c>
    </row>
    <row r="25">
      <c r="A25" s="6" t="inlineStr">
        <is>
          <t>HM00023</t>
        </is>
      </c>
      <c r="B25" s="7" t="inlineStr">
        <is>
          <t>8712345602871</t>
        </is>
      </c>
      <c r="C25" s="6" t="inlineStr">
        <is>
          <t>WHLWHT PENNE 1KG ORVALIS</t>
        </is>
      </c>
      <c r="D25" s="6" t="inlineStr">
        <is>
          <t>Wholewheat penne, 1kg</t>
        </is>
      </c>
      <c r="E25" s="6" t="inlineStr">
        <is>
          <t>Orvalis</t>
        </is>
      </c>
      <c r="F25" s="6" t="inlineStr">
        <is>
          <t>Grocery</t>
        </is>
      </c>
      <c r="G25" s="6" t="inlineStr">
        <is>
          <t>Pasta</t>
        </is>
      </c>
      <c r="H25" s="6" t="inlineStr">
        <is>
          <t>yes</t>
        </is>
      </c>
      <c r="I25" s="6" t="inlineStr">
        <is>
          <t>Plant-based non-core</t>
        </is>
      </c>
      <c r="J25" s="6" t="inlineStr">
        <is>
          <t>A</t>
        </is>
      </c>
      <c r="K25" s="6" t="inlineStr">
        <is>
          <t>All ingredients on one side</t>
        </is>
      </c>
      <c r="L25" s="6" t="n">
        <v>13.7</v>
      </c>
      <c r="M25" s="6" t="inlineStr">
        <is>
          <t>Declared by the retailer</t>
        </is>
      </c>
      <c r="N25" s="6" t="n">
        <v>13.7</v>
      </c>
      <c r="O25" s="6" t="n">
        <v>0</v>
      </c>
      <c r="P25" s="6" t="inlineStr">
        <is>
          <t>yes</t>
        </is>
      </c>
      <c r="Q25" s="6" t="inlineStr">
        <is>
          <t>whole</t>
        </is>
      </c>
      <c r="R25" s="6" t="inlineStr">
        <is>
          <t>FG5</t>
        </is>
      </c>
      <c r="S25" s="6" t="inlineStr">
        <is>
          <t>whole grain</t>
        </is>
      </c>
      <c r="T25" s="6" t="inlineStr">
        <is>
          <t>plant</t>
        </is>
      </c>
      <c r="U25" s="6" t="n"/>
      <c r="V25" s="6" t="n"/>
      <c r="W25" s="6" t="n">
        <v>1</v>
      </c>
      <c r="X25" s="6" t="n">
        <v>1</v>
      </c>
      <c r="Y25" s="6" t="inlineStr">
        <is>
          <t>declared</t>
        </is>
      </c>
      <c r="Z25" s="8" t="n">
        <v>5102</v>
      </c>
      <c r="AA25" s="9">
        <f>IF(H25="yes",Z25*X25,0)</f>
        <v/>
      </c>
      <c r="AB25" s="9">
        <f>IF(H25="yes",AA25*N(L25)/100,0)</f>
        <v/>
      </c>
      <c r="AC25" s="9">
        <f>IF(H25="yes",AA25*N(N25)/100,0)</f>
        <v/>
      </c>
      <c r="AD25" s="9">
        <f>IF(H25="yes",AA25*N(O25)/100,0)</f>
        <v/>
      </c>
      <c r="AE25" s="10">
        <f>IF(P25="yes",AA25/1000,0)</f>
        <v/>
      </c>
      <c r="AF25" s="10">
        <f>IF(R25="FG2",AE25*W25,AE25)</f>
        <v/>
      </c>
    </row>
    <row r="26">
      <c r="A26" s="6" t="inlineStr">
        <is>
          <t>HM00024</t>
        </is>
      </c>
      <c r="B26" s="7" t="inlineStr">
        <is>
          <t>5012345168616</t>
        </is>
      </c>
      <c r="C26" s="6" t="inlineStr">
        <is>
          <t>HM CHERRY TOMATOES 300G</t>
        </is>
      </c>
      <c r="D26" s="6" t="inlineStr">
        <is>
          <t>Cherry tomatoes, 300g</t>
        </is>
      </c>
      <c r="E26" s="6" t="inlineStr">
        <is>
          <t>Harbour Market</t>
        </is>
      </c>
      <c r="F26" s="6" t="inlineStr">
        <is>
          <t>Fruit &amp; Vegetables</t>
        </is>
      </c>
      <c r="G26" s="6" t="inlineStr">
        <is>
          <t>Vegetables</t>
        </is>
      </c>
      <c r="H26" s="6" t="inlineStr">
        <is>
          <t>yes</t>
        </is>
      </c>
      <c r="I26" s="6" t="inlineStr">
        <is>
          <t>Plant-based non-core</t>
        </is>
      </c>
      <c r="J26" s="6" t="inlineStr">
        <is>
          <t>B</t>
        </is>
      </c>
      <c r="K26" s="6" t="inlineStr">
        <is>
          <t>Follows the class</t>
        </is>
      </c>
      <c r="L26" s="6" t="n">
        <v>0.95</v>
      </c>
      <c r="M26" s="6" t="inlineStr">
        <is>
          <t>Declared by the retailer</t>
        </is>
      </c>
      <c r="N26" s="6" t="n">
        <v>0.95</v>
      </c>
      <c r="O26" s="6" t="n">
        <v>0</v>
      </c>
      <c r="P26" s="6" t="inlineStr">
        <is>
          <t>yes</t>
        </is>
      </c>
      <c r="Q26" s="6" t="inlineStr">
        <is>
          <t>whole</t>
        </is>
      </c>
      <c r="R26" s="6" t="inlineStr">
        <is>
          <t>FG4</t>
        </is>
      </c>
      <c r="S26" s="6" t="n"/>
      <c r="T26" s="6" t="inlineStr">
        <is>
          <t>plant</t>
        </is>
      </c>
      <c r="U26" s="6" t="n"/>
      <c r="V26" s="6" t="n"/>
      <c r="W26" s="6" t="n">
        <v>1</v>
      </c>
      <c r="X26" s="6" t="n">
        <v>0.3</v>
      </c>
      <c r="Y26" s="6" t="inlineStr">
        <is>
          <t>declared</t>
        </is>
      </c>
      <c r="Z26" s="8" t="n">
        <v>36495</v>
      </c>
      <c r="AA26" s="9">
        <f>IF(H26="yes",Z26*X26,0)</f>
        <v/>
      </c>
      <c r="AB26" s="9">
        <f>IF(H26="yes",AA26*N(L26)/100,0)</f>
        <v/>
      </c>
      <c r="AC26" s="9">
        <f>IF(H26="yes",AA26*N(N26)/100,0)</f>
        <v/>
      </c>
      <c r="AD26" s="9">
        <f>IF(H26="yes",AA26*N(O26)/100,0)</f>
        <v/>
      </c>
      <c r="AE26" s="10">
        <f>IF(P26="yes",AA26/1000,0)</f>
        <v/>
      </c>
      <c r="AF26" s="10">
        <f>IF(R26="FG2",AE26*W26,AE26)</f>
        <v/>
      </c>
    </row>
    <row r="27">
      <c r="A27" s="6" t="inlineStr">
        <is>
          <t>HM00025</t>
        </is>
      </c>
      <c r="B27" s="7" t="inlineStr">
        <is>
          <t>3012345827010</t>
        </is>
      </c>
      <c r="C27" s="6" t="inlineStr">
        <is>
          <t>HM EXTRA VIRGIN OLIVE OIL 500ML</t>
        </is>
      </c>
      <c r="D27" s="6" t="inlineStr">
        <is>
          <t>Extra virgin olive oil, 500ml</t>
        </is>
      </c>
      <c r="E27" s="6" t="inlineStr">
        <is>
          <t>Harbour Market</t>
        </is>
      </c>
      <c r="F27" s="6" t="inlineStr">
        <is>
          <t>Grocery</t>
        </is>
      </c>
      <c r="G27" s="6" t="inlineStr">
        <is>
          <t>Oils</t>
        </is>
      </c>
      <c r="H27" s="6" t="inlineStr">
        <is>
          <t>yes</t>
        </is>
      </c>
      <c r="I27" s="6" t="inlineStr">
        <is>
          <t>Plant-based non-core</t>
        </is>
      </c>
      <c r="J27" s="6" t="inlineStr">
        <is>
          <t>B</t>
        </is>
      </c>
      <c r="K27" s="6" t="inlineStr">
        <is>
          <t>Follows the class</t>
        </is>
      </c>
      <c r="L27" s="6" t="n">
        <v>0</v>
      </c>
      <c r="M27" s="6" t="inlineStr">
        <is>
          <t>Altera reference base</t>
        </is>
      </c>
      <c r="N27" s="6" t="n">
        <v>0</v>
      </c>
      <c r="O27" s="6" t="n">
        <v>0</v>
      </c>
      <c r="P27" s="6" t="inlineStr">
        <is>
          <t>yes</t>
        </is>
      </c>
      <c r="Q27" s="6" t="inlineStr">
        <is>
          <t>whole</t>
        </is>
      </c>
      <c r="R27" s="6" t="inlineStr">
        <is>
          <t>FG3</t>
        </is>
      </c>
      <c r="S27" s="6" t="inlineStr">
        <is>
          <t>plant fat</t>
        </is>
      </c>
      <c r="T27" s="6" t="inlineStr">
        <is>
          <t>plant</t>
        </is>
      </c>
      <c r="U27" s="6" t="n"/>
      <c r="V27" s="6" t="n"/>
      <c r="W27" s="6" t="n">
        <v>1</v>
      </c>
      <c r="X27" s="6" t="n">
        <v>0.46</v>
      </c>
      <c r="Y27" s="6" t="inlineStr">
        <is>
          <t>declared</t>
        </is>
      </c>
      <c r="Z27" s="8" t="n">
        <v>17564</v>
      </c>
      <c r="AA27" s="9">
        <f>IF(H27="yes",Z27*X27,0)</f>
        <v/>
      </c>
      <c r="AB27" s="9">
        <f>IF(H27="yes",AA27*N(L27)/100,0)</f>
        <v/>
      </c>
      <c r="AC27" s="9">
        <f>IF(H27="yes",AA27*N(N27)/100,0)</f>
        <v/>
      </c>
      <c r="AD27" s="9">
        <f>IF(H27="yes",AA27*N(O27)/100,0)</f>
        <v/>
      </c>
      <c r="AE27" s="10">
        <f>IF(P27="yes",AA27/1000,0)</f>
        <v/>
      </c>
      <c r="AF27" s="10">
        <f>IF(R27="FG2",AE27*W27,AE27)</f>
        <v/>
      </c>
    </row>
    <row r="28">
      <c r="A28" s="6" t="inlineStr">
        <is>
          <t>HM00026</t>
        </is>
      </c>
      <c r="B28" s="7" t="inlineStr">
        <is>
          <t>5012345615714</t>
        </is>
      </c>
      <c r="C28" s="6" t="inlineStr">
        <is>
          <t>ALDERWICK EMMENTAL SLICES 10SL 250G</t>
        </is>
      </c>
      <c r="D28" s="6" t="inlineStr">
        <is>
          <t>Emmental slices, 10sl 250g</t>
        </is>
      </c>
      <c r="E28" s="6" t="inlineStr">
        <is>
          <t>Alderwick</t>
        </is>
      </c>
      <c r="F28" s="6" t="inlineStr">
        <is>
          <t>Cheese</t>
        </is>
      </c>
      <c r="G28" s="6" t="inlineStr">
        <is>
          <t>Hard Cheese</t>
        </is>
      </c>
      <c r="H28" s="6" t="inlineStr">
        <is>
          <t>yes</t>
        </is>
      </c>
      <c r="I28" s="6" t="inlineStr">
        <is>
          <t>Animal core</t>
        </is>
      </c>
      <c r="J28" s="6" t="inlineStr">
        <is>
          <t>A</t>
        </is>
      </c>
      <c r="K28" s="6" t="inlineStr">
        <is>
          <t>All ingredients on one side</t>
        </is>
      </c>
      <c r="L28" s="6" t="n">
        <v>27</v>
      </c>
      <c r="M28" s="6" t="inlineStr">
        <is>
          <t>Declared by the retailer</t>
        </is>
      </c>
      <c r="N28" s="6" t="n">
        <v>0</v>
      </c>
      <c r="O28" s="6" t="n">
        <v>27</v>
      </c>
      <c r="P28" s="6" t="inlineStr">
        <is>
          <t>yes</t>
        </is>
      </c>
      <c r="Q28" s="6" t="inlineStr">
        <is>
          <t>whole</t>
        </is>
      </c>
      <c r="R28" s="6" t="inlineStr">
        <is>
          <t>FG2</t>
        </is>
      </c>
      <c r="S28" s="6" t="inlineStr">
        <is>
          <t>dairy</t>
        </is>
      </c>
      <c r="T28" s="6" t="inlineStr">
        <is>
          <t>animal</t>
        </is>
      </c>
      <c r="U28" s="6" t="n"/>
      <c r="V28" s="6" t="n"/>
      <c r="W28" s="6" t="n">
        <v>10</v>
      </c>
      <c r="X28" s="6" t="n">
        <v>0.25</v>
      </c>
      <c r="Y28" s="6" t="inlineStr">
        <is>
          <t>declared</t>
        </is>
      </c>
      <c r="Z28" s="8" t="n">
        <v>70533</v>
      </c>
      <c r="AA28" s="9">
        <f>IF(H28="yes",Z28*X28,0)</f>
        <v/>
      </c>
      <c r="AB28" s="9">
        <f>IF(H28="yes",AA28*N(L28)/100,0)</f>
        <v/>
      </c>
      <c r="AC28" s="9">
        <f>IF(H28="yes",AA28*N(N28)/100,0)</f>
        <v/>
      </c>
      <c r="AD28" s="9">
        <f>IF(H28="yes",AA28*N(O28)/100,0)</f>
        <v/>
      </c>
      <c r="AE28" s="10">
        <f>IF(P28="yes",AA28/1000,0)</f>
        <v/>
      </c>
      <c r="AF28" s="10">
        <f>IF(R28="FG2",AE28*W28,AE28)</f>
        <v/>
      </c>
    </row>
    <row r="29">
      <c r="A29" s="6" t="inlineStr">
        <is>
          <t>HM00027</t>
        </is>
      </c>
      <c r="B29" s="7" t="inlineStr">
        <is>
          <t>4012345899306</t>
        </is>
      </c>
      <c r="C29" s="6" t="inlineStr">
        <is>
          <t>HM CHICKPEAS IN WATER 400G</t>
        </is>
      </c>
      <c r="D29" s="6" t="inlineStr">
        <is>
          <t>Chickpeas in water, 400g</t>
        </is>
      </c>
      <c r="E29" s="6" t="inlineStr">
        <is>
          <t>Harbour Market</t>
        </is>
      </c>
      <c r="F29" s="6" t="inlineStr">
        <is>
          <t>Grocery</t>
        </is>
      </c>
      <c r="G29" s="6" t="inlineStr">
        <is>
          <t>Pulses</t>
        </is>
      </c>
      <c r="H29" s="6" t="inlineStr">
        <is>
          <t>yes</t>
        </is>
      </c>
      <c r="I29" s="6" t="inlineStr">
        <is>
          <t>Plant-based core</t>
        </is>
      </c>
      <c r="J29" s="6" t="inlineStr">
        <is>
          <t>B</t>
        </is>
      </c>
      <c r="K29" s="6" t="inlineStr">
        <is>
          <t>Follows the class</t>
        </is>
      </c>
      <c r="L29" s="6" t="n">
        <v>7.3</v>
      </c>
      <c r="M29" s="6" t="inlineStr">
        <is>
          <t>Declared by the retailer</t>
        </is>
      </c>
      <c r="N29" s="6" t="n">
        <v>7.3</v>
      </c>
      <c r="O29" s="6" t="n">
        <v>0</v>
      </c>
      <c r="P29" s="6" t="inlineStr">
        <is>
          <t>yes</t>
        </is>
      </c>
      <c r="Q29" s="6" t="inlineStr">
        <is>
          <t>whole</t>
        </is>
      </c>
      <c r="R29" s="6" t="inlineStr">
        <is>
          <t>FG1</t>
        </is>
      </c>
      <c r="S29" s="6" t="inlineStr">
        <is>
          <t>pulses</t>
        </is>
      </c>
      <c r="T29" s="6" t="inlineStr">
        <is>
          <t>plant</t>
        </is>
      </c>
      <c r="U29" s="6" t="n"/>
      <c r="V29" s="6" t="n"/>
      <c r="W29" s="6" t="n">
        <v>1</v>
      </c>
      <c r="X29" s="6" t="n">
        <v>0.4</v>
      </c>
      <c r="Y29" s="6" t="inlineStr">
        <is>
          <t>declared</t>
        </is>
      </c>
      <c r="Z29" s="8" t="n">
        <v>15188</v>
      </c>
      <c r="AA29" s="9">
        <f>IF(H29="yes",Z29*X29,0)</f>
        <v/>
      </c>
      <c r="AB29" s="9">
        <f>IF(H29="yes",AA29*N(L29)/100,0)</f>
        <v/>
      </c>
      <c r="AC29" s="9">
        <f>IF(H29="yes",AA29*N(N29)/100,0)</f>
        <v/>
      </c>
      <c r="AD29" s="9">
        <f>IF(H29="yes",AA29*N(O29)/100,0)</f>
        <v/>
      </c>
      <c r="AE29" s="10">
        <f>IF(P29="yes",AA29/1000,0)</f>
        <v/>
      </c>
      <c r="AF29" s="10">
        <f>IF(R29="FG2",AE29*W29,AE29)</f>
        <v/>
      </c>
    </row>
    <row r="30">
      <c r="A30" s="6" t="inlineStr">
        <is>
          <t>HM00028</t>
        </is>
      </c>
      <c r="B30" s="7" t="inlineStr">
        <is>
          <t>4012345640496</t>
        </is>
      </c>
      <c r="C30" s="6" t="inlineStr">
        <is>
          <t>FJELDA SALTED BUTTER 500G</t>
        </is>
      </c>
      <c r="D30" s="6" t="inlineStr">
        <is>
          <t>Salted butter, 500g</t>
        </is>
      </c>
      <c r="E30" s="6" t="inlineStr">
        <is>
          <t>Fjelda</t>
        </is>
      </c>
      <c r="F30" s="6" t="inlineStr">
        <is>
          <t>Dairy &amp; Eggs</t>
        </is>
      </c>
      <c r="G30" s="6" t="inlineStr">
        <is>
          <t>Butter &amp; Spreads</t>
        </is>
      </c>
      <c r="H30" s="6" t="inlineStr">
        <is>
          <t>yes</t>
        </is>
      </c>
      <c r="I30" s="6" t="inlineStr">
        <is>
          <t>Animal core</t>
        </is>
      </c>
      <c r="J30" s="6" t="inlineStr">
        <is>
          <t>A</t>
        </is>
      </c>
      <c r="K30" s="6" t="inlineStr">
        <is>
          <t>All ingredients on one side</t>
        </is>
      </c>
      <c r="L30" s="6" t="n">
        <v>0.58</v>
      </c>
      <c r="M30" s="6" t="inlineStr">
        <is>
          <t>Median of the family</t>
        </is>
      </c>
      <c r="N30" s="6" t="n">
        <v>0</v>
      </c>
      <c r="O30" s="6" t="n">
        <v>0.58</v>
      </c>
      <c r="P30" s="6" t="inlineStr">
        <is>
          <t>yes</t>
        </is>
      </c>
      <c r="Q30" s="6" t="inlineStr">
        <is>
          <t>whole</t>
        </is>
      </c>
      <c r="R30" s="6" t="inlineStr">
        <is>
          <t>FG3</t>
        </is>
      </c>
      <c r="S30" s="6" t="inlineStr">
        <is>
          <t>animal fat</t>
        </is>
      </c>
      <c r="T30" s="6" t="inlineStr">
        <is>
          <t>animal</t>
        </is>
      </c>
      <c r="U30" s="6" t="n"/>
      <c r="V30" s="6" t="n"/>
      <c r="W30" s="6" t="n">
        <v>1</v>
      </c>
      <c r="X30" s="6" t="n">
        <v>0.5</v>
      </c>
      <c r="Y30" s="6" t="inlineStr">
        <is>
          <t>declared</t>
        </is>
      </c>
      <c r="Z30" s="8" t="n">
        <v>13334</v>
      </c>
      <c r="AA30" s="9">
        <f>IF(H30="yes",Z30*X30,0)</f>
        <v/>
      </c>
      <c r="AB30" s="9">
        <f>IF(H30="yes",AA30*N(L30)/100,0)</f>
        <v/>
      </c>
      <c r="AC30" s="9">
        <f>IF(H30="yes",AA30*N(N30)/100,0)</f>
        <v/>
      </c>
      <c r="AD30" s="9">
        <f>IF(H30="yes",AA30*N(O30)/100,0)</f>
        <v/>
      </c>
      <c r="AE30" s="10">
        <f>IF(P30="yes",AA30/1000,0)</f>
        <v/>
      </c>
      <c r="AF30" s="10">
        <f>IF(R30="FG2",AE30*W30,AE30)</f>
        <v/>
      </c>
    </row>
    <row r="31">
      <c r="A31" s="6" t="inlineStr">
        <is>
          <t>HM00029</t>
        </is>
      </c>
      <c r="B31" s="7" t="inlineStr">
        <is>
          <t>4012345849585</t>
        </is>
      </c>
      <c r="C31" s="6" t="inlineStr">
        <is>
          <t>HM BABY SPINACH 1KG</t>
        </is>
      </c>
      <c r="D31" s="6" t="inlineStr">
        <is>
          <t>Baby spinach, 1kg</t>
        </is>
      </c>
      <c r="E31" s="6" t="inlineStr">
        <is>
          <t>Harbour Market</t>
        </is>
      </c>
      <c r="F31" s="6" t="inlineStr">
        <is>
          <t>Fruit &amp; Vegetables</t>
        </is>
      </c>
      <c r="G31" s="6" t="inlineStr">
        <is>
          <t>Vegetables</t>
        </is>
      </c>
      <c r="H31" s="6" t="inlineStr">
        <is>
          <t>yes</t>
        </is>
      </c>
      <c r="I31" s="6" t="inlineStr">
        <is>
          <t>Plant-based non-core</t>
        </is>
      </c>
      <c r="J31" s="6" t="inlineStr">
        <is>
          <t>B</t>
        </is>
      </c>
      <c r="K31" s="6" t="inlineStr">
        <is>
          <t>Follows the class</t>
        </is>
      </c>
      <c r="L31" s="6" t="n">
        <v>2.9</v>
      </c>
      <c r="M31" s="6" t="inlineStr">
        <is>
          <t>Declared by the retailer</t>
        </is>
      </c>
      <c r="N31" s="6" t="n">
        <v>2.9</v>
      </c>
      <c r="O31" s="6" t="n">
        <v>0</v>
      </c>
      <c r="P31" s="6" t="inlineStr">
        <is>
          <t>yes</t>
        </is>
      </c>
      <c r="Q31" s="6" t="inlineStr">
        <is>
          <t>whole</t>
        </is>
      </c>
      <c r="R31" s="6" t="inlineStr">
        <is>
          <t>FG4</t>
        </is>
      </c>
      <c r="S31" s="6" t="n"/>
      <c r="T31" s="6" t="inlineStr">
        <is>
          <t>plant</t>
        </is>
      </c>
      <c r="U31" s="6" t="n"/>
      <c r="V31" s="6" t="n"/>
      <c r="W31" s="6" t="n">
        <v>1</v>
      </c>
      <c r="X31" s="6" t="n">
        <v>1</v>
      </c>
      <c r="Y31" s="6" t="inlineStr">
        <is>
          <t>declared</t>
        </is>
      </c>
      <c r="Z31" s="8" t="n">
        <v>24271</v>
      </c>
      <c r="AA31" s="9">
        <f>IF(H31="yes",Z31*X31,0)</f>
        <v/>
      </c>
      <c r="AB31" s="9">
        <f>IF(H31="yes",AA31*N(L31)/100,0)</f>
        <v/>
      </c>
      <c r="AC31" s="9">
        <f>IF(H31="yes",AA31*N(N31)/100,0)</f>
        <v/>
      </c>
      <c r="AD31" s="9">
        <f>IF(H31="yes",AA31*N(O31)/100,0)</f>
        <v/>
      </c>
      <c r="AE31" s="10">
        <f>IF(P31="yes",AA31/1000,0)</f>
        <v/>
      </c>
      <c r="AF31" s="10">
        <f>IF(R31="FG2",AE31*W31,AE31)</f>
        <v/>
      </c>
    </row>
    <row r="32">
      <c r="A32" s="6" t="inlineStr">
        <is>
          <t>HM00030</t>
        </is>
      </c>
      <c r="B32" s="7" t="inlineStr">
        <is>
          <t>8712345591663</t>
        </is>
      </c>
      <c r="C32" s="6" t="inlineStr">
        <is>
          <t>HM PLANT MINCE 400G</t>
        </is>
      </c>
      <c r="D32" s="6" t="inlineStr">
        <is>
          <t>Plant-based mince, 400g</t>
        </is>
      </c>
      <c r="E32" s="6" t="inlineStr">
        <is>
          <t>Harbour Market</t>
        </is>
      </c>
      <c r="F32" s="6" t="inlineStr">
        <is>
          <t>Plant-Based</t>
        </is>
      </c>
      <c r="G32" s="6" t="inlineStr">
        <is>
          <t>Meat Alternatives</t>
        </is>
      </c>
      <c r="H32" s="6" t="inlineStr">
        <is>
          <t>yes</t>
        </is>
      </c>
      <c r="I32" s="6" t="inlineStr">
        <is>
          <t>Plant-based core</t>
        </is>
      </c>
      <c r="J32" s="6" t="inlineStr">
        <is>
          <t>A</t>
        </is>
      </c>
      <c r="K32" s="6" t="inlineStr">
        <is>
          <t>All ingredients on one side</t>
        </is>
      </c>
      <c r="L32" s="6" t="n">
        <v>18</v>
      </c>
      <c r="M32" s="6" t="inlineStr">
        <is>
          <t>Altera reference base</t>
        </is>
      </c>
      <c r="N32" s="6" t="n">
        <v>18</v>
      </c>
      <c r="O32" s="6" t="n">
        <v>0</v>
      </c>
      <c r="P32" s="6" t="inlineStr">
        <is>
          <t>yes</t>
        </is>
      </c>
      <c r="Q32" s="6" t="inlineStr">
        <is>
          <t>whole</t>
        </is>
      </c>
      <c r="R32" s="6" t="inlineStr">
        <is>
          <t>FG1</t>
        </is>
      </c>
      <c r="S32" s="6" t="inlineStr">
        <is>
          <t>alternative products</t>
        </is>
      </c>
      <c r="T32" s="6" t="inlineStr">
        <is>
          <t>plant</t>
        </is>
      </c>
      <c r="U32" s="6" t="n"/>
      <c r="V32" s="6" t="n"/>
      <c r="W32" s="6" t="n">
        <v>1</v>
      </c>
      <c r="X32" s="6" t="n">
        <v>0.4</v>
      </c>
      <c r="Y32" s="6" t="inlineStr">
        <is>
          <t>label</t>
        </is>
      </c>
      <c r="Z32" s="8" t="n">
        <v>7000</v>
      </c>
      <c r="AA32" s="9">
        <f>IF(H32="yes",Z32*X32,0)</f>
        <v/>
      </c>
      <c r="AB32" s="9">
        <f>IF(H32="yes",AA32*N(L32)/100,0)</f>
        <v/>
      </c>
      <c r="AC32" s="9">
        <f>IF(H32="yes",AA32*N(N32)/100,0)</f>
        <v/>
      </c>
      <c r="AD32" s="9">
        <f>IF(H32="yes",AA32*N(O32)/100,0)</f>
        <v/>
      </c>
      <c r="AE32" s="10">
        <f>IF(P32="yes",AA32/1000,0)</f>
        <v/>
      </c>
      <c r="AF32" s="10">
        <f>IF(R32="FG2",AE32*W32,AE32)</f>
        <v/>
      </c>
    </row>
    <row r="33">
      <c r="A33" s="6" t="inlineStr">
        <is>
          <t>HM00031</t>
        </is>
      </c>
      <c r="B33" s="7" t="inlineStr">
        <is>
          <t>3012345216142</t>
        </is>
      </c>
      <c r="C33" s="6" t="inlineStr">
        <is>
          <t>HM PORK LIVER PATE 2X85G</t>
        </is>
      </c>
      <c r="D33" s="6" t="inlineStr">
        <is>
          <t>Pork liver pâté, 2x85g</t>
        </is>
      </c>
      <c r="E33" s="6" t="inlineStr">
        <is>
          <t>Harbour Market</t>
        </is>
      </c>
      <c r="F33" s="6" t="inlineStr">
        <is>
          <t>Deli</t>
        </is>
      </c>
      <c r="G33" s="6" t="inlineStr">
        <is>
          <t>Pâté</t>
        </is>
      </c>
      <c r="H33" s="6" t="inlineStr">
        <is>
          <t>yes</t>
        </is>
      </c>
      <c r="I33" s="6" t="inlineStr">
        <is>
          <t>Animal core</t>
        </is>
      </c>
      <c r="J33" s="6" t="inlineStr">
        <is>
          <t>B</t>
        </is>
      </c>
      <c r="K33" s="6" t="inlineStr">
        <is>
          <t>Follows the class</t>
        </is>
      </c>
      <c r="L33" s="6" t="n">
        <v>12.5</v>
      </c>
      <c r="M33" s="6" t="inlineStr">
        <is>
          <t>Declared by the retailer</t>
        </is>
      </c>
      <c r="N33" s="6" t="n">
        <v>0</v>
      </c>
      <c r="O33" s="6" t="n">
        <v>12.5</v>
      </c>
      <c r="P33" s="6" t="inlineStr">
        <is>
          <t>yes</t>
        </is>
      </c>
      <c r="Q33" s="6" t="inlineStr">
        <is>
          <t>whole</t>
        </is>
      </c>
      <c r="R33" s="6" t="inlineStr">
        <is>
          <t>FG1</t>
        </is>
      </c>
      <c r="S33" s="6" t="inlineStr">
        <is>
          <t>red meat</t>
        </is>
      </c>
      <c r="T33" s="6" t="inlineStr">
        <is>
          <t>animal</t>
        </is>
      </c>
      <c r="U33" s="6" t="n"/>
      <c r="V33" s="6" t="n"/>
      <c r="W33" s="6" t="n">
        <v>1</v>
      </c>
      <c r="X33" s="6" t="n">
        <v>0.17</v>
      </c>
      <c r="Y33" s="6" t="inlineStr">
        <is>
          <t>declared</t>
        </is>
      </c>
      <c r="Z33" s="8" t="n">
        <v>22699</v>
      </c>
      <c r="AA33" s="9">
        <f>IF(H33="yes",Z33*X33,0)</f>
        <v/>
      </c>
      <c r="AB33" s="9">
        <f>IF(H33="yes",AA33*N(L33)/100,0)</f>
        <v/>
      </c>
      <c r="AC33" s="9">
        <f>IF(H33="yes",AA33*N(N33)/100,0)</f>
        <v/>
      </c>
      <c r="AD33" s="9">
        <f>IF(H33="yes",AA33*N(O33)/100,0)</f>
        <v/>
      </c>
      <c r="AE33" s="10">
        <f>IF(P33="yes",AA33/1000,0)</f>
        <v/>
      </c>
      <c r="AF33" s="10">
        <f>IF(R33="FG2",AE33*W33,AE33)</f>
        <v/>
      </c>
    </row>
    <row r="34">
      <c r="A34" s="6" t="inlineStr">
        <is>
          <t>HM00032</t>
        </is>
      </c>
      <c r="B34" s="7" t="inlineStr">
        <is>
          <t>4012345753233</t>
        </is>
      </c>
      <c r="C34" s="6" t="inlineStr">
        <is>
          <t>ALDERWICK SOFT CHEESE PLAIN 250G</t>
        </is>
      </c>
      <c r="D34" s="6" t="inlineStr">
        <is>
          <t>Plain soft cheese, 250g</t>
        </is>
      </c>
      <c r="E34" s="6" t="inlineStr">
        <is>
          <t>Alderwick</t>
        </is>
      </c>
      <c r="F34" s="6" t="inlineStr">
        <is>
          <t>Cheese</t>
        </is>
      </c>
      <c r="G34" s="6" t="inlineStr">
        <is>
          <t>Fresh Cheese</t>
        </is>
      </c>
      <c r="H34" s="6" t="inlineStr">
        <is>
          <t>yes</t>
        </is>
      </c>
      <c r="I34" s="6" t="inlineStr">
        <is>
          <t>Animal core</t>
        </is>
      </c>
      <c r="J34" s="6" t="inlineStr">
        <is>
          <t>B</t>
        </is>
      </c>
      <c r="K34" s="6" t="inlineStr">
        <is>
          <t>Follows the class</t>
        </is>
      </c>
      <c r="L34" s="6" t="n">
        <v>6.9</v>
      </c>
      <c r="M34" s="6" t="inlineStr">
        <is>
          <t>Median of the family</t>
        </is>
      </c>
      <c r="N34" s="6" t="n">
        <v>0</v>
      </c>
      <c r="O34" s="6" t="n">
        <v>6.9</v>
      </c>
      <c r="P34" s="6" t="inlineStr">
        <is>
          <t>yes</t>
        </is>
      </c>
      <c r="Q34" s="6" t="inlineStr">
        <is>
          <t>whole</t>
        </is>
      </c>
      <c r="R34" s="6" t="inlineStr">
        <is>
          <t>FG2</t>
        </is>
      </c>
      <c r="S34" s="6" t="inlineStr">
        <is>
          <t>dairy</t>
        </is>
      </c>
      <c r="T34" s="6" t="inlineStr">
        <is>
          <t>animal</t>
        </is>
      </c>
      <c r="U34" s="6" t="n"/>
      <c r="V34" s="6" t="n"/>
      <c r="W34" s="6" t="n">
        <v>1</v>
      </c>
      <c r="X34" s="6" t="n">
        <v>0.25</v>
      </c>
      <c r="Y34" s="6" t="inlineStr">
        <is>
          <t>declared</t>
        </is>
      </c>
      <c r="Z34" s="8" t="n">
        <v>9413</v>
      </c>
      <c r="AA34" s="9">
        <f>IF(H34="yes",Z34*X34,0)</f>
        <v/>
      </c>
      <c r="AB34" s="9">
        <f>IF(H34="yes",AA34*N(L34)/100,0)</f>
        <v/>
      </c>
      <c r="AC34" s="9">
        <f>IF(H34="yes",AA34*N(N34)/100,0)</f>
        <v/>
      </c>
      <c r="AD34" s="9">
        <f>IF(H34="yes",AA34*N(O34)/100,0)</f>
        <v/>
      </c>
      <c r="AE34" s="10">
        <f>IF(P34="yes",AA34/1000,0)</f>
        <v/>
      </c>
      <c r="AF34" s="10">
        <f>IF(R34="FG2",AE34*W34,AE34)</f>
        <v/>
      </c>
    </row>
    <row r="35">
      <c r="A35" s="6" t="inlineStr">
        <is>
          <t>HM00033</t>
        </is>
      </c>
      <c r="B35" s="7" t="inlineStr">
        <is>
          <t>3012345311700</t>
        </is>
      </c>
      <c r="C35" s="6" t="inlineStr">
        <is>
          <t>WHOLE ALMONDS 500G PENROCK</t>
        </is>
      </c>
      <c r="D35" s="6" t="inlineStr">
        <is>
          <t>Whole almonds, 500g</t>
        </is>
      </c>
      <c r="E35" s="6" t="inlineStr">
        <is>
          <t>Penrock</t>
        </is>
      </c>
      <c r="F35" s="6" t="inlineStr">
        <is>
          <t>Grocery</t>
        </is>
      </c>
      <c r="G35" s="6" t="inlineStr">
        <is>
          <t>Nuts &amp; Seeds</t>
        </is>
      </c>
      <c r="H35" s="6" t="inlineStr">
        <is>
          <t>yes</t>
        </is>
      </c>
      <c r="I35" s="6" t="inlineStr">
        <is>
          <t>Plant-based core</t>
        </is>
      </c>
      <c r="J35" s="6" t="inlineStr">
        <is>
          <t>A</t>
        </is>
      </c>
      <c r="K35" s="6" t="inlineStr">
        <is>
          <t>All ingredients on one side</t>
        </is>
      </c>
      <c r="L35" s="6" t="n">
        <v>19.9</v>
      </c>
      <c r="M35" s="6" t="inlineStr">
        <is>
          <t>Declared by the retailer</t>
        </is>
      </c>
      <c r="N35" s="6" t="n">
        <v>19.9</v>
      </c>
      <c r="O35" s="6" t="n">
        <v>0</v>
      </c>
      <c r="P35" s="6" t="inlineStr">
        <is>
          <t>yes</t>
        </is>
      </c>
      <c r="Q35" s="6" t="inlineStr">
        <is>
          <t>whole</t>
        </is>
      </c>
      <c r="R35" s="6" t="inlineStr">
        <is>
          <t>FG1</t>
        </is>
      </c>
      <c r="S35" s="6" t="inlineStr">
        <is>
          <t>nuts</t>
        </is>
      </c>
      <c r="T35" s="6" t="inlineStr">
        <is>
          <t>plant</t>
        </is>
      </c>
      <c r="U35" s="6" t="n"/>
      <c r="V35" s="6" t="n"/>
      <c r="W35" s="6" t="n">
        <v>1</v>
      </c>
      <c r="X35" s="6" t="n">
        <v>0.5</v>
      </c>
      <c r="Y35" s="6" t="inlineStr">
        <is>
          <t>declared</t>
        </is>
      </c>
      <c r="Z35" s="8" t="n">
        <v>12891</v>
      </c>
      <c r="AA35" s="9">
        <f>IF(H35="yes",Z35*X35,0)</f>
        <v/>
      </c>
      <c r="AB35" s="9">
        <f>IF(H35="yes",AA35*N(L35)/100,0)</f>
        <v/>
      </c>
      <c r="AC35" s="9">
        <f>IF(H35="yes",AA35*N(N35)/100,0)</f>
        <v/>
      </c>
      <c r="AD35" s="9">
        <f>IF(H35="yes",AA35*N(O35)/100,0)</f>
        <v/>
      </c>
      <c r="AE35" s="10">
        <f>IF(P35="yes",AA35/1000,0)</f>
        <v/>
      </c>
      <c r="AF35" s="10">
        <f>IF(R35="FG2",AE35*W35,AE35)</f>
        <v/>
      </c>
    </row>
    <row r="36">
      <c r="A36" s="6" t="inlineStr">
        <is>
          <t>HM00034</t>
        </is>
      </c>
      <c r="B36" s="7" t="inlineStr">
        <is>
          <t>8712345337230</t>
        </is>
      </c>
      <c r="C36" s="6" t="inlineStr">
        <is>
          <t>BRAMBLECOTE DIGESTIVE BISCUITS 300G</t>
        </is>
      </c>
      <c r="D36" s="6" t="inlineStr">
        <is>
          <t>Digestive biscuits, 300g</t>
        </is>
      </c>
      <c r="E36" s="6" t="inlineStr">
        <is>
          <t>Bramblecote</t>
        </is>
      </c>
      <c r="F36" s="6" t="inlineStr">
        <is>
          <t>Breakfast &amp; Snacks</t>
        </is>
      </c>
      <c r="G36" s="6" t="inlineStr">
        <is>
          <t>Biscuits</t>
        </is>
      </c>
      <c r="H36" s="6" t="inlineStr">
        <is>
          <t>yes</t>
        </is>
      </c>
      <c r="I36" s="6" t="inlineStr">
        <is>
          <t>Plant-based non-core</t>
        </is>
      </c>
      <c r="J36" s="6" t="inlineStr">
        <is>
          <t>B</t>
        </is>
      </c>
      <c r="K36" s="6" t="inlineStr">
        <is>
          <t>Follows the class</t>
        </is>
      </c>
      <c r="L36" s="6" t="n">
        <v>7</v>
      </c>
      <c r="M36" s="6" t="inlineStr">
        <is>
          <t>Declared by the retailer</t>
        </is>
      </c>
      <c r="N36" s="6" t="n">
        <v>7</v>
      </c>
      <c r="O36" s="6" t="n">
        <v>0</v>
      </c>
      <c r="P36" s="6" t="inlineStr">
        <is>
          <t>yes</t>
        </is>
      </c>
      <c r="Q36" s="6" t="inlineStr">
        <is>
          <t>whole</t>
        </is>
      </c>
      <c r="R36" s="6" t="inlineStr">
        <is>
          <t>FG7</t>
        </is>
      </c>
      <c r="S36" s="6" t="n"/>
      <c r="T36" s="6" t="inlineStr">
        <is>
          <t>plant</t>
        </is>
      </c>
      <c r="U36" s="6" t="n"/>
      <c r="V36" s="6" t="n"/>
      <c r="W36" s="6" t="n">
        <v>1</v>
      </c>
      <c r="X36" s="6" t="n">
        <v>0.3</v>
      </c>
      <c r="Y36" s="6" t="inlineStr">
        <is>
          <t>declared</t>
        </is>
      </c>
      <c r="Z36" s="8" t="n">
        <v>11316</v>
      </c>
      <c r="AA36" s="9">
        <f>IF(H36="yes",Z36*X36,0)</f>
        <v/>
      </c>
      <c r="AB36" s="9">
        <f>IF(H36="yes",AA36*N(L36)/100,0)</f>
        <v/>
      </c>
      <c r="AC36" s="9">
        <f>IF(H36="yes",AA36*N(N36)/100,0)</f>
        <v/>
      </c>
      <c r="AD36" s="9">
        <f>IF(H36="yes",AA36*N(O36)/100,0)</f>
        <v/>
      </c>
      <c r="AE36" s="10">
        <f>IF(P36="yes",AA36/1000,0)</f>
        <v/>
      </c>
      <c r="AF36" s="10">
        <f>IF(R36="FG2",AE36*W36,AE36)</f>
        <v/>
      </c>
    </row>
    <row r="37">
      <c r="A37" s="6" t="inlineStr">
        <is>
          <t>HM00035</t>
        </is>
      </c>
      <c r="B37" s="7" t="inlineStr">
        <is>
          <t>8712345755867</t>
        </is>
      </c>
      <c r="C37" s="6" t="inlineStr">
        <is>
          <t>BRAMBLECOTE WHOLEMEAL SLICED 500G</t>
        </is>
      </c>
      <c r="D37" s="6" t="inlineStr">
        <is>
          <t>Wholemeal sliced bread, 500g</t>
        </is>
      </c>
      <c r="E37" s="6" t="inlineStr">
        <is>
          <t>Bramblecote</t>
        </is>
      </c>
      <c r="F37" s="6" t="inlineStr">
        <is>
          <t>Bakery</t>
        </is>
      </c>
      <c r="G37" s="6" t="inlineStr">
        <is>
          <t>Bread</t>
        </is>
      </c>
      <c r="H37" s="6" t="inlineStr">
        <is>
          <t>yes</t>
        </is>
      </c>
      <c r="I37" s="6" t="inlineStr">
        <is>
          <t>Plant-based non-core</t>
        </is>
      </c>
      <c r="J37" s="6" t="inlineStr">
        <is>
          <t>A</t>
        </is>
      </c>
      <c r="K37" s="6" t="inlineStr">
        <is>
          <t>All ingredients on one side</t>
        </is>
      </c>
      <c r="L37" s="6" t="n">
        <v>9.699999999999999</v>
      </c>
      <c r="M37" s="6" t="inlineStr">
        <is>
          <t>Declared by the retailer</t>
        </is>
      </c>
      <c r="N37" s="6" t="n">
        <v>9.699999999999999</v>
      </c>
      <c r="O37" s="6" t="n">
        <v>0</v>
      </c>
      <c r="P37" s="6" t="inlineStr">
        <is>
          <t>yes</t>
        </is>
      </c>
      <c r="Q37" s="6" t="inlineStr">
        <is>
          <t>whole</t>
        </is>
      </c>
      <c r="R37" s="6" t="inlineStr">
        <is>
          <t>FG5</t>
        </is>
      </c>
      <c r="S37" s="6" t="inlineStr">
        <is>
          <t>whole grain</t>
        </is>
      </c>
      <c r="T37" s="6" t="inlineStr">
        <is>
          <t>plant</t>
        </is>
      </c>
      <c r="U37" s="6" t="n"/>
      <c r="V37" s="6" t="n"/>
      <c r="W37" s="6" t="n">
        <v>1</v>
      </c>
      <c r="X37" s="6" t="n">
        <v>0.5</v>
      </c>
      <c r="Y37" s="6" t="inlineStr">
        <is>
          <t>label</t>
        </is>
      </c>
      <c r="Z37" s="8" t="n">
        <v>34471</v>
      </c>
      <c r="AA37" s="9">
        <f>IF(H37="yes",Z37*X37,0)</f>
        <v/>
      </c>
      <c r="AB37" s="9">
        <f>IF(H37="yes",AA37*N(L37)/100,0)</f>
        <v/>
      </c>
      <c r="AC37" s="9">
        <f>IF(H37="yes",AA37*N(N37)/100,0)</f>
        <v/>
      </c>
      <c r="AD37" s="9">
        <f>IF(H37="yes",AA37*N(O37)/100,0)</f>
        <v/>
      </c>
      <c r="AE37" s="10">
        <f>IF(P37="yes",AA37/1000,0)</f>
        <v/>
      </c>
      <c r="AF37" s="10">
        <f>IF(R37="FG2",AE37*W37,AE37)</f>
        <v/>
      </c>
    </row>
    <row r="38">
      <c r="A38" s="6" t="inlineStr">
        <is>
          <t>HM00036</t>
        </is>
      </c>
      <c r="B38" s="7" t="inlineStr">
        <is>
          <t>5012345424200</t>
        </is>
      </c>
      <c r="C38" s="6" t="inlineStr">
        <is>
          <t>ORVALIS SPAGHETTI 3KG</t>
        </is>
      </c>
      <c r="D38" s="6" t="inlineStr">
        <is>
          <t>Spaghetti, 3kg</t>
        </is>
      </c>
      <c r="E38" s="6" t="inlineStr">
        <is>
          <t>Orvalis</t>
        </is>
      </c>
      <c r="F38" s="6" t="inlineStr">
        <is>
          <t>Grocery</t>
        </is>
      </c>
      <c r="G38" s="6" t="inlineStr">
        <is>
          <t>Pasta</t>
        </is>
      </c>
      <c r="H38" s="6" t="inlineStr">
        <is>
          <t>yes</t>
        </is>
      </c>
      <c r="I38" s="6" t="inlineStr">
        <is>
          <t>Plant-based non-core</t>
        </is>
      </c>
      <c r="J38" s="6" t="inlineStr">
        <is>
          <t>A</t>
        </is>
      </c>
      <c r="K38" s="6" t="inlineStr">
        <is>
          <t>All ingredients on one side</t>
        </is>
      </c>
      <c r="L38" s="6" t="n">
        <v>11.9</v>
      </c>
      <c r="M38" s="6" t="inlineStr">
        <is>
          <t>Median of the family</t>
        </is>
      </c>
      <c r="N38" s="6" t="n">
        <v>11.9</v>
      </c>
      <c r="O38" s="6" t="n">
        <v>0</v>
      </c>
      <c r="P38" s="6" t="inlineStr">
        <is>
          <t>yes</t>
        </is>
      </c>
      <c r="Q38" s="6" t="inlineStr">
        <is>
          <t>whole</t>
        </is>
      </c>
      <c r="R38" s="6" t="inlineStr">
        <is>
          <t>FG5</t>
        </is>
      </c>
      <c r="S38" s="6" t="inlineStr">
        <is>
          <t>refined grain</t>
        </is>
      </c>
      <c r="T38" s="6" t="inlineStr">
        <is>
          <t>plant</t>
        </is>
      </c>
      <c r="U38" s="6" t="n"/>
      <c r="V38" s="6" t="n"/>
      <c r="W38" s="6" t="n">
        <v>1</v>
      </c>
      <c r="X38" s="6" t="n">
        <v>3</v>
      </c>
      <c r="Y38" s="6" t="inlineStr">
        <is>
          <t>label</t>
        </is>
      </c>
      <c r="Z38" s="8" t="n">
        <v>21102</v>
      </c>
      <c r="AA38" s="9">
        <f>IF(H38="yes",Z38*X38,0)</f>
        <v/>
      </c>
      <c r="AB38" s="9">
        <f>IF(H38="yes",AA38*N(L38)/100,0)</f>
        <v/>
      </c>
      <c r="AC38" s="9">
        <f>IF(H38="yes",AA38*N(N38)/100,0)</f>
        <v/>
      </c>
      <c r="AD38" s="9">
        <f>IF(H38="yes",AA38*N(O38)/100,0)</f>
        <v/>
      </c>
      <c r="AE38" s="10">
        <f>IF(P38="yes",AA38/1000,0)</f>
        <v/>
      </c>
      <c r="AF38" s="10">
        <f>IF(R38="FG2",AE38*W38,AE38)</f>
        <v/>
      </c>
    </row>
    <row r="39">
      <c r="A39" s="6" t="inlineStr">
        <is>
          <t>HM00037</t>
        </is>
      </c>
      <c r="B39" s="7" t="inlineStr">
        <is>
          <t>5012345479453</t>
        </is>
      </c>
      <c r="C39" s="6" t="inlineStr">
        <is>
          <t>HM SALMON FLT SKINLESS 240G</t>
        </is>
      </c>
      <c r="D39" s="6" t="inlineStr">
        <is>
          <t>Skinless salmon fillets, 240g</t>
        </is>
      </c>
      <c r="E39" s="6" t="inlineStr">
        <is>
          <t>Harbour Market</t>
        </is>
      </c>
      <c r="F39" s="6" t="inlineStr">
        <is>
          <t>Fish &amp; Seafood</t>
        </is>
      </c>
      <c r="G39" s="6" t="inlineStr">
        <is>
          <t>Fresh Fish</t>
        </is>
      </c>
      <c r="H39" s="6" t="inlineStr">
        <is>
          <t>yes</t>
        </is>
      </c>
      <c r="I39" s="6" t="inlineStr">
        <is>
          <t>Animal core</t>
        </is>
      </c>
      <c r="J39" s="6" t="inlineStr">
        <is>
          <t>A</t>
        </is>
      </c>
      <c r="K39" s="6" t="inlineStr">
        <is>
          <t>All ingredients on one side</t>
        </is>
      </c>
      <c r="L39" s="6" t="n">
        <v>21.2</v>
      </c>
      <c r="M39" s="6" t="inlineStr">
        <is>
          <t>Declared by the retailer</t>
        </is>
      </c>
      <c r="N39" s="6" t="n">
        <v>0</v>
      </c>
      <c r="O39" s="6" t="n">
        <v>21.2</v>
      </c>
      <c r="P39" s="6" t="inlineStr">
        <is>
          <t>yes</t>
        </is>
      </c>
      <c r="Q39" s="6" t="inlineStr">
        <is>
          <t>whole</t>
        </is>
      </c>
      <c r="R39" s="6" t="inlineStr">
        <is>
          <t>FG1</t>
        </is>
      </c>
      <c r="S39" s="6" t="inlineStr">
        <is>
          <t>fish shellfish</t>
        </is>
      </c>
      <c r="T39" s="6" t="inlineStr">
        <is>
          <t>animal</t>
        </is>
      </c>
      <c r="U39" s="6" t="n"/>
      <c r="V39" s="6" t="n"/>
      <c r="W39" s="6" t="n">
        <v>1</v>
      </c>
      <c r="X39" s="6" t="n">
        <v>0.24</v>
      </c>
      <c r="Y39" s="6" t="inlineStr">
        <is>
          <t>declared</t>
        </is>
      </c>
      <c r="Z39" s="8" t="n">
        <v>5295</v>
      </c>
      <c r="AA39" s="9">
        <f>IF(H39="yes",Z39*X39,0)</f>
        <v/>
      </c>
      <c r="AB39" s="9">
        <f>IF(H39="yes",AA39*N(L39)/100,0)</f>
        <v/>
      </c>
      <c r="AC39" s="9">
        <f>IF(H39="yes",AA39*N(N39)/100,0)</f>
        <v/>
      </c>
      <c r="AD39" s="9">
        <f>IF(H39="yes",AA39*N(O39)/100,0)</f>
        <v/>
      </c>
      <c r="AE39" s="10">
        <f>IF(P39="yes",AA39/1000,0)</f>
        <v/>
      </c>
      <c r="AF39" s="10">
        <f>IF(R39="FG2",AE39*W39,AE39)</f>
        <v/>
      </c>
    </row>
    <row r="40">
      <c r="A40" s="6" t="inlineStr">
        <is>
          <t>HM00038</t>
        </is>
      </c>
      <c r="B40" s="7" t="inlineStr">
        <is>
          <t>4012345913798</t>
        </is>
      </c>
      <c r="C40" s="6" t="inlineStr">
        <is>
          <t>PENNE RIGATE 500G ORVALIS</t>
        </is>
      </c>
      <c r="D40" s="6" t="inlineStr">
        <is>
          <t>Penne rigate, 500g</t>
        </is>
      </c>
      <c r="E40" s="6" t="inlineStr">
        <is>
          <t>Orvalis</t>
        </is>
      </c>
      <c r="F40" s="6" t="inlineStr">
        <is>
          <t>Grocery</t>
        </is>
      </c>
      <c r="G40" s="6" t="inlineStr">
        <is>
          <t>Pasta</t>
        </is>
      </c>
      <c r="H40" s="6" t="inlineStr">
        <is>
          <t>yes</t>
        </is>
      </c>
      <c r="I40" s="6" t="inlineStr">
        <is>
          <t>Plant-based non-core</t>
        </is>
      </c>
      <c r="J40" s="6" t="inlineStr">
        <is>
          <t>A</t>
        </is>
      </c>
      <c r="K40" s="6" t="inlineStr">
        <is>
          <t>All ingredients on one side</t>
        </is>
      </c>
      <c r="L40" s="6" t="n">
        <v>12.4</v>
      </c>
      <c r="M40" s="6" t="inlineStr">
        <is>
          <t>Declared by the retailer</t>
        </is>
      </c>
      <c r="N40" s="6" t="n">
        <v>12.4</v>
      </c>
      <c r="O40" s="6" t="n">
        <v>0</v>
      </c>
      <c r="P40" s="6" t="inlineStr">
        <is>
          <t>yes</t>
        </is>
      </c>
      <c r="Q40" s="6" t="inlineStr">
        <is>
          <t>whole</t>
        </is>
      </c>
      <c r="R40" s="6" t="inlineStr">
        <is>
          <t>FG5</t>
        </is>
      </c>
      <c r="S40" s="6" t="inlineStr">
        <is>
          <t>refined grain</t>
        </is>
      </c>
      <c r="T40" s="6" t="inlineStr">
        <is>
          <t>plant</t>
        </is>
      </c>
      <c r="U40" s="6" t="n"/>
      <c r="V40" s="6" t="n"/>
      <c r="W40" s="6" t="n">
        <v>1</v>
      </c>
      <c r="X40" s="6" t="n">
        <v>0.5</v>
      </c>
      <c r="Y40" s="6" t="inlineStr">
        <is>
          <t>declared</t>
        </is>
      </c>
      <c r="Z40" s="8" t="n">
        <v>6122</v>
      </c>
      <c r="AA40" s="9">
        <f>IF(H40="yes",Z40*X40,0)</f>
        <v/>
      </c>
      <c r="AB40" s="9">
        <f>IF(H40="yes",AA40*N(L40)/100,0)</f>
        <v/>
      </c>
      <c r="AC40" s="9">
        <f>IF(H40="yes",AA40*N(N40)/100,0)</f>
        <v/>
      </c>
      <c r="AD40" s="9">
        <f>IF(H40="yes",AA40*N(O40)/100,0)</f>
        <v/>
      </c>
      <c r="AE40" s="10">
        <f>IF(P40="yes",AA40/1000,0)</f>
        <v/>
      </c>
      <c r="AF40" s="10">
        <f>IF(R40="FG2",AE40*W40,AE40)</f>
        <v/>
      </c>
    </row>
    <row r="41">
      <c r="A41" s="6" t="inlineStr">
        <is>
          <t>HM00039</t>
        </is>
      </c>
      <c r="B41" s="7" t="inlineStr">
        <is>
          <t>2755600676120</t>
        </is>
      </c>
      <c r="C41" s="6" t="inlineStr">
        <is>
          <t>HM CUCUMBER KG</t>
        </is>
      </c>
      <c r="D41" s="6" t="inlineStr">
        <is>
          <t>Cucumber</t>
        </is>
      </c>
      <c r="E41" s="6" t="inlineStr">
        <is>
          <t>Harbour Market</t>
        </is>
      </c>
      <c r="F41" s="6" t="inlineStr">
        <is>
          <t>Fruit &amp; Vegetables</t>
        </is>
      </c>
      <c r="G41" s="6" t="inlineStr">
        <is>
          <t>Vegetables</t>
        </is>
      </c>
      <c r="H41" s="6" t="inlineStr">
        <is>
          <t>yes</t>
        </is>
      </c>
      <c r="I41" s="6" t="inlineStr">
        <is>
          <t>Plant-based non-core</t>
        </is>
      </c>
      <c r="J41" s="6" t="inlineStr">
        <is>
          <t>B</t>
        </is>
      </c>
      <c r="K41" s="6" t="inlineStr">
        <is>
          <t>Follows the class</t>
        </is>
      </c>
      <c r="L41" s="6" t="n">
        <v>0.57</v>
      </c>
      <c r="M41" s="6" t="inlineStr">
        <is>
          <t>Name match (CIQUAL / NEVO)</t>
        </is>
      </c>
      <c r="N41" s="6" t="n">
        <v>0.57</v>
      </c>
      <c r="O41" s="6" t="n">
        <v>0</v>
      </c>
      <c r="P41" s="6" t="inlineStr">
        <is>
          <t>yes</t>
        </is>
      </c>
      <c r="Q41" s="6" t="inlineStr">
        <is>
          <t>whole</t>
        </is>
      </c>
      <c r="R41" s="6" t="inlineStr">
        <is>
          <t>FG4</t>
        </is>
      </c>
      <c r="S41" s="6" t="n"/>
      <c r="T41" s="6" t="inlineStr">
        <is>
          <t>plant</t>
        </is>
      </c>
      <c r="U41" s="6" t="n"/>
      <c r="V41" s="6" t="n"/>
      <c r="W41" s="6" t="n">
        <v>1</v>
      </c>
      <c r="X41" s="6" t="n">
        <v>1</v>
      </c>
      <c r="Y41" s="6" t="inlineStr">
        <is>
          <t>variable</t>
        </is>
      </c>
      <c r="Z41" s="8" t="n">
        <v>77008</v>
      </c>
      <c r="AA41" s="9">
        <f>IF(H41="yes",Z41*X41,0)</f>
        <v/>
      </c>
      <c r="AB41" s="9">
        <f>IF(H41="yes",AA41*N(L41)/100,0)</f>
        <v/>
      </c>
      <c r="AC41" s="9">
        <f>IF(H41="yes",AA41*N(N41)/100,0)</f>
        <v/>
      </c>
      <c r="AD41" s="9">
        <f>IF(H41="yes",AA41*N(O41)/100,0)</f>
        <v/>
      </c>
      <c r="AE41" s="10">
        <f>IF(P41="yes",AA41/1000,0)</f>
        <v/>
      </c>
      <c r="AF41" s="10">
        <f>IF(R41="FG2",AE41*W41,AE41)</f>
        <v/>
      </c>
    </row>
    <row r="42">
      <c r="A42" s="6" t="inlineStr">
        <is>
          <t>HM00040</t>
        </is>
      </c>
      <c r="B42" s="7" t="inlineStr">
        <is>
          <t>5012345668888</t>
        </is>
      </c>
      <c r="C42" s="6" t="inlineStr">
        <is>
          <t>PENROCK SALTED PEANUTS 500G</t>
        </is>
      </c>
      <c r="D42" s="6" t="inlineStr">
        <is>
          <t>Salted peanuts, 500g</t>
        </is>
      </c>
      <c r="E42" s="6" t="inlineStr">
        <is>
          <t>Penrock</t>
        </is>
      </c>
      <c r="F42" s="6" t="inlineStr">
        <is>
          <t>Grocery</t>
        </is>
      </c>
      <c r="G42" s="6" t="inlineStr">
        <is>
          <t>Nuts &amp; Seeds</t>
        </is>
      </c>
      <c r="H42" s="6" t="inlineStr">
        <is>
          <t>yes</t>
        </is>
      </c>
      <c r="I42" s="6" t="inlineStr">
        <is>
          <t>Plant-based core</t>
        </is>
      </c>
      <c r="J42" s="6" t="inlineStr">
        <is>
          <t>B</t>
        </is>
      </c>
      <c r="K42" s="6" t="inlineStr">
        <is>
          <t>Follows the class</t>
        </is>
      </c>
      <c r="L42" s="6" t="n">
        <v>23.6</v>
      </c>
      <c r="M42" s="6" t="inlineStr">
        <is>
          <t>Declared by the retailer</t>
        </is>
      </c>
      <c r="N42" s="6" t="n">
        <v>23.6</v>
      </c>
      <c r="O42" s="6" t="n">
        <v>0</v>
      </c>
      <c r="P42" s="6" t="inlineStr">
        <is>
          <t>yes</t>
        </is>
      </c>
      <c r="Q42" s="6" t="inlineStr">
        <is>
          <t>whole</t>
        </is>
      </c>
      <c r="R42" s="6" t="inlineStr">
        <is>
          <t>FG1</t>
        </is>
      </c>
      <c r="S42" s="6" t="inlineStr">
        <is>
          <t>nuts</t>
        </is>
      </c>
      <c r="T42" s="6" t="inlineStr">
        <is>
          <t>plant</t>
        </is>
      </c>
      <c r="U42" s="6" t="n"/>
      <c r="V42" s="6" t="n"/>
      <c r="W42" s="6" t="n">
        <v>1</v>
      </c>
      <c r="X42" s="6" t="n">
        <v>0.5</v>
      </c>
      <c r="Y42" s="6" t="inlineStr">
        <is>
          <t>declared</t>
        </is>
      </c>
      <c r="Z42" s="8" t="n">
        <v>5663</v>
      </c>
      <c r="AA42" s="9">
        <f>IF(H42="yes",Z42*X42,0)</f>
        <v/>
      </c>
      <c r="AB42" s="9">
        <f>IF(H42="yes",AA42*N(L42)/100,0)</f>
        <v/>
      </c>
      <c r="AC42" s="9">
        <f>IF(H42="yes",AA42*N(N42)/100,0)</f>
        <v/>
      </c>
      <c r="AD42" s="9">
        <f>IF(H42="yes",AA42*N(O42)/100,0)</f>
        <v/>
      </c>
      <c r="AE42" s="10">
        <f>IF(P42="yes",AA42/1000,0)</f>
        <v/>
      </c>
      <c r="AF42" s="10">
        <f>IF(R42="FG2",AE42*W42,AE42)</f>
        <v/>
      </c>
    </row>
    <row r="43">
      <c r="A43" s="6" t="inlineStr">
        <is>
          <t>HM00041</t>
        </is>
      </c>
      <c r="B43" s="7" t="inlineStr">
        <is>
          <t>8712345409098</t>
        </is>
      </c>
      <c r="C43" s="6" t="inlineStr">
        <is>
          <t>ORVALIS BAKED BEANS TOM SCE 4X400G</t>
        </is>
      </c>
      <c r="D43" s="6" t="inlineStr">
        <is>
          <t>Baked beans in tomato sauce, 4x400g</t>
        </is>
      </c>
      <c r="E43" s="6" t="inlineStr">
        <is>
          <t>Orvalis</t>
        </is>
      </c>
      <c r="F43" s="6" t="inlineStr">
        <is>
          <t>Grocery</t>
        </is>
      </c>
      <c r="G43" s="6" t="inlineStr">
        <is>
          <t>Pulses</t>
        </is>
      </c>
      <c r="H43" s="6" t="inlineStr">
        <is>
          <t>yes</t>
        </is>
      </c>
      <c r="I43" s="6" t="inlineStr">
        <is>
          <t>Plant-based core</t>
        </is>
      </c>
      <c r="J43" s="6" t="inlineStr">
        <is>
          <t>A</t>
        </is>
      </c>
      <c r="K43" s="6" t="inlineStr">
        <is>
          <t>All ingredients on one side</t>
        </is>
      </c>
      <c r="L43" s="6" t="n">
        <v>5</v>
      </c>
      <c r="M43" s="6" t="inlineStr">
        <is>
          <t>Declared by the retailer</t>
        </is>
      </c>
      <c r="N43" s="6" t="n">
        <v>5</v>
      </c>
      <c r="O43" s="6" t="n">
        <v>0</v>
      </c>
      <c r="P43" s="6" t="inlineStr">
        <is>
          <t>yes</t>
        </is>
      </c>
      <c r="Q43" s="6" t="inlineStr">
        <is>
          <t>whole</t>
        </is>
      </c>
      <c r="R43" s="6" t="inlineStr">
        <is>
          <t>FG1</t>
        </is>
      </c>
      <c r="S43" s="6" t="inlineStr">
        <is>
          <t>pulses</t>
        </is>
      </c>
      <c r="T43" s="6" t="inlineStr">
        <is>
          <t>plant</t>
        </is>
      </c>
      <c r="U43" s="6" t="n"/>
      <c r="V43" s="6" t="n"/>
      <c r="W43" s="6" t="n">
        <v>1</v>
      </c>
      <c r="X43" s="6" t="n">
        <v>1.6</v>
      </c>
      <c r="Y43" s="6" t="inlineStr">
        <is>
          <t>declared</t>
        </is>
      </c>
      <c r="Z43" s="8" t="n">
        <v>21461</v>
      </c>
      <c r="AA43" s="9">
        <f>IF(H43="yes",Z43*X43,0)</f>
        <v/>
      </c>
      <c r="AB43" s="9">
        <f>IF(H43="yes",AA43*N(L43)/100,0)</f>
        <v/>
      </c>
      <c r="AC43" s="9">
        <f>IF(H43="yes",AA43*N(N43)/100,0)</f>
        <v/>
      </c>
      <c r="AD43" s="9">
        <f>IF(H43="yes",AA43*N(O43)/100,0)</f>
        <v/>
      </c>
      <c r="AE43" s="10">
        <f>IF(P43="yes",AA43/1000,0)</f>
        <v/>
      </c>
      <c r="AF43" s="10">
        <f>IF(R43="FG2",AE43*W43,AE43)</f>
        <v/>
      </c>
    </row>
    <row r="44">
      <c r="A44" s="6" t="inlineStr">
        <is>
          <t>HM00042</t>
        </is>
      </c>
      <c r="B44" s="7" t="inlineStr">
        <is>
          <t>4012345192285</t>
        </is>
      </c>
      <c r="C44" s="6" t="inlineStr">
        <is>
          <t>HM BRIE 200G</t>
        </is>
      </c>
      <c r="D44" s="6" t="inlineStr">
        <is>
          <t>Brie, 200g</t>
        </is>
      </c>
      <c r="E44" s="6" t="inlineStr">
        <is>
          <t>Harbour Market</t>
        </is>
      </c>
      <c r="F44" s="6" t="inlineStr">
        <is>
          <t>Cheese</t>
        </is>
      </c>
      <c r="G44" s="6" t="inlineStr">
        <is>
          <t>Soft Cheese</t>
        </is>
      </c>
      <c r="H44" s="6" t="inlineStr">
        <is>
          <t>yes</t>
        </is>
      </c>
      <c r="I44" s="6" t="inlineStr">
        <is>
          <t>Animal core</t>
        </is>
      </c>
      <c r="J44" s="6" t="inlineStr">
        <is>
          <t>B</t>
        </is>
      </c>
      <c r="K44" s="6" t="inlineStr">
        <is>
          <t>Follows the class</t>
        </is>
      </c>
      <c r="L44" s="6" t="n">
        <v>21.1</v>
      </c>
      <c r="M44" s="6" t="inlineStr">
        <is>
          <t>Open Food Facts, by EAN</t>
        </is>
      </c>
      <c r="N44" s="6" t="n">
        <v>0</v>
      </c>
      <c r="O44" s="6" t="n">
        <v>21.1</v>
      </c>
      <c r="P44" s="6" t="inlineStr">
        <is>
          <t>yes</t>
        </is>
      </c>
      <c r="Q44" s="6" t="inlineStr">
        <is>
          <t>whole</t>
        </is>
      </c>
      <c r="R44" s="6" t="inlineStr">
        <is>
          <t>FG2</t>
        </is>
      </c>
      <c r="S44" s="6" t="inlineStr">
        <is>
          <t>dairy</t>
        </is>
      </c>
      <c r="T44" s="6" t="inlineStr">
        <is>
          <t>animal</t>
        </is>
      </c>
      <c r="U44" s="6" t="n"/>
      <c r="V44" s="6" t="n"/>
      <c r="W44" s="6" t="n">
        <v>10</v>
      </c>
      <c r="X44" s="6" t="n">
        <v>0.2</v>
      </c>
      <c r="Y44" s="6" t="inlineStr">
        <is>
          <t>declared</t>
        </is>
      </c>
      <c r="Z44" s="8" t="n">
        <v>151306</v>
      </c>
      <c r="AA44" s="9">
        <f>IF(H44="yes",Z44*X44,0)</f>
        <v/>
      </c>
      <c r="AB44" s="9">
        <f>IF(H44="yes",AA44*N(L44)/100,0)</f>
        <v/>
      </c>
      <c r="AC44" s="9">
        <f>IF(H44="yes",AA44*N(N44)/100,0)</f>
        <v/>
      </c>
      <c r="AD44" s="9">
        <f>IF(H44="yes",AA44*N(O44)/100,0)</f>
        <v/>
      </c>
      <c r="AE44" s="10">
        <f>IF(P44="yes",AA44/1000,0)</f>
        <v/>
      </c>
      <c r="AF44" s="10">
        <f>IF(R44="FG2",AE44*W44,AE44)</f>
        <v/>
      </c>
    </row>
    <row r="45">
      <c r="A45" s="6" t="inlineStr">
        <is>
          <t>HM00043</t>
        </is>
      </c>
      <c r="B45" s="7" t="inlineStr">
        <is>
          <t>3012345795050</t>
        </is>
      </c>
      <c r="C45" s="6" t="inlineStr">
        <is>
          <t>COD FISH FINGERS 20PK 560G KESTREL</t>
        </is>
      </c>
      <c r="D45" s="6" t="inlineStr">
        <is>
          <t>Cod fish fingers, 20pk 560g</t>
        </is>
      </c>
      <c r="E45" s="6" t="inlineStr">
        <is>
          <t>Kestrel Bay</t>
        </is>
      </c>
      <c r="F45" s="6" t="inlineStr">
        <is>
          <t>Frozen</t>
        </is>
      </c>
      <c r="G45" s="6" t="inlineStr">
        <is>
          <t>Frozen Fish</t>
        </is>
      </c>
      <c r="H45" s="6" t="inlineStr">
        <is>
          <t>yes</t>
        </is>
      </c>
      <c r="I45" s="6" t="inlineStr">
        <is>
          <t>Animal core</t>
        </is>
      </c>
      <c r="J45" s="6" t="inlineStr">
        <is>
          <t>B</t>
        </is>
      </c>
      <c r="K45" s="6" t="inlineStr">
        <is>
          <t>First ingredient (step 4a)</t>
        </is>
      </c>
      <c r="L45" s="6" t="n">
        <v>12</v>
      </c>
      <c r="M45" s="6" t="inlineStr">
        <is>
          <t>Declared by the retailer</t>
        </is>
      </c>
      <c r="N45" s="6" t="n">
        <v>0</v>
      </c>
      <c r="O45" s="6" t="n">
        <v>12</v>
      </c>
      <c r="P45" s="6" t="inlineStr">
        <is>
          <t>yes</t>
        </is>
      </c>
      <c r="Q45" s="6" t="inlineStr">
        <is>
          <t>whole</t>
        </is>
      </c>
      <c r="R45" s="6" t="inlineStr">
        <is>
          <t>FG1</t>
        </is>
      </c>
      <c r="S45" s="6" t="inlineStr">
        <is>
          <t>fish shellfish</t>
        </is>
      </c>
      <c r="T45" s="6" t="inlineStr">
        <is>
          <t>animal</t>
        </is>
      </c>
      <c r="U45" s="6" t="n"/>
      <c r="V45" s="6" t="n"/>
      <c r="W45" s="6" t="n">
        <v>1</v>
      </c>
      <c r="X45" s="6" t="n">
        <v>0.5600000000000001</v>
      </c>
      <c r="Y45" s="6" t="inlineStr">
        <is>
          <t>declared</t>
        </is>
      </c>
      <c r="Z45" s="8" t="n">
        <v>23811</v>
      </c>
      <c r="AA45" s="9">
        <f>IF(H45="yes",Z45*X45,0)</f>
        <v/>
      </c>
      <c r="AB45" s="9">
        <f>IF(H45="yes",AA45*N(L45)/100,0)</f>
        <v/>
      </c>
      <c r="AC45" s="9">
        <f>IF(H45="yes",AA45*N(N45)/100,0)</f>
        <v/>
      </c>
      <c r="AD45" s="9">
        <f>IF(H45="yes",AA45*N(O45)/100,0)</f>
        <v/>
      </c>
      <c r="AE45" s="10">
        <f>IF(P45="yes",AA45/1000,0)</f>
        <v/>
      </c>
      <c r="AF45" s="10">
        <f>IF(R45="FG2",AE45*W45,AE45)</f>
        <v/>
      </c>
    </row>
    <row r="46">
      <c r="A46" s="6" t="inlineStr">
        <is>
          <t>HM00044</t>
        </is>
      </c>
      <c r="B46" s="7" t="inlineStr">
        <is>
          <t>4012345297966</t>
        </is>
      </c>
      <c r="C46" s="6" t="inlineStr">
        <is>
          <t>HM VEG CURRY RICE 400G</t>
        </is>
      </c>
      <c r="D46" s="6" t="inlineStr">
        <is>
          <t>Vegetable curry with rice, 400g</t>
        </is>
      </c>
      <c r="E46" s="6" t="inlineStr">
        <is>
          <t>Harbour Market</t>
        </is>
      </c>
      <c r="F46" s="6" t="inlineStr">
        <is>
          <t>Ready Meals</t>
        </is>
      </c>
      <c r="G46" s="6" t="inlineStr">
        <is>
          <t>Ready Meals</t>
        </is>
      </c>
      <c r="H46" s="6" t="inlineStr">
        <is>
          <t>yes</t>
        </is>
      </c>
      <c r="I46" s="6" t="inlineStr">
        <is>
          <t>Plant-based non-core</t>
        </is>
      </c>
      <c r="J46" s="6" t="inlineStr">
        <is>
          <t>A</t>
        </is>
      </c>
      <c r="K46" s="6" t="inlineStr">
        <is>
          <t>All ingredients on one side</t>
        </is>
      </c>
      <c r="L46" s="6" t="n">
        <v>4.1</v>
      </c>
      <c r="M46" s="6" t="inlineStr">
        <is>
          <t>Median of the family</t>
        </is>
      </c>
      <c r="N46" s="6" t="n">
        <v>4.1</v>
      </c>
      <c r="O46" s="6" t="n">
        <v>0</v>
      </c>
      <c r="P46" s="6" t="inlineStr">
        <is>
          <t>yes</t>
        </is>
      </c>
      <c r="Q46" s="6" t="inlineStr">
        <is>
          <t>composite</t>
        </is>
      </c>
      <c r="R46" s="6" t="n"/>
      <c r="S46" s="6" t="n"/>
      <c r="T46" s="6" t="n"/>
      <c r="U46" s="6" t="inlineStr">
        <is>
          <t>vegan</t>
        </is>
      </c>
      <c r="V46" s="6" t="n"/>
      <c r="W46" s="6" t="n">
        <v>1</v>
      </c>
      <c r="X46" s="6" t="n">
        <v>0.4</v>
      </c>
      <c r="Y46" s="6" t="inlineStr">
        <is>
          <t>declared</t>
        </is>
      </c>
      <c r="Z46" s="8" t="n">
        <v>34983</v>
      </c>
      <c r="AA46" s="9">
        <f>IF(H46="yes",Z46*X46,0)</f>
        <v/>
      </c>
      <c r="AB46" s="9">
        <f>IF(H46="yes",AA46*N(L46)/100,0)</f>
        <v/>
      </c>
      <c r="AC46" s="9">
        <f>IF(H46="yes",AA46*N(N46)/100,0)</f>
        <v/>
      </c>
      <c r="AD46" s="9">
        <f>IF(H46="yes",AA46*N(O46)/100,0)</f>
        <v/>
      </c>
      <c r="AE46" s="10">
        <f>IF(P46="yes",AA46/1000,0)</f>
        <v/>
      </c>
      <c r="AF46" s="10">
        <f>IF(R46="FG2",AE46*W46,AE46)</f>
        <v/>
      </c>
    </row>
    <row r="47">
      <c r="A47" s="6" t="inlineStr">
        <is>
          <t>HM00045</t>
        </is>
      </c>
      <c r="B47" s="7" t="inlineStr">
        <is>
          <t>5012345442990</t>
        </is>
      </c>
      <c r="C47" s="6" t="inlineStr">
        <is>
          <t>GREEK STYLE YOG 4X125G FJELDA</t>
        </is>
      </c>
      <c r="D47" s="6" t="inlineStr">
        <is>
          <t>Greek-style yoghurt, 4x125g</t>
        </is>
      </c>
      <c r="E47" s="6" t="inlineStr">
        <is>
          <t>Fjelda</t>
        </is>
      </c>
      <c r="F47" s="6" t="inlineStr">
        <is>
          <t>Dairy &amp; Eggs</t>
        </is>
      </c>
      <c r="G47" s="6" t="inlineStr">
        <is>
          <t>Yoghurt</t>
        </is>
      </c>
      <c r="H47" s="6" t="inlineStr">
        <is>
          <t>yes</t>
        </is>
      </c>
      <c r="I47" s="6" t="inlineStr">
        <is>
          <t>Animal core</t>
        </is>
      </c>
      <c r="J47" s="6" t="inlineStr">
        <is>
          <t>A</t>
        </is>
      </c>
      <c r="K47" s="6" t="inlineStr">
        <is>
          <t>All ingredients on one side</t>
        </is>
      </c>
      <c r="L47" s="6" t="n">
        <v>5.9</v>
      </c>
      <c r="M47" s="6" t="inlineStr">
        <is>
          <t>Declared by the retailer</t>
        </is>
      </c>
      <c r="N47" s="6" t="n">
        <v>0</v>
      </c>
      <c r="O47" s="6" t="n">
        <v>5.9</v>
      </c>
      <c r="P47" s="6" t="inlineStr">
        <is>
          <t>yes</t>
        </is>
      </c>
      <c r="Q47" s="6" t="inlineStr">
        <is>
          <t>whole</t>
        </is>
      </c>
      <c r="R47" s="6" t="inlineStr">
        <is>
          <t>FG2</t>
        </is>
      </c>
      <c r="S47" s="6" t="inlineStr">
        <is>
          <t>dairy</t>
        </is>
      </c>
      <c r="T47" s="6" t="inlineStr">
        <is>
          <t>animal</t>
        </is>
      </c>
      <c r="U47" s="6" t="n"/>
      <c r="V47" s="6" t="n"/>
      <c r="W47" s="6" t="n">
        <v>1</v>
      </c>
      <c r="X47" s="6" t="n">
        <v>0.5</v>
      </c>
      <c r="Y47" s="6" t="inlineStr">
        <is>
          <t>declared</t>
        </is>
      </c>
      <c r="Z47" s="8" t="n">
        <v>106845</v>
      </c>
      <c r="AA47" s="9">
        <f>IF(H47="yes",Z47*X47,0)</f>
        <v/>
      </c>
      <c r="AB47" s="9">
        <f>IF(H47="yes",AA47*N(L47)/100,0)</f>
        <v/>
      </c>
      <c r="AC47" s="9">
        <f>IF(H47="yes",AA47*N(N47)/100,0)</f>
        <v/>
      </c>
      <c r="AD47" s="9">
        <f>IF(H47="yes",AA47*N(O47)/100,0)</f>
        <v/>
      </c>
      <c r="AE47" s="10">
        <f>IF(P47="yes",AA47/1000,0)</f>
        <v/>
      </c>
      <c r="AF47" s="10">
        <f>IF(R47="FG2",AE47*W47,AE47)</f>
        <v/>
      </c>
    </row>
    <row r="48">
      <c r="A48" s="6" t="inlineStr">
        <is>
          <t>HM00046</t>
        </is>
      </c>
      <c r="B48" s="7" t="inlineStr">
        <is>
          <t>3012345479561</t>
        </is>
      </c>
      <c r="C48" s="6" t="inlineStr">
        <is>
          <t>HM ICED TEA PEACH 2L</t>
        </is>
      </c>
      <c r="D48" s="6" t="inlineStr">
        <is>
          <t>Peach iced tea, 2l</t>
        </is>
      </c>
      <c r="E48" s="6" t="inlineStr">
        <is>
          <t>Harbour Market</t>
        </is>
      </c>
      <c r="F48" s="6" t="inlineStr">
        <is>
          <t>Soft Drinks &amp; Water</t>
        </is>
      </c>
      <c r="G48" s="6" t="inlineStr">
        <is>
          <t>Soft Drinks</t>
        </is>
      </c>
      <c r="H48" s="6" t="inlineStr">
        <is>
          <t>yes</t>
        </is>
      </c>
      <c r="I48" s="6" t="inlineStr">
        <is>
          <t>Plant-based non-core</t>
        </is>
      </c>
      <c r="J48" s="6" t="inlineStr">
        <is>
          <t>B</t>
        </is>
      </c>
      <c r="K48" s="6" t="inlineStr">
        <is>
          <t>Follows the class</t>
        </is>
      </c>
      <c r="L48" s="6" t="n">
        <v>0</v>
      </c>
      <c r="M48" s="6" t="inlineStr">
        <is>
          <t>Declared by the retailer</t>
        </is>
      </c>
      <c r="N48" s="6" t="n">
        <v>0</v>
      </c>
      <c r="O48" s="6" t="n">
        <v>0</v>
      </c>
      <c r="P48" s="6" t="inlineStr">
        <is>
          <t>no</t>
        </is>
      </c>
      <c r="Q48" s="6" t="n"/>
      <c r="R48" s="6" t="n"/>
      <c r="S48" s="6" t="n"/>
      <c r="T48" s="6" t="n"/>
      <c r="U48" s="6" t="n"/>
      <c r="V48" s="6" t="inlineStr">
        <is>
          <t>beverage</t>
        </is>
      </c>
      <c r="W48" s="6" t="n">
        <v>1</v>
      </c>
      <c r="X48" s="6" t="n">
        <v>2</v>
      </c>
      <c r="Y48" s="6" t="inlineStr">
        <is>
          <t>declared</t>
        </is>
      </c>
      <c r="Z48" s="8" t="n">
        <v>68259</v>
      </c>
      <c r="AA48" s="9">
        <f>IF(H48="yes",Z48*X48,0)</f>
        <v/>
      </c>
      <c r="AB48" s="9">
        <f>IF(H48="yes",AA48*N(L48)/100,0)</f>
        <v/>
      </c>
      <c r="AC48" s="9">
        <f>IF(H48="yes",AA48*N(N48)/100,0)</f>
        <v/>
      </c>
      <c r="AD48" s="9">
        <f>IF(H48="yes",AA48*N(O48)/100,0)</f>
        <v/>
      </c>
      <c r="AE48" s="10">
        <f>IF(P48="yes",AA48/1000,0)</f>
        <v/>
      </c>
      <c r="AF48" s="10">
        <f>IF(R48="FG2",AE48*W48,AE48)</f>
        <v/>
      </c>
    </row>
    <row r="49">
      <c r="A49" s="6" t="inlineStr">
        <is>
          <t>HM00047</t>
        </is>
      </c>
      <c r="B49" s="7" t="inlineStr">
        <is>
          <t>5012345969794</t>
        </is>
      </c>
      <c r="C49" s="6" t="inlineStr">
        <is>
          <t>VELOCE ENGLISH BREAKFAST TEA 1KG</t>
        </is>
      </c>
      <c r="D49" s="6" t="inlineStr">
        <is>
          <t>English breakfast tea bags, 1kg</t>
        </is>
      </c>
      <c r="E49" s="6" t="inlineStr">
        <is>
          <t>Veloce</t>
        </is>
      </c>
      <c r="F49" s="6" t="inlineStr">
        <is>
          <t>Grocery</t>
        </is>
      </c>
      <c r="G49" s="6" t="inlineStr">
        <is>
          <t>Tea &amp; Coffee</t>
        </is>
      </c>
      <c r="H49" s="6" t="inlineStr">
        <is>
          <t>yes</t>
        </is>
      </c>
      <c r="I49" s="6" t="inlineStr">
        <is>
          <t>Plant-based non-core</t>
        </is>
      </c>
      <c r="J49" s="6" t="inlineStr">
        <is>
          <t>A</t>
        </is>
      </c>
      <c r="K49" s="6" t="inlineStr">
        <is>
          <t>All ingredients on one side</t>
        </is>
      </c>
      <c r="L49" s="6" t="n">
        <v>0</v>
      </c>
      <c r="M49" s="6" t="inlineStr">
        <is>
          <t>Declared by the retailer</t>
        </is>
      </c>
      <c r="N49" s="6" t="n">
        <v>0</v>
      </c>
      <c r="O49" s="6" t="n">
        <v>0</v>
      </c>
      <c r="P49" s="6" t="inlineStr">
        <is>
          <t>no</t>
        </is>
      </c>
      <c r="Q49" s="6" t="n"/>
      <c r="R49" s="6" t="n"/>
      <c r="S49" s="6" t="n"/>
      <c r="T49" s="6" t="n"/>
      <c r="U49" s="6" t="n"/>
      <c r="V49" s="6" t="inlineStr">
        <is>
          <t>coffee tea</t>
        </is>
      </c>
      <c r="W49" s="6" t="n">
        <v>1</v>
      </c>
      <c r="X49" s="6" t="n">
        <v>1</v>
      </c>
      <c r="Y49" s="6" t="inlineStr">
        <is>
          <t>declared</t>
        </is>
      </c>
      <c r="Z49" s="8" t="n">
        <v>4210</v>
      </c>
      <c r="AA49" s="9">
        <f>IF(H49="yes",Z49*X49,0)</f>
        <v/>
      </c>
      <c r="AB49" s="9">
        <f>IF(H49="yes",AA49*N(L49)/100,0)</f>
        <v/>
      </c>
      <c r="AC49" s="9">
        <f>IF(H49="yes",AA49*N(N49)/100,0)</f>
        <v/>
      </c>
      <c r="AD49" s="9">
        <f>IF(H49="yes",AA49*N(O49)/100,0)</f>
        <v/>
      </c>
      <c r="AE49" s="10">
        <f>IF(P49="yes",AA49/1000,0)</f>
        <v/>
      </c>
      <c r="AF49" s="10">
        <f>IF(R49="FG2",AE49*W49,AE49)</f>
        <v/>
      </c>
    </row>
    <row r="50">
      <c r="A50" s="6" t="inlineStr">
        <is>
          <t>HM00048</t>
        </is>
      </c>
      <c r="B50" s="7" t="inlineStr">
        <is>
          <t>8712345104481</t>
        </is>
      </c>
      <c r="C50" s="6" t="inlineStr">
        <is>
          <t>TARROW BF DICED STEW 250G</t>
        </is>
      </c>
      <c r="D50" s="6" t="inlineStr">
        <is>
          <t>Diced beef for stewing, 250g</t>
        </is>
      </c>
      <c r="E50" s="6" t="inlineStr">
        <is>
          <t>Tarrow Farm</t>
        </is>
      </c>
      <c r="F50" s="6" t="inlineStr">
        <is>
          <t>Fresh Meat &amp; Poultry</t>
        </is>
      </c>
      <c r="G50" s="6" t="inlineStr">
        <is>
          <t>Beef</t>
        </is>
      </c>
      <c r="H50" s="6" t="inlineStr">
        <is>
          <t>yes</t>
        </is>
      </c>
      <c r="I50" s="6" t="inlineStr">
        <is>
          <t>Animal core</t>
        </is>
      </c>
      <c r="J50" s="6" t="inlineStr">
        <is>
          <t>B</t>
        </is>
      </c>
      <c r="K50" s="6" t="inlineStr">
        <is>
          <t>Follows the class</t>
        </is>
      </c>
      <c r="L50" s="6" t="n">
        <v>21.8</v>
      </c>
      <c r="M50" s="6" t="inlineStr">
        <is>
          <t>Declared by the retailer</t>
        </is>
      </c>
      <c r="N50" s="6" t="n">
        <v>0</v>
      </c>
      <c r="O50" s="6" t="n">
        <v>21.8</v>
      </c>
      <c r="P50" s="6" t="inlineStr">
        <is>
          <t>yes</t>
        </is>
      </c>
      <c r="Q50" s="6" t="inlineStr">
        <is>
          <t>whole</t>
        </is>
      </c>
      <c r="R50" s="6" t="inlineStr">
        <is>
          <t>FG1</t>
        </is>
      </c>
      <c r="S50" s="6" t="inlineStr">
        <is>
          <t>red meat</t>
        </is>
      </c>
      <c r="T50" s="6" t="inlineStr">
        <is>
          <t>animal</t>
        </is>
      </c>
      <c r="U50" s="6" t="n"/>
      <c r="V50" s="6" t="n"/>
      <c r="W50" s="6" t="n">
        <v>1</v>
      </c>
      <c r="X50" s="6" t="n">
        <v>0.25</v>
      </c>
      <c r="Y50" s="6" t="inlineStr">
        <is>
          <t>declared</t>
        </is>
      </c>
      <c r="Z50" s="8" t="n">
        <v>213489</v>
      </c>
      <c r="AA50" s="9">
        <f>IF(H50="yes",Z50*X50,0)</f>
        <v/>
      </c>
      <c r="AB50" s="9">
        <f>IF(H50="yes",AA50*N(L50)/100,0)</f>
        <v/>
      </c>
      <c r="AC50" s="9">
        <f>IF(H50="yes",AA50*N(N50)/100,0)</f>
        <v/>
      </c>
      <c r="AD50" s="9">
        <f>IF(H50="yes",AA50*N(O50)/100,0)</f>
        <v/>
      </c>
      <c r="AE50" s="10">
        <f>IF(P50="yes",AA50/1000,0)</f>
        <v/>
      </c>
      <c r="AF50" s="10">
        <f>IF(R50="FG2",AE50*W50,AE50)</f>
        <v/>
      </c>
    </row>
    <row r="51">
      <c r="A51" s="6" t="inlineStr">
        <is>
          <t>HM00049</t>
        </is>
      </c>
      <c r="B51" s="7" t="inlineStr">
        <is>
          <t>8712345397470</t>
        </is>
      </c>
      <c r="C51" s="6" t="inlineStr">
        <is>
          <t>HM STRAWB MILKSHAKE 1L</t>
        </is>
      </c>
      <c r="D51" s="6" t="inlineStr">
        <is>
          <t>Strawberry milkshake, 1l</t>
        </is>
      </c>
      <c r="E51" s="6" t="inlineStr">
        <is>
          <t>Harbour Market</t>
        </is>
      </c>
      <c r="F51" s="6" t="inlineStr">
        <is>
          <t>Dairy &amp; Eggs</t>
        </is>
      </c>
      <c r="G51" s="6" t="inlineStr">
        <is>
          <t>Milk Drinks</t>
        </is>
      </c>
      <c r="H51" s="6" t="inlineStr">
        <is>
          <t>yes</t>
        </is>
      </c>
      <c r="I51" s="6" t="inlineStr">
        <is>
          <t>Animal core</t>
        </is>
      </c>
      <c r="J51" s="6" t="inlineStr">
        <is>
          <t>B</t>
        </is>
      </c>
      <c r="K51" s="6" t="inlineStr">
        <is>
          <t>First ingredient (step 4a)</t>
        </is>
      </c>
      <c r="L51" s="6" t="n">
        <v>3.3</v>
      </c>
      <c r="M51" s="6" t="inlineStr">
        <is>
          <t>Declared by the retailer</t>
        </is>
      </c>
      <c r="N51" s="6" t="n">
        <v>0</v>
      </c>
      <c r="O51" s="6" t="n">
        <v>3.3</v>
      </c>
      <c r="P51" s="6" t="inlineStr">
        <is>
          <t>yes</t>
        </is>
      </c>
      <c r="Q51" s="6" t="inlineStr">
        <is>
          <t>whole</t>
        </is>
      </c>
      <c r="R51" s="6" t="inlineStr">
        <is>
          <t>FG2</t>
        </is>
      </c>
      <c r="S51" s="6" t="inlineStr">
        <is>
          <t>dairy</t>
        </is>
      </c>
      <c r="T51" s="6" t="inlineStr">
        <is>
          <t>animal</t>
        </is>
      </c>
      <c r="U51" s="6" t="n"/>
      <c r="V51" s="6" t="n"/>
      <c r="W51" s="6" t="n">
        <v>1</v>
      </c>
      <c r="X51" s="6" t="n">
        <v>1.03</v>
      </c>
      <c r="Y51" s="6" t="inlineStr">
        <is>
          <t>declared</t>
        </is>
      </c>
      <c r="Z51" s="8" t="n">
        <v>4498</v>
      </c>
      <c r="AA51" s="9">
        <f>IF(H51="yes",Z51*X51,0)</f>
        <v/>
      </c>
      <c r="AB51" s="9">
        <f>IF(H51="yes",AA51*N(L51)/100,0)</f>
        <v/>
      </c>
      <c r="AC51" s="9">
        <f>IF(H51="yes",AA51*N(N51)/100,0)</f>
        <v/>
      </c>
      <c r="AD51" s="9">
        <f>IF(H51="yes",AA51*N(O51)/100,0)</f>
        <v/>
      </c>
      <c r="AE51" s="10">
        <f>IF(P51="yes",AA51/1000,0)</f>
        <v/>
      </c>
      <c r="AF51" s="10">
        <f>IF(R51="FG2",AE51*W51,AE51)</f>
        <v/>
      </c>
    </row>
    <row r="52">
      <c r="A52" s="6" t="inlineStr">
        <is>
          <t>HM00050</t>
        </is>
      </c>
      <c r="B52" s="7" t="inlineStr">
        <is>
          <t>5012345243795</t>
        </is>
      </c>
      <c r="C52" s="6" t="inlineStr">
        <is>
          <t>PENROCK CHIA SEEDS 300G</t>
        </is>
      </c>
      <c r="D52" s="6" t="inlineStr">
        <is>
          <t>Chia seeds, 300g</t>
        </is>
      </c>
      <c r="E52" s="6" t="inlineStr">
        <is>
          <t>Penrock</t>
        </is>
      </c>
      <c r="F52" s="6" t="inlineStr">
        <is>
          <t>Grocery</t>
        </is>
      </c>
      <c r="G52" s="6" t="inlineStr">
        <is>
          <t>Nuts &amp; Seeds</t>
        </is>
      </c>
      <c r="H52" s="6" t="inlineStr">
        <is>
          <t>yes</t>
        </is>
      </c>
      <c r="I52" s="6" t="inlineStr">
        <is>
          <t>Plant-based core</t>
        </is>
      </c>
      <c r="J52" s="6" t="inlineStr">
        <is>
          <t>A</t>
        </is>
      </c>
      <c r="K52" s="6" t="inlineStr">
        <is>
          <t>All ingredients on one side</t>
        </is>
      </c>
      <c r="L52" s="6" t="n">
        <v>17.8</v>
      </c>
      <c r="M52" s="6" t="inlineStr">
        <is>
          <t>Declared by the retailer</t>
        </is>
      </c>
      <c r="N52" s="6" t="n">
        <v>17.8</v>
      </c>
      <c r="O52" s="6" t="n">
        <v>0</v>
      </c>
      <c r="P52" s="6" t="inlineStr">
        <is>
          <t>yes</t>
        </is>
      </c>
      <c r="Q52" s="6" t="inlineStr">
        <is>
          <t>whole</t>
        </is>
      </c>
      <c r="R52" s="6" t="inlineStr">
        <is>
          <t>FG1</t>
        </is>
      </c>
      <c r="S52" s="6" t="inlineStr">
        <is>
          <t>seeds</t>
        </is>
      </c>
      <c r="T52" s="6" t="inlineStr">
        <is>
          <t>plant</t>
        </is>
      </c>
      <c r="U52" s="6" t="n"/>
      <c r="V52" s="6" t="n"/>
      <c r="W52" s="6" t="n">
        <v>1</v>
      </c>
      <c r="X52" s="6" t="n">
        <v>0.3</v>
      </c>
      <c r="Y52" s="6" t="inlineStr">
        <is>
          <t>label</t>
        </is>
      </c>
      <c r="Z52" s="8" t="n">
        <v>2419</v>
      </c>
      <c r="AA52" s="9">
        <f>IF(H52="yes",Z52*X52,0)</f>
        <v/>
      </c>
      <c r="AB52" s="9">
        <f>IF(H52="yes",AA52*N(L52)/100,0)</f>
        <v/>
      </c>
      <c r="AC52" s="9">
        <f>IF(H52="yes",AA52*N(N52)/100,0)</f>
        <v/>
      </c>
      <c r="AD52" s="9">
        <f>IF(H52="yes",AA52*N(O52)/100,0)</f>
        <v/>
      </c>
      <c r="AE52" s="10">
        <f>IF(P52="yes",AA52/1000,0)</f>
        <v/>
      </c>
      <c r="AF52" s="10">
        <f>IF(R52="FG2",AE52*W52,AE52)</f>
        <v/>
      </c>
    </row>
    <row r="53">
      <c r="A53" s="6" t="inlineStr">
        <is>
          <t>HM00051</t>
        </is>
      </c>
      <c r="B53" s="7" t="inlineStr">
        <is>
          <t>8712345407438</t>
        </is>
      </c>
      <c r="C53" s="6" t="inlineStr">
        <is>
          <t>HM MELON GALIA EACH</t>
        </is>
      </c>
      <c r="D53" s="6" t="inlineStr">
        <is>
          <t>Galia melon</t>
        </is>
      </c>
      <c r="E53" s="6" t="inlineStr">
        <is>
          <t>Harbour Market</t>
        </is>
      </c>
      <c r="F53" s="6" t="inlineStr">
        <is>
          <t>Fruit &amp; Vegetables</t>
        </is>
      </c>
      <c r="G53" s="6" t="inlineStr">
        <is>
          <t>Exotic Fruit</t>
        </is>
      </c>
      <c r="H53" s="6" t="inlineStr">
        <is>
          <t>yes</t>
        </is>
      </c>
      <c r="I53" s="6" t="inlineStr">
        <is>
          <t>Plant-based non-core</t>
        </is>
      </c>
      <c r="J53" s="6" t="inlineStr">
        <is>
          <t>B</t>
        </is>
      </c>
      <c r="K53" s="6" t="inlineStr">
        <is>
          <t>Follows the class</t>
        </is>
      </c>
      <c r="L53" s="6" t="n">
        <v>0.77</v>
      </c>
      <c r="M53" s="6" t="inlineStr">
        <is>
          <t>Altera reference base</t>
        </is>
      </c>
      <c r="N53" s="6" t="n">
        <v>0.77</v>
      </c>
      <c r="O53" s="6" t="n">
        <v>0</v>
      </c>
      <c r="P53" s="6" t="inlineStr">
        <is>
          <t>yes</t>
        </is>
      </c>
      <c r="Q53" s="6" t="inlineStr">
        <is>
          <t>whole</t>
        </is>
      </c>
      <c r="R53" s="6" t="inlineStr">
        <is>
          <t>FG4</t>
        </is>
      </c>
      <c r="S53" s="6" t="n"/>
      <c r="T53" s="6" t="inlineStr">
        <is>
          <t>plant</t>
        </is>
      </c>
      <c r="U53" s="6" t="n"/>
      <c r="V53" s="6" t="n"/>
      <c r="W53" s="6" t="n">
        <v>1</v>
      </c>
      <c r="X53" s="6" t="n">
        <v>1.2</v>
      </c>
      <c r="Y53" s="6" t="inlineStr">
        <is>
          <t>typical_piece</t>
        </is>
      </c>
      <c r="Z53" s="8" t="n">
        <v>36817</v>
      </c>
      <c r="AA53" s="9">
        <f>IF(H53="yes",Z53*X53,0)</f>
        <v/>
      </c>
      <c r="AB53" s="9">
        <f>IF(H53="yes",AA53*N(L53)/100,0)</f>
        <v/>
      </c>
      <c r="AC53" s="9">
        <f>IF(H53="yes",AA53*N(N53)/100,0)</f>
        <v/>
      </c>
      <c r="AD53" s="9">
        <f>IF(H53="yes",AA53*N(O53)/100,0)</f>
        <v/>
      </c>
      <c r="AE53" s="10">
        <f>IF(P53="yes",AA53/1000,0)</f>
        <v/>
      </c>
      <c r="AF53" s="10">
        <f>IF(R53="FG2",AE53*W53,AE53)</f>
        <v/>
      </c>
    </row>
    <row r="54">
      <c r="A54" s="6" t="inlineStr">
        <is>
          <t>HM00052</t>
        </is>
      </c>
      <c r="B54" s="7" t="inlineStr">
        <is>
          <t>5012345024721</t>
        </is>
      </c>
      <c r="C54" s="6" t="inlineStr">
        <is>
          <t>HM LEMONS 1KG</t>
        </is>
      </c>
      <c r="D54" s="6" t="inlineStr">
        <is>
          <t>Lemons, 1kg</t>
        </is>
      </c>
      <c r="E54" s="6" t="inlineStr">
        <is>
          <t>Harbour Market</t>
        </is>
      </c>
      <c r="F54" s="6" t="inlineStr">
        <is>
          <t>Fruit &amp; Vegetables</t>
        </is>
      </c>
      <c r="G54" s="6" t="inlineStr">
        <is>
          <t>Fruit</t>
        </is>
      </c>
      <c r="H54" s="6" t="inlineStr">
        <is>
          <t>yes</t>
        </is>
      </c>
      <c r="I54" s="6" t="inlineStr">
        <is>
          <t>Plant-based non-core</t>
        </is>
      </c>
      <c r="J54" s="6" t="inlineStr">
        <is>
          <t>B</t>
        </is>
      </c>
      <c r="K54" s="6" t="inlineStr">
        <is>
          <t>Follows the class</t>
        </is>
      </c>
      <c r="L54" s="6" t="n">
        <v>0.63</v>
      </c>
      <c r="M54" s="6" t="inlineStr">
        <is>
          <t>Altera reference base</t>
        </is>
      </c>
      <c r="N54" s="6" t="n">
        <v>0.63</v>
      </c>
      <c r="O54" s="6" t="n">
        <v>0</v>
      </c>
      <c r="P54" s="6" t="inlineStr">
        <is>
          <t>yes</t>
        </is>
      </c>
      <c r="Q54" s="6" t="inlineStr">
        <is>
          <t>whole</t>
        </is>
      </c>
      <c r="R54" s="6" t="inlineStr">
        <is>
          <t>FG4</t>
        </is>
      </c>
      <c r="S54" s="6" t="n"/>
      <c r="T54" s="6" t="inlineStr">
        <is>
          <t>plant</t>
        </is>
      </c>
      <c r="U54" s="6" t="n"/>
      <c r="V54" s="6" t="n"/>
      <c r="W54" s="6" t="n">
        <v>1</v>
      </c>
      <c r="X54" s="6" t="n">
        <v>1</v>
      </c>
      <c r="Y54" s="6" t="inlineStr">
        <is>
          <t>declared</t>
        </is>
      </c>
      <c r="Z54" s="8" t="n">
        <v>238470</v>
      </c>
      <c r="AA54" s="9">
        <f>IF(H54="yes",Z54*X54,0)</f>
        <v/>
      </c>
      <c r="AB54" s="9">
        <f>IF(H54="yes",AA54*N(L54)/100,0)</f>
        <v/>
      </c>
      <c r="AC54" s="9">
        <f>IF(H54="yes",AA54*N(N54)/100,0)</f>
        <v/>
      </c>
      <c r="AD54" s="9">
        <f>IF(H54="yes",AA54*N(O54)/100,0)</f>
        <v/>
      </c>
      <c r="AE54" s="10">
        <f>IF(P54="yes",AA54/1000,0)</f>
        <v/>
      </c>
      <c r="AF54" s="10">
        <f>IF(R54="FG2",AE54*W54,AE54)</f>
        <v/>
      </c>
    </row>
    <row r="55">
      <c r="A55" s="6" t="inlineStr">
        <is>
          <t>HM00053</t>
        </is>
      </c>
      <c r="B55" s="7" t="inlineStr">
        <is>
          <t>0012345230677</t>
        </is>
      </c>
      <c r="C55" s="6" t="inlineStr">
        <is>
          <t>BRAMBLECOTE WHITE PITTA 6PK 360G</t>
        </is>
      </c>
      <c r="D55" s="6" t="inlineStr">
        <is>
          <t>White pitta bread, 6pk 360g</t>
        </is>
      </c>
      <c r="E55" s="6" t="inlineStr">
        <is>
          <t>Bramblecote</t>
        </is>
      </c>
      <c r="F55" s="6" t="inlineStr">
        <is>
          <t>Bakery</t>
        </is>
      </c>
      <c r="G55" s="6" t="inlineStr">
        <is>
          <t>Bread</t>
        </is>
      </c>
      <c r="H55" s="6" t="inlineStr">
        <is>
          <t>yes</t>
        </is>
      </c>
      <c r="I55" s="6" t="inlineStr">
        <is>
          <t>Plant-based non-core</t>
        </is>
      </c>
      <c r="J55" s="6" t="inlineStr">
        <is>
          <t>A</t>
        </is>
      </c>
      <c r="K55" s="6" t="inlineStr">
        <is>
          <t>All ingredients on one side</t>
        </is>
      </c>
      <c r="L55" s="6" t="n">
        <v>8.9</v>
      </c>
      <c r="M55" s="6" t="inlineStr">
        <is>
          <t>Open Food Facts, by EAN</t>
        </is>
      </c>
      <c r="N55" s="6" t="n">
        <v>8.9</v>
      </c>
      <c r="O55" s="6" t="n">
        <v>0</v>
      </c>
      <c r="P55" s="6" t="inlineStr">
        <is>
          <t>yes</t>
        </is>
      </c>
      <c r="Q55" s="6" t="inlineStr">
        <is>
          <t>whole</t>
        </is>
      </c>
      <c r="R55" s="6" t="inlineStr">
        <is>
          <t>FG5</t>
        </is>
      </c>
      <c r="S55" s="6" t="inlineStr">
        <is>
          <t>refined grain</t>
        </is>
      </c>
      <c r="T55" s="6" t="inlineStr">
        <is>
          <t>plant</t>
        </is>
      </c>
      <c r="U55" s="6" t="n"/>
      <c r="V55" s="6" t="n"/>
      <c r="W55" s="6" t="n">
        <v>1</v>
      </c>
      <c r="X55" s="6" t="n">
        <v>0.36</v>
      </c>
      <c r="Y55" s="6" t="inlineStr">
        <is>
          <t>declared</t>
        </is>
      </c>
      <c r="Z55" s="8" t="n">
        <v>142306</v>
      </c>
      <c r="AA55" s="9">
        <f>IF(H55="yes",Z55*X55,0)</f>
        <v/>
      </c>
      <c r="AB55" s="9">
        <f>IF(H55="yes",AA55*N(L55)/100,0)</f>
        <v/>
      </c>
      <c r="AC55" s="9">
        <f>IF(H55="yes",AA55*N(N55)/100,0)</f>
        <v/>
      </c>
      <c r="AD55" s="9">
        <f>IF(H55="yes",AA55*N(O55)/100,0)</f>
        <v/>
      </c>
      <c r="AE55" s="10">
        <f>IF(P55="yes",AA55/1000,0)</f>
        <v/>
      </c>
      <c r="AF55" s="10">
        <f>IF(R55="FG2",AE55*W55,AE55)</f>
        <v/>
      </c>
    </row>
    <row r="56">
      <c r="A56" s="6" t="inlineStr">
        <is>
          <t>HM00054</t>
        </is>
      </c>
      <c r="B56" s="7" t="inlineStr">
        <is>
          <t>5012345744889</t>
        </is>
      </c>
      <c r="C56" s="6" t="inlineStr">
        <is>
          <t>PENWARD APPLE CIDER 12X440ML</t>
        </is>
      </c>
      <c r="D56" s="6" t="inlineStr">
        <is>
          <t>Apple cider, 12x440ml</t>
        </is>
      </c>
      <c r="E56" s="6" t="inlineStr">
        <is>
          <t>Penward</t>
        </is>
      </c>
      <c r="F56" s="6" t="inlineStr">
        <is>
          <t>Beer, Wine &amp; Spirits</t>
        </is>
      </c>
      <c r="G56" s="6" t="inlineStr">
        <is>
          <t>Beer &amp; Cider</t>
        </is>
      </c>
      <c r="H56" s="6" t="inlineStr">
        <is>
          <t>yes</t>
        </is>
      </c>
      <c r="I56" s="6" t="inlineStr">
        <is>
          <t>Plant-based non-core</t>
        </is>
      </c>
      <c r="J56" s="6" t="inlineStr">
        <is>
          <t>A</t>
        </is>
      </c>
      <c r="K56" s="6" t="inlineStr">
        <is>
          <t>All ingredients on one side</t>
        </is>
      </c>
      <c r="L56" s="6" t="n">
        <v>0</v>
      </c>
      <c r="M56" s="6" t="inlineStr">
        <is>
          <t>Open Food Facts, by EAN</t>
        </is>
      </c>
      <c r="N56" s="6" t="n">
        <v>0</v>
      </c>
      <c r="O56" s="6" t="n">
        <v>0</v>
      </c>
      <c r="P56" s="6" t="inlineStr">
        <is>
          <t>no</t>
        </is>
      </c>
      <c r="Q56" s="6" t="n"/>
      <c r="R56" s="6" t="n"/>
      <c r="S56" s="6" t="n"/>
      <c r="T56" s="6" t="n"/>
      <c r="U56" s="6" t="n"/>
      <c r="V56" s="6" t="inlineStr">
        <is>
          <t>alcohol</t>
        </is>
      </c>
      <c r="W56" s="6" t="n">
        <v>1</v>
      </c>
      <c r="X56" s="6" t="n">
        <v>5.28</v>
      </c>
      <c r="Y56" s="6" t="inlineStr">
        <is>
          <t>label</t>
        </is>
      </c>
      <c r="Z56" s="8" t="n">
        <v>102158</v>
      </c>
      <c r="AA56" s="9">
        <f>IF(H56="yes",Z56*X56,0)</f>
        <v/>
      </c>
      <c r="AB56" s="9">
        <f>IF(H56="yes",AA56*N(L56)/100,0)</f>
        <v/>
      </c>
      <c r="AC56" s="9">
        <f>IF(H56="yes",AA56*N(N56)/100,0)</f>
        <v/>
      </c>
      <c r="AD56" s="9">
        <f>IF(H56="yes",AA56*N(O56)/100,0)</f>
        <v/>
      </c>
      <c r="AE56" s="10">
        <f>IF(P56="yes",AA56/1000,0)</f>
        <v/>
      </c>
      <c r="AF56" s="10">
        <f>IF(R56="FG2",AE56*W56,AE56)</f>
        <v/>
      </c>
    </row>
    <row r="57">
      <c r="A57" s="6" t="inlineStr">
        <is>
          <t>HM00055</t>
        </is>
      </c>
      <c r="B57" s="7" t="inlineStr">
        <is>
          <t>5012345015279</t>
        </is>
      </c>
      <c r="C57" s="6" t="inlineStr">
        <is>
          <t>HM TKY BREAST SLICES 100G</t>
        </is>
      </c>
      <c r="D57" s="6" t="inlineStr">
        <is>
          <t>Turkey breast slices, 100g</t>
        </is>
      </c>
      <c r="E57" s="6" t="inlineStr">
        <is>
          <t>Harbour Market</t>
        </is>
      </c>
      <c r="F57" s="6" t="inlineStr">
        <is>
          <t>Deli</t>
        </is>
      </c>
      <c r="G57" s="6" t="inlineStr">
        <is>
          <t>Cooked Meats</t>
        </is>
      </c>
      <c r="H57" s="6" t="inlineStr">
        <is>
          <t>yes</t>
        </is>
      </c>
      <c r="I57" s="6" t="inlineStr">
        <is>
          <t>Animal core</t>
        </is>
      </c>
      <c r="J57" s="6" t="inlineStr">
        <is>
          <t>A</t>
        </is>
      </c>
      <c r="K57" s="6" t="inlineStr">
        <is>
          <t>All ingredients on one side</t>
        </is>
      </c>
      <c r="L57" s="6" t="n">
        <v>23</v>
      </c>
      <c r="M57" s="6" t="inlineStr">
        <is>
          <t>Declared by the retailer</t>
        </is>
      </c>
      <c r="N57" s="6" t="n">
        <v>0</v>
      </c>
      <c r="O57" s="6" t="n">
        <v>23</v>
      </c>
      <c r="P57" s="6" t="inlineStr">
        <is>
          <t>yes</t>
        </is>
      </c>
      <c r="Q57" s="6" t="inlineStr">
        <is>
          <t>whole</t>
        </is>
      </c>
      <c r="R57" s="6" t="inlineStr">
        <is>
          <t>FG1</t>
        </is>
      </c>
      <c r="S57" s="6" t="inlineStr">
        <is>
          <t>poultry</t>
        </is>
      </c>
      <c r="T57" s="6" t="inlineStr">
        <is>
          <t>animal</t>
        </is>
      </c>
      <c r="U57" s="6" t="n"/>
      <c r="V57" s="6" t="n"/>
      <c r="W57" s="6" t="n">
        <v>1</v>
      </c>
      <c r="X57" s="6" t="n">
        <v>0.1</v>
      </c>
      <c r="Y57" s="6" t="inlineStr">
        <is>
          <t>declared</t>
        </is>
      </c>
      <c r="Z57" s="8" t="n">
        <v>24956</v>
      </c>
      <c r="AA57" s="9">
        <f>IF(H57="yes",Z57*X57,0)</f>
        <v/>
      </c>
      <c r="AB57" s="9">
        <f>IF(H57="yes",AA57*N(L57)/100,0)</f>
        <v/>
      </c>
      <c r="AC57" s="9">
        <f>IF(H57="yes",AA57*N(N57)/100,0)</f>
        <v/>
      </c>
      <c r="AD57" s="9">
        <f>IF(H57="yes",AA57*N(O57)/100,0)</f>
        <v/>
      </c>
      <c r="AE57" s="10">
        <f>IF(P57="yes",AA57/1000,0)</f>
        <v/>
      </c>
      <c r="AF57" s="10">
        <f>IF(R57="FG2",AE57*W57,AE57)</f>
        <v/>
      </c>
    </row>
    <row r="58">
      <c r="A58" s="6" t="inlineStr">
        <is>
          <t>HM00056</t>
        </is>
      </c>
      <c r="B58" s="7" t="inlineStr">
        <is>
          <t>5012345131153</t>
        </is>
      </c>
      <c r="C58" s="6" t="inlineStr">
        <is>
          <t>PENROCK SOUR CRM ONION CRISPS 150G</t>
        </is>
      </c>
      <c r="D58" s="6" t="inlineStr">
        <is>
          <t>Sour cream &amp; onion crisps, 150g</t>
        </is>
      </c>
      <c r="E58" s="6" t="inlineStr">
        <is>
          <t>Penrock</t>
        </is>
      </c>
      <c r="F58" s="6" t="inlineStr">
        <is>
          <t>Breakfast &amp; Snacks</t>
        </is>
      </c>
      <c r="G58" s="6" t="inlineStr">
        <is>
          <t>Crisps</t>
        </is>
      </c>
      <c r="H58" s="6" t="inlineStr">
        <is>
          <t>yes</t>
        </is>
      </c>
      <c r="I58" s="6" t="inlineStr">
        <is>
          <t>Animal &amp; plant composite</t>
        </is>
      </c>
      <c r="J58" s="6" t="inlineStr">
        <is>
          <t>A</t>
        </is>
      </c>
      <c r="K58" s="6" t="inlineStr">
        <is>
          <t>NEVO food table (ratio only)</t>
        </is>
      </c>
      <c r="L58" s="6" t="n">
        <v>6.3</v>
      </c>
      <c r="M58" s="6" t="inlineStr">
        <is>
          <t>Open Food Facts, by EAN</t>
        </is>
      </c>
      <c r="N58" s="6" t="n">
        <v>5.86</v>
      </c>
      <c r="O58" s="6" t="n">
        <v>0.44</v>
      </c>
      <c r="P58" s="6" t="inlineStr">
        <is>
          <t>yes</t>
        </is>
      </c>
      <c r="Q58" s="6" t="inlineStr">
        <is>
          <t>whole</t>
        </is>
      </c>
      <c r="R58" s="6" t="inlineStr">
        <is>
          <t>FG7</t>
        </is>
      </c>
      <c r="S58" s="6" t="n"/>
      <c r="T58" s="6" t="inlineStr">
        <is>
          <t>animal</t>
        </is>
      </c>
      <c r="U58" s="6" t="n"/>
      <c r="V58" s="6" t="n"/>
      <c r="W58" s="6" t="n">
        <v>1</v>
      </c>
      <c r="X58" s="6" t="n">
        <v>0.15</v>
      </c>
      <c r="Y58" s="6" t="inlineStr">
        <is>
          <t>declared</t>
        </is>
      </c>
      <c r="Z58" s="8" t="n">
        <v>32901</v>
      </c>
      <c r="AA58" s="9">
        <f>IF(H58="yes",Z58*X58,0)</f>
        <v/>
      </c>
      <c r="AB58" s="9">
        <f>IF(H58="yes",AA58*N(L58)/100,0)</f>
        <v/>
      </c>
      <c r="AC58" s="9">
        <f>IF(H58="yes",AA58*N(N58)/100,0)</f>
        <v/>
      </c>
      <c r="AD58" s="9">
        <f>IF(H58="yes",AA58*N(O58)/100,0)</f>
        <v/>
      </c>
      <c r="AE58" s="10">
        <f>IF(P58="yes",AA58/1000,0)</f>
        <v/>
      </c>
      <c r="AF58" s="10">
        <f>IF(R58="FG2",AE58*W58,AE58)</f>
        <v/>
      </c>
    </row>
    <row r="59">
      <c r="A59" s="6" t="inlineStr">
        <is>
          <t>HM00057</t>
        </is>
      </c>
      <c r="B59" s="7" t="inlineStr">
        <is>
          <t>5012345491202</t>
        </is>
      </c>
      <c r="C59" s="6" t="inlineStr">
        <is>
          <t>PIZZA 4 CHEESE 335G QUILLAN</t>
        </is>
      </c>
      <c r="D59" s="6" t="inlineStr">
        <is>
          <t>Four cheese pizza, 335g</t>
        </is>
      </c>
      <c r="E59" s="6" t="inlineStr">
        <is>
          <t>Quillan</t>
        </is>
      </c>
      <c r="F59" s="6" t="inlineStr">
        <is>
          <t>Frozen</t>
        </is>
      </c>
      <c r="G59" s="6" t="inlineStr">
        <is>
          <t>Pizza</t>
        </is>
      </c>
      <c r="H59" s="6" t="inlineStr">
        <is>
          <t>yes</t>
        </is>
      </c>
      <c r="I59" s="6" t="inlineStr">
        <is>
          <t>Animal &amp; plant composite</t>
        </is>
      </c>
      <c r="J59" s="6" t="inlineStr">
        <is>
          <t>B</t>
        </is>
      </c>
      <c r="K59" s="6" t="inlineStr">
        <is>
          <t>50/50 convention</t>
        </is>
      </c>
      <c r="L59" s="6" t="n">
        <v>9.800000000000001</v>
      </c>
      <c r="M59" s="6" t="inlineStr">
        <is>
          <t>Altera reference base</t>
        </is>
      </c>
      <c r="N59" s="6" t="n">
        <v>4.9</v>
      </c>
      <c r="O59" s="6" t="n">
        <v>4.9</v>
      </c>
      <c r="P59" s="6" t="inlineStr">
        <is>
          <t>yes</t>
        </is>
      </c>
      <c r="Q59" s="6" t="inlineStr">
        <is>
          <t>composite</t>
        </is>
      </c>
      <c r="R59" s="6" t="n"/>
      <c r="S59" s="6" t="n"/>
      <c r="T59" s="6" t="n"/>
      <c r="U59" s="6" t="inlineStr">
        <is>
          <t>vegetarian</t>
        </is>
      </c>
      <c r="V59" s="6" t="n"/>
      <c r="W59" s="6" t="n">
        <v>1</v>
      </c>
      <c r="X59" s="6" t="n">
        <v>0.335</v>
      </c>
      <c r="Y59" s="6" t="inlineStr">
        <is>
          <t>declared</t>
        </is>
      </c>
      <c r="Z59" s="8" t="n">
        <v>84983</v>
      </c>
      <c r="AA59" s="9">
        <f>IF(H59="yes",Z59*X59,0)</f>
        <v/>
      </c>
      <c r="AB59" s="9">
        <f>IF(H59="yes",AA59*N(L59)/100,0)</f>
        <v/>
      </c>
      <c r="AC59" s="9">
        <f>IF(H59="yes",AA59*N(N59)/100,0)</f>
        <v/>
      </c>
      <c r="AD59" s="9">
        <f>IF(H59="yes",AA59*N(O59)/100,0)</f>
        <v/>
      </c>
      <c r="AE59" s="10">
        <f>IF(P59="yes",AA59/1000,0)</f>
        <v/>
      </c>
      <c r="AF59" s="10">
        <f>IF(R59="FG2",AE59*W59,AE59)</f>
        <v/>
      </c>
    </row>
    <row r="60">
      <c r="A60" s="6" t="inlineStr">
        <is>
          <t>HM00058</t>
        </is>
      </c>
      <c r="B60" s="7" t="inlineStr">
        <is>
          <t>5012345713557</t>
        </is>
      </c>
      <c r="C60" s="6" t="inlineStr">
        <is>
          <t>MACKEREL TOM SCE 125G KESTREL</t>
        </is>
      </c>
      <c r="D60" s="6" t="inlineStr">
        <is>
          <t>Mackerel fillets in tomato sauce, 125g</t>
        </is>
      </c>
      <c r="E60" s="6" t="inlineStr">
        <is>
          <t>Kestrel Bay</t>
        </is>
      </c>
      <c r="F60" s="6" t="inlineStr">
        <is>
          <t>Fish &amp; Seafood</t>
        </is>
      </c>
      <c r="G60" s="6" t="inlineStr">
        <is>
          <t>Canned Fish</t>
        </is>
      </c>
      <c r="H60" s="6" t="inlineStr">
        <is>
          <t>yes</t>
        </is>
      </c>
      <c r="I60" s="6" t="inlineStr">
        <is>
          <t>Animal core</t>
        </is>
      </c>
      <c r="J60" s="6" t="inlineStr">
        <is>
          <t>A</t>
        </is>
      </c>
      <c r="K60" s="6" t="inlineStr">
        <is>
          <t>All ingredients on one side</t>
        </is>
      </c>
      <c r="L60" s="6" t="n">
        <v>14.2</v>
      </c>
      <c r="M60" s="6" t="inlineStr">
        <is>
          <t>Declared by the retailer</t>
        </is>
      </c>
      <c r="N60" s="6" t="n">
        <v>0</v>
      </c>
      <c r="O60" s="6" t="n">
        <v>14.2</v>
      </c>
      <c r="P60" s="6" t="inlineStr">
        <is>
          <t>yes</t>
        </is>
      </c>
      <c r="Q60" s="6" t="inlineStr">
        <is>
          <t>whole</t>
        </is>
      </c>
      <c r="R60" s="6" t="inlineStr">
        <is>
          <t>FG1</t>
        </is>
      </c>
      <c r="S60" s="6" t="inlineStr">
        <is>
          <t>fish shellfish</t>
        </is>
      </c>
      <c r="T60" s="6" t="inlineStr">
        <is>
          <t>animal</t>
        </is>
      </c>
      <c r="U60" s="6" t="n"/>
      <c r="V60" s="6" t="n"/>
      <c r="W60" s="6" t="n">
        <v>1</v>
      </c>
      <c r="X60" s="6" t="n">
        <v>0.125</v>
      </c>
      <c r="Y60" s="6" t="inlineStr">
        <is>
          <t>declared</t>
        </is>
      </c>
      <c r="Z60" s="8" t="n">
        <v>23976</v>
      </c>
      <c r="AA60" s="9">
        <f>IF(H60="yes",Z60*X60,0)</f>
        <v/>
      </c>
      <c r="AB60" s="9">
        <f>IF(H60="yes",AA60*N(L60)/100,0)</f>
        <v/>
      </c>
      <c r="AC60" s="9">
        <f>IF(H60="yes",AA60*N(N60)/100,0)</f>
        <v/>
      </c>
      <c r="AD60" s="9">
        <f>IF(H60="yes",AA60*N(O60)/100,0)</f>
        <v/>
      </c>
      <c r="AE60" s="10">
        <f>IF(P60="yes",AA60/1000,0)</f>
        <v/>
      </c>
      <c r="AF60" s="10">
        <f>IF(R60="FG2",AE60*W60,AE60)</f>
        <v/>
      </c>
    </row>
    <row r="61">
      <c r="A61" s="6" t="inlineStr">
        <is>
          <t>HM00059</t>
        </is>
      </c>
      <c r="B61" s="7" t="inlineStr">
        <is>
          <t>3012345099905</t>
        </is>
      </c>
      <c r="C61" s="6" t="inlineStr">
        <is>
          <t>HM VODKA 70CL</t>
        </is>
      </c>
      <c r="D61" s="6" t="inlineStr">
        <is>
          <t>Vodka, 70cl</t>
        </is>
      </c>
      <c r="E61" s="6" t="inlineStr">
        <is>
          <t>Harbour Market</t>
        </is>
      </c>
      <c r="F61" s="6" t="inlineStr">
        <is>
          <t>Beer, Wine &amp; Spirits</t>
        </is>
      </c>
      <c r="G61" s="6" t="inlineStr">
        <is>
          <t>Spirits</t>
        </is>
      </c>
      <c r="H61" s="6" t="inlineStr">
        <is>
          <t>yes</t>
        </is>
      </c>
      <c r="I61" s="6" t="inlineStr">
        <is>
          <t>Plant-based non-core</t>
        </is>
      </c>
      <c r="J61" s="6" t="inlineStr">
        <is>
          <t>A</t>
        </is>
      </c>
      <c r="K61" s="6" t="inlineStr">
        <is>
          <t>All ingredients on one side</t>
        </is>
      </c>
      <c r="L61" s="6" t="n">
        <v>0</v>
      </c>
      <c r="M61" s="6" t="inlineStr">
        <is>
          <t>Name match (CIQUAL / NEVO)</t>
        </is>
      </c>
      <c r="N61" s="6" t="n">
        <v>0</v>
      </c>
      <c r="O61" s="6" t="n">
        <v>0</v>
      </c>
      <c r="P61" s="6" t="inlineStr">
        <is>
          <t>no</t>
        </is>
      </c>
      <c r="Q61" s="6" t="n"/>
      <c r="R61" s="6" t="n"/>
      <c r="S61" s="6" t="n"/>
      <c r="T61" s="6" t="n"/>
      <c r="U61" s="6" t="n"/>
      <c r="V61" s="6" t="inlineStr">
        <is>
          <t>alcohol</t>
        </is>
      </c>
      <c r="W61" s="6" t="n">
        <v>1</v>
      </c>
      <c r="X61" s="6" t="n">
        <v>0.7</v>
      </c>
      <c r="Y61" s="6" t="inlineStr">
        <is>
          <t>declared</t>
        </is>
      </c>
      <c r="Z61" s="8" t="n">
        <v>17056</v>
      </c>
      <c r="AA61" s="9">
        <f>IF(H61="yes",Z61*X61,0)</f>
        <v/>
      </c>
      <c r="AB61" s="9">
        <f>IF(H61="yes",AA61*N(L61)/100,0)</f>
        <v/>
      </c>
      <c r="AC61" s="9">
        <f>IF(H61="yes",AA61*N(N61)/100,0)</f>
        <v/>
      </c>
      <c r="AD61" s="9">
        <f>IF(H61="yes",AA61*N(O61)/100,0)</f>
        <v/>
      </c>
      <c r="AE61" s="10">
        <f>IF(P61="yes",AA61/1000,0)</f>
        <v/>
      </c>
      <c r="AF61" s="10">
        <f>IF(R61="FG2",AE61*W61,AE61)</f>
        <v/>
      </c>
    </row>
    <row r="62">
      <c r="A62" s="6" t="inlineStr">
        <is>
          <t>HM00060</t>
        </is>
      </c>
      <c r="B62" s="7" t="inlineStr">
        <is>
          <t>8712345131647</t>
        </is>
      </c>
      <c r="C62" s="6" t="inlineStr">
        <is>
          <t>HM BF DICED STEW 500G</t>
        </is>
      </c>
      <c r="D62" s="6" t="inlineStr">
        <is>
          <t>Diced beef for stewing, 500g</t>
        </is>
      </c>
      <c r="E62" s="6" t="inlineStr">
        <is>
          <t>Harbour Market</t>
        </is>
      </c>
      <c r="F62" s="6" t="inlineStr">
        <is>
          <t>Fresh Meat &amp; Poultry</t>
        </is>
      </c>
      <c r="G62" s="6" t="inlineStr">
        <is>
          <t>Beef</t>
        </is>
      </c>
      <c r="H62" s="6" t="inlineStr">
        <is>
          <t>yes</t>
        </is>
      </c>
      <c r="I62" s="6" t="inlineStr">
        <is>
          <t>Animal core</t>
        </is>
      </c>
      <c r="J62" s="6" t="inlineStr">
        <is>
          <t>B</t>
        </is>
      </c>
      <c r="K62" s="6" t="inlineStr">
        <is>
          <t>Follows the class</t>
        </is>
      </c>
      <c r="L62" s="6" t="n">
        <v>22.7</v>
      </c>
      <c r="M62" s="6" t="inlineStr">
        <is>
          <t>Declared by the retailer</t>
        </is>
      </c>
      <c r="N62" s="6" t="n">
        <v>0</v>
      </c>
      <c r="O62" s="6" t="n">
        <v>22.7</v>
      </c>
      <c r="P62" s="6" t="inlineStr">
        <is>
          <t>yes</t>
        </is>
      </c>
      <c r="Q62" s="6" t="inlineStr">
        <is>
          <t>whole</t>
        </is>
      </c>
      <c r="R62" s="6" t="inlineStr">
        <is>
          <t>FG1</t>
        </is>
      </c>
      <c r="S62" s="6" t="inlineStr">
        <is>
          <t>red meat</t>
        </is>
      </c>
      <c r="T62" s="6" t="inlineStr">
        <is>
          <t>animal</t>
        </is>
      </c>
      <c r="U62" s="6" t="n"/>
      <c r="V62" s="6" t="n"/>
      <c r="W62" s="6" t="n">
        <v>1</v>
      </c>
      <c r="X62" s="6" t="n">
        <v>0.5</v>
      </c>
      <c r="Y62" s="6" t="inlineStr">
        <is>
          <t>declared</t>
        </is>
      </c>
      <c r="Z62" s="8" t="n">
        <v>19887</v>
      </c>
      <c r="AA62" s="9">
        <f>IF(H62="yes",Z62*X62,0)</f>
        <v/>
      </c>
      <c r="AB62" s="9">
        <f>IF(H62="yes",AA62*N(L62)/100,0)</f>
        <v/>
      </c>
      <c r="AC62" s="9">
        <f>IF(H62="yes",AA62*N(N62)/100,0)</f>
        <v/>
      </c>
      <c r="AD62" s="9">
        <f>IF(H62="yes",AA62*N(O62)/100,0)</f>
        <v/>
      </c>
      <c r="AE62" s="10">
        <f>IF(P62="yes",AA62/1000,0)</f>
        <v/>
      </c>
      <c r="AF62" s="10">
        <f>IF(R62="FG2",AE62*W62,AE62)</f>
        <v/>
      </c>
    </row>
    <row r="63">
      <c r="A63" s="6" t="inlineStr">
        <is>
          <t>HM00061</t>
        </is>
      </c>
      <c r="B63" s="7" t="inlineStr">
        <is>
          <t>4012345484847</t>
        </is>
      </c>
      <c r="C63" s="6" t="inlineStr">
        <is>
          <t>HM CHOC RICE POPS 750G</t>
        </is>
      </c>
      <c r="D63" s="6" t="inlineStr">
        <is>
          <t>Chocolate rice pops, 750g</t>
        </is>
      </c>
      <c r="E63" s="6" t="inlineStr">
        <is>
          <t>Harbour Market</t>
        </is>
      </c>
      <c r="F63" s="6" t="inlineStr">
        <is>
          <t>Breakfast &amp; Snacks</t>
        </is>
      </c>
      <c r="G63" s="6" t="inlineStr">
        <is>
          <t>Cereals</t>
        </is>
      </c>
      <c r="H63" s="6" t="inlineStr">
        <is>
          <t>yes</t>
        </is>
      </c>
      <c r="I63" s="6" t="inlineStr">
        <is>
          <t>Plant-based non-core</t>
        </is>
      </c>
      <c r="J63" s="6" t="inlineStr">
        <is>
          <t>A</t>
        </is>
      </c>
      <c r="K63" s="6" t="inlineStr">
        <is>
          <t>All ingredients on one side</t>
        </is>
      </c>
      <c r="L63" s="6" t="n">
        <v>4.7</v>
      </c>
      <c r="M63" s="6" t="inlineStr">
        <is>
          <t>Declared by the retailer</t>
        </is>
      </c>
      <c r="N63" s="6" t="n">
        <v>4.7</v>
      </c>
      <c r="O63" s="6" t="n">
        <v>0</v>
      </c>
      <c r="P63" s="6" t="inlineStr">
        <is>
          <t>yes</t>
        </is>
      </c>
      <c r="Q63" s="6" t="inlineStr">
        <is>
          <t>whole</t>
        </is>
      </c>
      <c r="R63" s="6" t="inlineStr">
        <is>
          <t>FG5</t>
        </is>
      </c>
      <c r="S63" s="6" t="inlineStr">
        <is>
          <t>refined grain</t>
        </is>
      </c>
      <c r="T63" s="6" t="inlineStr">
        <is>
          <t>plant</t>
        </is>
      </c>
      <c r="U63" s="6" t="n"/>
      <c r="V63" s="6" t="n"/>
      <c r="W63" s="6" t="n">
        <v>1</v>
      </c>
      <c r="X63" s="6" t="n">
        <v>0.75</v>
      </c>
      <c r="Y63" s="6" t="inlineStr">
        <is>
          <t>declared</t>
        </is>
      </c>
      <c r="Z63" s="8" t="n">
        <v>31915</v>
      </c>
      <c r="AA63" s="9">
        <f>IF(H63="yes",Z63*X63,0)</f>
        <v/>
      </c>
      <c r="AB63" s="9">
        <f>IF(H63="yes",AA63*N(L63)/100,0)</f>
        <v/>
      </c>
      <c r="AC63" s="9">
        <f>IF(H63="yes",AA63*N(N63)/100,0)</f>
        <v/>
      </c>
      <c r="AD63" s="9">
        <f>IF(H63="yes",AA63*N(O63)/100,0)</f>
        <v/>
      </c>
      <c r="AE63" s="10">
        <f>IF(P63="yes",AA63/1000,0)</f>
        <v/>
      </c>
      <c r="AF63" s="10">
        <f>IF(R63="FG2",AE63*W63,AE63)</f>
        <v/>
      </c>
    </row>
    <row r="64">
      <c r="A64" s="6" t="inlineStr">
        <is>
          <t>HM00062</t>
        </is>
      </c>
      <c r="B64" s="7" t="inlineStr">
        <is>
          <t>4012345330366</t>
        </is>
      </c>
      <c r="C64" s="6" t="inlineStr">
        <is>
          <t>BRAMBLECOTE BAGUETTE 800G</t>
        </is>
      </c>
      <c r="D64" s="6" t="inlineStr">
        <is>
          <t>Baguette, 800g</t>
        </is>
      </c>
      <c r="E64" s="6" t="inlineStr">
        <is>
          <t>Bramblecote</t>
        </is>
      </c>
      <c r="F64" s="6" t="inlineStr">
        <is>
          <t>Bakery</t>
        </is>
      </c>
      <c r="G64" s="6" t="inlineStr">
        <is>
          <t>Bread</t>
        </is>
      </c>
      <c r="H64" s="6" t="inlineStr">
        <is>
          <t>yes</t>
        </is>
      </c>
      <c r="I64" s="6" t="inlineStr">
        <is>
          <t>Plant-based non-core</t>
        </is>
      </c>
      <c r="J64" s="6" t="inlineStr">
        <is>
          <t>B</t>
        </is>
      </c>
      <c r="K64" s="6" t="inlineStr">
        <is>
          <t>Follows the class</t>
        </is>
      </c>
      <c r="L64" s="6" t="n">
        <v>8.4</v>
      </c>
      <c r="M64" s="6" t="inlineStr">
        <is>
          <t>Declared by the retailer</t>
        </is>
      </c>
      <c r="N64" s="6" t="n">
        <v>8.4</v>
      </c>
      <c r="O64" s="6" t="n">
        <v>0</v>
      </c>
      <c r="P64" s="6" t="inlineStr">
        <is>
          <t>yes</t>
        </is>
      </c>
      <c r="Q64" s="6" t="inlineStr">
        <is>
          <t>whole</t>
        </is>
      </c>
      <c r="R64" s="6" t="inlineStr">
        <is>
          <t>FG5</t>
        </is>
      </c>
      <c r="S64" s="6" t="inlineStr">
        <is>
          <t>refined grain</t>
        </is>
      </c>
      <c r="T64" s="6" t="inlineStr">
        <is>
          <t>plant</t>
        </is>
      </c>
      <c r="U64" s="6" t="n"/>
      <c r="V64" s="6" t="n"/>
      <c r="W64" s="6" t="n">
        <v>1</v>
      </c>
      <c r="X64" s="6" t="n">
        <v>0.8</v>
      </c>
      <c r="Y64" s="6" t="inlineStr">
        <is>
          <t>declared</t>
        </is>
      </c>
      <c r="Z64" s="8" t="n">
        <v>64245</v>
      </c>
      <c r="AA64" s="9">
        <f>IF(H64="yes",Z64*X64,0)</f>
        <v/>
      </c>
      <c r="AB64" s="9">
        <f>IF(H64="yes",AA64*N(L64)/100,0)</f>
        <v/>
      </c>
      <c r="AC64" s="9">
        <f>IF(H64="yes",AA64*N(N64)/100,0)</f>
        <v/>
      </c>
      <c r="AD64" s="9">
        <f>IF(H64="yes",AA64*N(O64)/100,0)</f>
        <v/>
      </c>
      <c r="AE64" s="10">
        <f>IF(P64="yes",AA64/1000,0)</f>
        <v/>
      </c>
      <c r="AF64" s="10">
        <f>IF(R64="FG2",AE64*W64,AE64)</f>
        <v/>
      </c>
    </row>
    <row r="65">
      <c r="A65" s="6" t="inlineStr">
        <is>
          <t>HM00063</t>
        </is>
      </c>
      <c r="B65" s="7" t="inlineStr">
        <is>
          <t>3012345128223</t>
        </is>
      </c>
      <c r="C65" s="6" t="inlineStr">
        <is>
          <t>VELOCE INSTANT COFFEE 80PK 250G</t>
        </is>
      </c>
      <c r="D65" s="6" t="inlineStr">
        <is>
          <t>Instant coffee, 80pk 250g</t>
        </is>
      </c>
      <c r="E65" s="6" t="inlineStr">
        <is>
          <t>Veloce</t>
        </is>
      </c>
      <c r="F65" s="6" t="inlineStr">
        <is>
          <t>Grocery</t>
        </is>
      </c>
      <c r="G65" s="6" t="inlineStr">
        <is>
          <t>Tea &amp; Coffee</t>
        </is>
      </c>
      <c r="H65" s="6" t="inlineStr">
        <is>
          <t>yes</t>
        </is>
      </c>
      <c r="I65" s="6" t="inlineStr">
        <is>
          <t>Plant-based non-core</t>
        </is>
      </c>
      <c r="J65" s="6" t="inlineStr">
        <is>
          <t>A</t>
        </is>
      </c>
      <c r="K65" s="6" t="inlineStr">
        <is>
          <t>All ingredients on one side</t>
        </is>
      </c>
      <c r="L65" s="6" t="n">
        <v>7.4</v>
      </c>
      <c r="M65" s="6" t="inlineStr">
        <is>
          <t>Altera reference base</t>
        </is>
      </c>
      <c r="N65" s="6" t="n">
        <v>7.4</v>
      </c>
      <c r="O65" s="6" t="n">
        <v>0</v>
      </c>
      <c r="P65" s="6" t="inlineStr">
        <is>
          <t>no</t>
        </is>
      </c>
      <c r="Q65" s="6" t="n"/>
      <c r="R65" s="6" t="n"/>
      <c r="S65" s="6" t="n"/>
      <c r="T65" s="6" t="n"/>
      <c r="U65" s="6" t="n"/>
      <c r="V65" s="6" t="inlineStr">
        <is>
          <t>coffee tea</t>
        </is>
      </c>
      <c r="W65" s="6" t="n">
        <v>1</v>
      </c>
      <c r="X65" s="6" t="n">
        <v>0.25</v>
      </c>
      <c r="Y65" s="6" t="inlineStr">
        <is>
          <t>declared</t>
        </is>
      </c>
      <c r="Z65" s="8" t="n">
        <v>11360</v>
      </c>
      <c r="AA65" s="9">
        <f>IF(H65="yes",Z65*X65,0)</f>
        <v/>
      </c>
      <c r="AB65" s="9">
        <f>IF(H65="yes",AA65*N(L65)/100,0)</f>
        <v/>
      </c>
      <c r="AC65" s="9">
        <f>IF(H65="yes",AA65*N(N65)/100,0)</f>
        <v/>
      </c>
      <c r="AD65" s="9">
        <f>IF(H65="yes",AA65*N(O65)/100,0)</f>
        <v/>
      </c>
      <c r="AE65" s="10">
        <f>IF(P65="yes",AA65/1000,0)</f>
        <v/>
      </c>
      <c r="AF65" s="10">
        <f>IF(R65="FG2",AE65*W65,AE65)</f>
        <v/>
      </c>
    </row>
    <row r="66">
      <c r="A66" s="6" t="inlineStr">
        <is>
          <t>HM00064</t>
        </is>
      </c>
      <c r="B66" s="7" t="inlineStr">
        <is>
          <t>8712345506728</t>
        </is>
      </c>
      <c r="C66" s="6" t="inlineStr">
        <is>
          <t>YELLOW SPLIT PEAS 1KG ORVALIS</t>
        </is>
      </c>
      <c r="D66" s="6" t="inlineStr">
        <is>
          <t>Yellow split peas, 1kg</t>
        </is>
      </c>
      <c r="E66" s="6" t="inlineStr">
        <is>
          <t>Orvalis</t>
        </is>
      </c>
      <c r="F66" s="6" t="inlineStr">
        <is>
          <t>Grocery</t>
        </is>
      </c>
      <c r="G66" s="6" t="inlineStr">
        <is>
          <t>Pulses</t>
        </is>
      </c>
      <c r="H66" s="6" t="inlineStr">
        <is>
          <t>yes</t>
        </is>
      </c>
      <c r="I66" s="6" t="inlineStr">
        <is>
          <t>Plant-based core</t>
        </is>
      </c>
      <c r="J66" s="6" t="inlineStr">
        <is>
          <t>A</t>
        </is>
      </c>
      <c r="K66" s="6" t="inlineStr">
        <is>
          <t>All ingredients on one side</t>
        </is>
      </c>
      <c r="L66" s="6" t="n">
        <v>23</v>
      </c>
      <c r="M66" s="6" t="inlineStr">
        <is>
          <t>Open Food Facts, by EAN</t>
        </is>
      </c>
      <c r="N66" s="6" t="n">
        <v>23</v>
      </c>
      <c r="O66" s="6" t="n">
        <v>0</v>
      </c>
      <c r="P66" s="6" t="inlineStr">
        <is>
          <t>yes</t>
        </is>
      </c>
      <c r="Q66" s="6" t="inlineStr">
        <is>
          <t>whole</t>
        </is>
      </c>
      <c r="R66" s="6" t="inlineStr">
        <is>
          <t>FG1</t>
        </is>
      </c>
      <c r="S66" s="6" t="inlineStr">
        <is>
          <t>pulses</t>
        </is>
      </c>
      <c r="T66" s="6" t="inlineStr">
        <is>
          <t>plant</t>
        </is>
      </c>
      <c r="U66" s="6" t="n"/>
      <c r="V66" s="6" t="n"/>
      <c r="W66" s="6" t="n">
        <v>1</v>
      </c>
      <c r="X66" s="6" t="n">
        <v>1</v>
      </c>
      <c r="Y66" s="6" t="inlineStr">
        <is>
          <t>declared</t>
        </is>
      </c>
      <c r="Z66" s="8" t="n">
        <v>9005</v>
      </c>
      <c r="AA66" s="9">
        <f>IF(H66="yes",Z66*X66,0)</f>
        <v/>
      </c>
      <c r="AB66" s="9">
        <f>IF(H66="yes",AA66*N(L66)/100,0)</f>
        <v/>
      </c>
      <c r="AC66" s="9">
        <f>IF(H66="yes",AA66*N(N66)/100,0)</f>
        <v/>
      </c>
      <c r="AD66" s="9">
        <f>IF(H66="yes",AA66*N(O66)/100,0)</f>
        <v/>
      </c>
      <c r="AE66" s="10">
        <f>IF(P66="yes",AA66/1000,0)</f>
        <v/>
      </c>
      <c r="AF66" s="10">
        <f>IF(R66="FG2",AE66*W66,AE66)</f>
        <v/>
      </c>
    </row>
    <row r="67">
      <c r="A67" s="6" t="inlineStr">
        <is>
          <t>HM00065</t>
        </is>
      </c>
      <c r="B67" s="7" t="inlineStr">
        <is>
          <t>8712345529918</t>
        </is>
      </c>
      <c r="C67" s="6" t="inlineStr">
        <is>
          <t>HM PIZZA 4 CHEESE 400G</t>
        </is>
      </c>
      <c r="D67" s="6" t="inlineStr">
        <is>
          <t>Four cheese pizza, 400g</t>
        </is>
      </c>
      <c r="E67" s="6" t="inlineStr">
        <is>
          <t>Harbour Market</t>
        </is>
      </c>
      <c r="F67" s="6" t="inlineStr">
        <is>
          <t>Frozen</t>
        </is>
      </c>
      <c r="G67" s="6" t="inlineStr">
        <is>
          <t>Pizza</t>
        </is>
      </c>
      <c r="H67" s="6" t="inlineStr">
        <is>
          <t>yes</t>
        </is>
      </c>
      <c r="I67" s="6" t="inlineStr">
        <is>
          <t>Animal &amp; plant composite</t>
        </is>
      </c>
      <c r="J67" s="6" t="inlineStr">
        <is>
          <t>B</t>
        </is>
      </c>
      <c r="K67" s="6" t="inlineStr">
        <is>
          <t>50/50 convention</t>
        </is>
      </c>
      <c r="L67" s="6" t="n">
        <v>9.6</v>
      </c>
      <c r="M67" s="6" t="inlineStr">
        <is>
          <t>Declared by the retailer</t>
        </is>
      </c>
      <c r="N67" s="6" t="n">
        <v>4.8</v>
      </c>
      <c r="O67" s="6" t="n">
        <v>4.8</v>
      </c>
      <c r="P67" s="6" t="inlineStr">
        <is>
          <t>yes</t>
        </is>
      </c>
      <c r="Q67" s="6" t="inlineStr">
        <is>
          <t>composite</t>
        </is>
      </c>
      <c r="R67" s="6" t="n"/>
      <c r="S67" s="6" t="n"/>
      <c r="T67" s="6" t="n"/>
      <c r="U67" s="6" t="inlineStr">
        <is>
          <t>vegetarian</t>
        </is>
      </c>
      <c r="V67" s="6" t="n"/>
      <c r="W67" s="6" t="n">
        <v>1</v>
      </c>
      <c r="X67" s="6" t="n">
        <v>0.4</v>
      </c>
      <c r="Y67" s="6" t="inlineStr">
        <is>
          <t>declared</t>
        </is>
      </c>
      <c r="Z67" s="8" t="n">
        <v>87484</v>
      </c>
      <c r="AA67" s="9">
        <f>IF(H67="yes",Z67*X67,0)</f>
        <v/>
      </c>
      <c r="AB67" s="9">
        <f>IF(H67="yes",AA67*N(L67)/100,0)</f>
        <v/>
      </c>
      <c r="AC67" s="9">
        <f>IF(H67="yes",AA67*N(N67)/100,0)</f>
        <v/>
      </c>
      <c r="AD67" s="9">
        <f>IF(H67="yes",AA67*N(O67)/100,0)</f>
        <v/>
      </c>
      <c r="AE67" s="10">
        <f>IF(P67="yes",AA67/1000,0)</f>
        <v/>
      </c>
      <c r="AF67" s="10">
        <f>IF(R67="FG2",AE67*W67,AE67)</f>
        <v/>
      </c>
    </row>
    <row r="68">
      <c r="A68" s="6" t="inlineStr">
        <is>
          <t>HM00066</t>
        </is>
      </c>
      <c r="B68" s="7" t="inlineStr">
        <is>
          <t>8712345431464</t>
        </is>
      </c>
      <c r="C68" s="6" t="inlineStr">
        <is>
          <t>HM CHKN STOCK CUBES 8PK 80G</t>
        </is>
      </c>
      <c r="D68" s="6" t="inlineStr">
        <is>
          <t>Chicken stock cubes, 8pk 80g</t>
        </is>
      </c>
      <c r="E68" s="6" t="inlineStr">
        <is>
          <t>Harbour Market</t>
        </is>
      </c>
      <c r="F68" s="6" t="inlineStr">
        <is>
          <t>Grocery</t>
        </is>
      </c>
      <c r="G68" s="6" t="inlineStr">
        <is>
          <t>Stock &amp; Gravy</t>
        </is>
      </c>
      <c r="H68" s="6" t="inlineStr">
        <is>
          <t>yes</t>
        </is>
      </c>
      <c r="I68" s="6" t="inlineStr">
        <is>
          <t>Animal &amp; plant composite</t>
        </is>
      </c>
      <c r="J68" s="6" t="inlineStr">
        <is>
          <t>B</t>
        </is>
      </c>
      <c r="K68" s="6" t="inlineStr">
        <is>
          <t>50/50 convention</t>
        </is>
      </c>
      <c r="L68" s="6" t="n">
        <v>8.199999999999999</v>
      </c>
      <c r="M68" s="6" t="inlineStr">
        <is>
          <t>Name match (CIQUAL / NEVO)</t>
        </is>
      </c>
      <c r="N68" s="6" t="n">
        <v>4.1</v>
      </c>
      <c r="O68" s="6" t="n">
        <v>4.1</v>
      </c>
      <c r="P68" s="6" t="inlineStr">
        <is>
          <t>no</t>
        </is>
      </c>
      <c r="Q68" s="6" t="n"/>
      <c r="R68" s="6" t="n"/>
      <c r="S68" s="6" t="n"/>
      <c r="T68" s="6" t="n"/>
      <c r="U68" s="6" t="n"/>
      <c r="V68" s="6" t="inlineStr">
        <is>
          <t>stock</t>
        </is>
      </c>
      <c r="W68" s="6" t="n">
        <v>1</v>
      </c>
      <c r="X68" s="6" t="n">
        <v>0.08</v>
      </c>
      <c r="Y68" s="6" t="inlineStr">
        <is>
          <t>declared</t>
        </is>
      </c>
      <c r="Z68" s="8" t="n">
        <v>11049</v>
      </c>
      <c r="AA68" s="9">
        <f>IF(H68="yes",Z68*X68,0)</f>
        <v/>
      </c>
      <c r="AB68" s="9">
        <f>IF(H68="yes",AA68*N(L68)/100,0)</f>
        <v/>
      </c>
      <c r="AC68" s="9">
        <f>IF(H68="yes",AA68*N(N68)/100,0)</f>
        <v/>
      </c>
      <c r="AD68" s="9">
        <f>IF(H68="yes",AA68*N(O68)/100,0)</f>
        <v/>
      </c>
      <c r="AE68" s="10">
        <f>IF(P68="yes",AA68/1000,0)</f>
        <v/>
      </c>
      <c r="AF68" s="10">
        <f>IF(R68="FG2",AE68*W68,AE68)</f>
        <v/>
      </c>
    </row>
    <row r="69">
      <c r="A69" s="6" t="inlineStr">
        <is>
          <t>HM00067</t>
        </is>
      </c>
      <c r="B69" s="7" t="inlineStr">
        <is>
          <t>8712345293475</t>
        </is>
      </c>
      <c r="C69" s="6" t="inlineStr">
        <is>
          <t>UNSALTED BUTTER 250G FJELDA</t>
        </is>
      </c>
      <c r="D69" s="6" t="inlineStr">
        <is>
          <t>Unsalted butter, 250g</t>
        </is>
      </c>
      <c r="E69" s="6" t="inlineStr">
        <is>
          <t>Fjelda</t>
        </is>
      </c>
      <c r="F69" s="6" t="inlineStr">
        <is>
          <t>Dairy &amp; Eggs</t>
        </is>
      </c>
      <c r="G69" s="6" t="inlineStr">
        <is>
          <t>Butter &amp; Spreads</t>
        </is>
      </c>
      <c r="H69" s="6" t="inlineStr">
        <is>
          <t>yes</t>
        </is>
      </c>
      <c r="I69" s="6" t="inlineStr">
        <is>
          <t>Animal core</t>
        </is>
      </c>
      <c r="J69" s="6" t="inlineStr">
        <is>
          <t>A</t>
        </is>
      </c>
      <c r="K69" s="6" t="inlineStr">
        <is>
          <t>All ingredients on one side</t>
        </is>
      </c>
      <c r="L69" s="6" t="n">
        <v>0.63</v>
      </c>
      <c r="M69" s="6" t="inlineStr">
        <is>
          <t>Name match (CIQUAL / NEVO)</t>
        </is>
      </c>
      <c r="N69" s="6" t="n">
        <v>0</v>
      </c>
      <c r="O69" s="6" t="n">
        <v>0.63</v>
      </c>
      <c r="P69" s="6" t="inlineStr">
        <is>
          <t>yes</t>
        </is>
      </c>
      <c r="Q69" s="6" t="inlineStr">
        <is>
          <t>whole</t>
        </is>
      </c>
      <c r="R69" s="6" t="inlineStr">
        <is>
          <t>FG3</t>
        </is>
      </c>
      <c r="S69" s="6" t="inlineStr">
        <is>
          <t>animal fat</t>
        </is>
      </c>
      <c r="T69" s="6" t="inlineStr">
        <is>
          <t>animal</t>
        </is>
      </c>
      <c r="U69" s="6" t="n"/>
      <c r="V69" s="6" t="n"/>
      <c r="W69" s="6" t="n">
        <v>1</v>
      </c>
      <c r="X69" s="6" t="n">
        <v>0.25</v>
      </c>
      <c r="Y69" s="6" t="inlineStr">
        <is>
          <t>declared</t>
        </is>
      </c>
      <c r="Z69" s="8" t="n">
        <v>59825</v>
      </c>
      <c r="AA69" s="9">
        <f>IF(H69="yes",Z69*X69,0)</f>
        <v/>
      </c>
      <c r="AB69" s="9">
        <f>IF(H69="yes",AA69*N(L69)/100,0)</f>
        <v/>
      </c>
      <c r="AC69" s="9">
        <f>IF(H69="yes",AA69*N(N69)/100,0)</f>
        <v/>
      </c>
      <c r="AD69" s="9">
        <f>IF(H69="yes",AA69*N(O69)/100,0)</f>
        <v/>
      </c>
      <c r="AE69" s="10">
        <f>IF(P69="yes",AA69/1000,0)</f>
        <v/>
      </c>
      <c r="AF69" s="10">
        <f>IF(R69="FG2",AE69*W69,AE69)</f>
        <v/>
      </c>
    </row>
    <row r="70">
      <c r="A70" s="6" t="inlineStr">
        <is>
          <t>HM00068</t>
        </is>
      </c>
      <c r="B70" s="7" t="inlineStr">
        <is>
          <t>5012345439716</t>
        </is>
      </c>
      <c r="C70" s="6" t="inlineStr">
        <is>
          <t>TKY BREAST SLICES 180G TARROW</t>
        </is>
      </c>
      <c r="D70" s="6" t="inlineStr">
        <is>
          <t>Turkey breast slices, 180g</t>
        </is>
      </c>
      <c r="E70" s="6" t="inlineStr">
        <is>
          <t>Tarrow Farm</t>
        </is>
      </c>
      <c r="F70" s="6" t="inlineStr">
        <is>
          <t>Deli</t>
        </is>
      </c>
      <c r="G70" s="6" t="inlineStr">
        <is>
          <t>Cooked Meats</t>
        </is>
      </c>
      <c r="H70" s="6" t="inlineStr">
        <is>
          <t>yes</t>
        </is>
      </c>
      <c r="I70" s="6" t="inlineStr">
        <is>
          <t>Animal core</t>
        </is>
      </c>
      <c r="J70" s="6" t="inlineStr">
        <is>
          <t>B</t>
        </is>
      </c>
      <c r="K70" s="6" t="inlineStr">
        <is>
          <t>Follows the class</t>
        </is>
      </c>
      <c r="L70" s="6" t="n">
        <v>22.9</v>
      </c>
      <c r="M70" s="6" t="inlineStr">
        <is>
          <t>Declared by the retailer</t>
        </is>
      </c>
      <c r="N70" s="6" t="n">
        <v>0</v>
      </c>
      <c r="O70" s="6" t="n">
        <v>22.9</v>
      </c>
      <c r="P70" s="6" t="inlineStr">
        <is>
          <t>yes</t>
        </is>
      </c>
      <c r="Q70" s="6" t="inlineStr">
        <is>
          <t>whole</t>
        </is>
      </c>
      <c r="R70" s="6" t="inlineStr">
        <is>
          <t>FG1</t>
        </is>
      </c>
      <c r="S70" s="6" t="inlineStr">
        <is>
          <t>poultry</t>
        </is>
      </c>
      <c r="T70" s="6" t="inlineStr">
        <is>
          <t>animal</t>
        </is>
      </c>
      <c r="U70" s="6" t="n"/>
      <c r="V70" s="6" t="n"/>
      <c r="W70" s="6" t="n">
        <v>1</v>
      </c>
      <c r="X70" s="6" t="n">
        <v>0.18</v>
      </c>
      <c r="Y70" s="6" t="inlineStr">
        <is>
          <t>declared</t>
        </is>
      </c>
      <c r="Z70" s="8" t="n">
        <v>80539</v>
      </c>
      <c r="AA70" s="9">
        <f>IF(H70="yes",Z70*X70,0)</f>
        <v/>
      </c>
      <c r="AB70" s="9">
        <f>IF(H70="yes",AA70*N(L70)/100,0)</f>
        <v/>
      </c>
      <c r="AC70" s="9">
        <f>IF(H70="yes",AA70*N(N70)/100,0)</f>
        <v/>
      </c>
      <c r="AD70" s="9">
        <f>IF(H70="yes",AA70*N(O70)/100,0)</f>
        <v/>
      </c>
      <c r="AE70" s="10">
        <f>IF(P70="yes",AA70/1000,0)</f>
        <v/>
      </c>
      <c r="AF70" s="10">
        <f>IF(R70="FG2",AE70*W70,AE70)</f>
        <v/>
      </c>
    </row>
    <row r="71">
      <c r="A71" s="6" t="inlineStr">
        <is>
          <t>HM00069</t>
        </is>
      </c>
      <c r="B71" s="7" t="inlineStr">
        <is>
          <t>5012345516813</t>
        </is>
      </c>
      <c r="C71" s="6" t="inlineStr">
        <is>
          <t>FJELDA SEMI SKMD MILK 4PT 2.27L</t>
        </is>
      </c>
      <c r="D71" s="6" t="inlineStr">
        <is>
          <t>Semi-skimmed milk, 4pt 2.27l</t>
        </is>
      </c>
      <c r="E71" s="6" t="inlineStr">
        <is>
          <t>Fjelda</t>
        </is>
      </c>
      <c r="F71" s="6" t="inlineStr">
        <is>
          <t>Dairy &amp; Eggs</t>
        </is>
      </c>
      <c r="G71" s="6" t="inlineStr">
        <is>
          <t>Milk</t>
        </is>
      </c>
      <c r="H71" s="6" t="inlineStr">
        <is>
          <t>yes</t>
        </is>
      </c>
      <c r="I71" s="6" t="inlineStr">
        <is>
          <t>Animal core</t>
        </is>
      </c>
      <c r="J71" s="6" t="inlineStr">
        <is>
          <t>A</t>
        </is>
      </c>
      <c r="K71" s="6" t="inlineStr">
        <is>
          <t>All ingredients on one side</t>
        </is>
      </c>
      <c r="L71" s="6" t="n">
        <v>3.4</v>
      </c>
      <c r="M71" s="6" t="inlineStr">
        <is>
          <t>Name match (CIQUAL / NEVO)</t>
        </is>
      </c>
      <c r="N71" s="6" t="n">
        <v>0</v>
      </c>
      <c r="O71" s="6" t="n">
        <v>3.4</v>
      </c>
      <c r="P71" s="6" t="inlineStr">
        <is>
          <t>yes</t>
        </is>
      </c>
      <c r="Q71" s="6" t="inlineStr">
        <is>
          <t>whole</t>
        </is>
      </c>
      <c r="R71" s="6" t="inlineStr">
        <is>
          <t>FG2</t>
        </is>
      </c>
      <c r="S71" s="6" t="inlineStr">
        <is>
          <t>dairy</t>
        </is>
      </c>
      <c r="T71" s="6" t="inlineStr">
        <is>
          <t>animal</t>
        </is>
      </c>
      <c r="U71" s="6" t="n"/>
      <c r="V71" s="6" t="n"/>
      <c r="W71" s="6" t="n">
        <v>1</v>
      </c>
      <c r="X71" s="6" t="n">
        <v>2.34</v>
      </c>
      <c r="Y71" s="6" t="inlineStr">
        <is>
          <t>declared</t>
        </is>
      </c>
      <c r="Z71" s="8" t="n">
        <v>37637</v>
      </c>
      <c r="AA71" s="9">
        <f>IF(H71="yes",Z71*X71,0)</f>
        <v/>
      </c>
      <c r="AB71" s="9">
        <f>IF(H71="yes",AA71*N(L71)/100,0)</f>
        <v/>
      </c>
      <c r="AC71" s="9">
        <f>IF(H71="yes",AA71*N(N71)/100,0)</f>
        <v/>
      </c>
      <c r="AD71" s="9">
        <f>IF(H71="yes",AA71*N(O71)/100,0)</f>
        <v/>
      </c>
      <c r="AE71" s="10">
        <f>IF(P71="yes",AA71/1000,0)</f>
        <v/>
      </c>
      <c r="AF71" s="10">
        <f>IF(R71="FG2",AE71*W71,AE71)</f>
        <v/>
      </c>
    </row>
    <row r="72">
      <c r="A72" s="6" t="inlineStr">
        <is>
          <t>HM00070</t>
        </is>
      </c>
      <c r="B72" s="7" t="inlineStr">
        <is>
          <t>8712345961398</t>
        </is>
      </c>
      <c r="C72" s="6" t="inlineStr">
        <is>
          <t>HM LEMONADE 1.5L</t>
        </is>
      </c>
      <c r="D72" s="6" t="inlineStr">
        <is>
          <t>Cloudy lemonade, 1.5l</t>
        </is>
      </c>
      <c r="E72" s="6" t="inlineStr">
        <is>
          <t>Harbour Market</t>
        </is>
      </c>
      <c r="F72" s="6" t="inlineStr">
        <is>
          <t>Soft Drinks &amp; Water</t>
        </is>
      </c>
      <c r="G72" s="6" t="inlineStr">
        <is>
          <t>Soft Drinks</t>
        </is>
      </c>
      <c r="H72" s="6" t="inlineStr">
        <is>
          <t>yes</t>
        </is>
      </c>
      <c r="I72" s="6" t="inlineStr">
        <is>
          <t>Plant-based non-core</t>
        </is>
      </c>
      <c r="J72" s="6" t="inlineStr">
        <is>
          <t>A</t>
        </is>
      </c>
      <c r="K72" s="6" t="inlineStr">
        <is>
          <t>All ingredients on one side</t>
        </is>
      </c>
      <c r="L72" s="6" t="n">
        <v>0</v>
      </c>
      <c r="M72" s="6" t="inlineStr">
        <is>
          <t>Declared by the retailer</t>
        </is>
      </c>
      <c r="N72" s="6" t="n">
        <v>0</v>
      </c>
      <c r="O72" s="6" t="n">
        <v>0</v>
      </c>
      <c r="P72" s="6" t="inlineStr">
        <is>
          <t>no</t>
        </is>
      </c>
      <c r="Q72" s="6" t="n"/>
      <c r="R72" s="6" t="n"/>
      <c r="S72" s="6" t="n"/>
      <c r="T72" s="6" t="n"/>
      <c r="U72" s="6" t="n"/>
      <c r="V72" s="6" t="inlineStr">
        <is>
          <t>beverage</t>
        </is>
      </c>
      <c r="W72" s="6" t="n">
        <v>1</v>
      </c>
      <c r="X72" s="6" t="n">
        <v>1.5</v>
      </c>
      <c r="Y72" s="6" t="inlineStr">
        <is>
          <t>declared</t>
        </is>
      </c>
      <c r="Z72" s="8" t="n">
        <v>72037</v>
      </c>
      <c r="AA72" s="9">
        <f>IF(H72="yes",Z72*X72,0)</f>
        <v/>
      </c>
      <c r="AB72" s="9">
        <f>IF(H72="yes",AA72*N(L72)/100,0)</f>
        <v/>
      </c>
      <c r="AC72" s="9">
        <f>IF(H72="yes",AA72*N(N72)/100,0)</f>
        <v/>
      </c>
      <c r="AD72" s="9">
        <f>IF(H72="yes",AA72*N(O72)/100,0)</f>
        <v/>
      </c>
      <c r="AE72" s="10">
        <f>IF(P72="yes",AA72/1000,0)</f>
        <v/>
      </c>
      <c r="AF72" s="10">
        <f>IF(R72="FG2",AE72*W72,AE72)</f>
        <v/>
      </c>
    </row>
    <row r="73">
      <c r="A73" s="6" t="inlineStr">
        <is>
          <t>HM00071</t>
        </is>
      </c>
      <c r="B73" s="7" t="inlineStr">
        <is>
          <t>4012345085433</t>
        </is>
      </c>
      <c r="C73" s="6" t="inlineStr">
        <is>
          <t>HM CHOPPED TOMATOES 690G</t>
        </is>
      </c>
      <c r="D73" s="6" t="inlineStr">
        <is>
          <t>Chopped tomatoes, 690g</t>
        </is>
      </c>
      <c r="E73" s="6" t="inlineStr">
        <is>
          <t>Harbour Market</t>
        </is>
      </c>
      <c r="F73" s="6" t="inlineStr">
        <is>
          <t>Grocery</t>
        </is>
      </c>
      <c r="G73" s="6" t="inlineStr">
        <is>
          <t>Canned Vegetables</t>
        </is>
      </c>
      <c r="H73" s="6" t="inlineStr">
        <is>
          <t>yes</t>
        </is>
      </c>
      <c r="I73" s="6" t="inlineStr">
        <is>
          <t>Plant-based non-core</t>
        </is>
      </c>
      <c r="J73" s="6" t="inlineStr">
        <is>
          <t>A</t>
        </is>
      </c>
      <c r="K73" s="6" t="inlineStr">
        <is>
          <t>All ingredients on one side</t>
        </is>
      </c>
      <c r="L73" s="6" t="n">
        <v>1.1</v>
      </c>
      <c r="M73" s="6" t="inlineStr">
        <is>
          <t>Altera reference base</t>
        </is>
      </c>
      <c r="N73" s="6" t="n">
        <v>1.1</v>
      </c>
      <c r="O73" s="6" t="n">
        <v>0</v>
      </c>
      <c r="P73" s="6" t="inlineStr">
        <is>
          <t>yes</t>
        </is>
      </c>
      <c r="Q73" s="6" t="inlineStr">
        <is>
          <t>whole</t>
        </is>
      </c>
      <c r="R73" s="6" t="inlineStr">
        <is>
          <t>FG4</t>
        </is>
      </c>
      <c r="S73" s="6" t="n"/>
      <c r="T73" s="6" t="inlineStr">
        <is>
          <t>plant</t>
        </is>
      </c>
      <c r="U73" s="6" t="n"/>
      <c r="V73" s="6" t="n"/>
      <c r="W73" s="6" t="n">
        <v>1</v>
      </c>
      <c r="X73" s="6" t="n">
        <v>0.6899999999999999</v>
      </c>
      <c r="Y73" s="6" t="inlineStr">
        <is>
          <t>declared</t>
        </is>
      </c>
      <c r="Z73" s="8" t="n">
        <v>114779</v>
      </c>
      <c r="AA73" s="9">
        <f>IF(H73="yes",Z73*X73,0)</f>
        <v/>
      </c>
      <c r="AB73" s="9">
        <f>IF(H73="yes",AA73*N(L73)/100,0)</f>
        <v/>
      </c>
      <c r="AC73" s="9">
        <f>IF(H73="yes",AA73*N(N73)/100,0)</f>
        <v/>
      </c>
      <c r="AD73" s="9">
        <f>IF(H73="yes",AA73*N(O73)/100,0)</f>
        <v/>
      </c>
      <c r="AE73" s="10">
        <f>IF(P73="yes",AA73/1000,0)</f>
        <v/>
      </c>
      <c r="AF73" s="10">
        <f>IF(R73="FG2",AE73*W73,AE73)</f>
        <v/>
      </c>
    </row>
    <row r="74">
      <c r="A74" s="6" t="inlineStr">
        <is>
          <t>HM00072</t>
        </is>
      </c>
      <c r="B74" s="7" t="inlineStr">
        <is>
          <t>3012345093644</t>
        </is>
      </c>
      <c r="C74" s="6" t="inlineStr">
        <is>
          <t>HM SWEETCORN COBS 300G</t>
        </is>
      </c>
      <c r="D74" s="6" t="inlineStr">
        <is>
          <t>Sweetcorn cobs, 300g</t>
        </is>
      </c>
      <c r="E74" s="6" t="inlineStr">
        <is>
          <t>Harbour Market</t>
        </is>
      </c>
      <c r="F74" s="6" t="inlineStr">
        <is>
          <t>Fruit &amp; Vegetables</t>
        </is>
      </c>
      <c r="G74" s="6" t="inlineStr">
        <is>
          <t>Vegetables</t>
        </is>
      </c>
      <c r="H74" s="6" t="inlineStr">
        <is>
          <t>yes</t>
        </is>
      </c>
      <c r="I74" s="6" t="inlineStr">
        <is>
          <t>Plant-based non-core</t>
        </is>
      </c>
      <c r="J74" s="6" t="inlineStr">
        <is>
          <t>B</t>
        </is>
      </c>
      <c r="K74" s="6" t="inlineStr">
        <is>
          <t>Follows the class</t>
        </is>
      </c>
      <c r="L74" s="6" t="n">
        <v>3.1</v>
      </c>
      <c r="M74" s="6" t="inlineStr">
        <is>
          <t>Name match (CIQUAL / NEVO)</t>
        </is>
      </c>
      <c r="N74" s="6" t="n">
        <v>3.1</v>
      </c>
      <c r="O74" s="6" t="n">
        <v>0</v>
      </c>
      <c r="P74" s="6" t="inlineStr">
        <is>
          <t>yes</t>
        </is>
      </c>
      <c r="Q74" s="6" t="inlineStr">
        <is>
          <t>whole</t>
        </is>
      </c>
      <c r="R74" s="6" t="inlineStr">
        <is>
          <t>FG4</t>
        </is>
      </c>
      <c r="S74" s="6" t="n"/>
      <c r="T74" s="6" t="inlineStr">
        <is>
          <t>plant</t>
        </is>
      </c>
      <c r="U74" s="6" t="n"/>
      <c r="V74" s="6" t="n"/>
      <c r="W74" s="6" t="n">
        <v>1</v>
      </c>
      <c r="X74" s="6" t="n">
        <v>0.3</v>
      </c>
      <c r="Y74" s="6" t="inlineStr">
        <is>
          <t>declared</t>
        </is>
      </c>
      <c r="Z74" s="8" t="n">
        <v>30784</v>
      </c>
      <c r="AA74" s="9">
        <f>IF(H74="yes",Z74*X74,0)</f>
        <v/>
      </c>
      <c r="AB74" s="9">
        <f>IF(H74="yes",AA74*N(L74)/100,0)</f>
        <v/>
      </c>
      <c r="AC74" s="9">
        <f>IF(H74="yes",AA74*N(N74)/100,0)</f>
        <v/>
      </c>
      <c r="AD74" s="9">
        <f>IF(H74="yes",AA74*N(O74)/100,0)</f>
        <v/>
      </c>
      <c r="AE74" s="10">
        <f>IF(P74="yes",AA74/1000,0)</f>
        <v/>
      </c>
      <c r="AF74" s="10">
        <f>IF(R74="FG2",AE74*W74,AE74)</f>
        <v/>
      </c>
    </row>
    <row r="75">
      <c r="A75" s="6" t="inlineStr">
        <is>
          <t>HM00073</t>
        </is>
      </c>
      <c r="B75" s="7" t="inlineStr">
        <is>
          <t>5012345300337</t>
        </is>
      </c>
      <c r="C75" s="6" t="inlineStr">
        <is>
          <t>HM BF BURGERS 4PK 454G</t>
        </is>
      </c>
      <c r="D75" s="6" t="inlineStr">
        <is>
          <t>Beef burgers, 4 pack, 454g</t>
        </is>
      </c>
      <c r="E75" s="6" t="inlineStr">
        <is>
          <t>Harbour Market</t>
        </is>
      </c>
      <c r="F75" s="6" t="inlineStr">
        <is>
          <t>Fresh Meat &amp; Poultry</t>
        </is>
      </c>
      <c r="G75" s="6" t="inlineStr">
        <is>
          <t>Sausages &amp; Burgers</t>
        </is>
      </c>
      <c r="H75" s="6" t="inlineStr">
        <is>
          <t>yes</t>
        </is>
      </c>
      <c r="I75" s="6" t="inlineStr">
        <is>
          <t>Animal core</t>
        </is>
      </c>
      <c r="J75" s="6" t="inlineStr">
        <is>
          <t>B</t>
        </is>
      </c>
      <c r="K75" s="6" t="inlineStr">
        <is>
          <t>First ingredient (step 4a)</t>
        </is>
      </c>
      <c r="L75" s="6" t="n">
        <v>14.4</v>
      </c>
      <c r="M75" s="6" t="inlineStr">
        <is>
          <t>Median of the family</t>
        </is>
      </c>
      <c r="N75" s="6" t="n">
        <v>0</v>
      </c>
      <c r="O75" s="6" t="n">
        <v>14.4</v>
      </c>
      <c r="P75" s="6" t="inlineStr">
        <is>
          <t>yes</t>
        </is>
      </c>
      <c r="Q75" s="6" t="inlineStr">
        <is>
          <t>whole</t>
        </is>
      </c>
      <c r="R75" s="6" t="inlineStr">
        <is>
          <t>FG1</t>
        </is>
      </c>
      <c r="S75" s="6" t="inlineStr">
        <is>
          <t>red meat</t>
        </is>
      </c>
      <c r="T75" s="6" t="inlineStr">
        <is>
          <t>animal</t>
        </is>
      </c>
      <c r="U75" s="6" t="n"/>
      <c r="V75" s="6" t="n"/>
      <c r="W75" s="6" t="n">
        <v>1</v>
      </c>
      <c r="X75" s="6" t="n">
        <v>0.454</v>
      </c>
      <c r="Y75" s="6" t="inlineStr">
        <is>
          <t>declared</t>
        </is>
      </c>
      <c r="Z75" s="8" t="n">
        <v>28226</v>
      </c>
      <c r="AA75" s="9">
        <f>IF(H75="yes",Z75*X75,0)</f>
        <v/>
      </c>
      <c r="AB75" s="9">
        <f>IF(H75="yes",AA75*N(L75)/100,0)</f>
        <v/>
      </c>
      <c r="AC75" s="9">
        <f>IF(H75="yes",AA75*N(N75)/100,0)</f>
        <v/>
      </c>
      <c r="AD75" s="9">
        <f>IF(H75="yes",AA75*N(O75)/100,0)</f>
        <v/>
      </c>
      <c r="AE75" s="10">
        <f>IF(P75="yes",AA75/1000,0)</f>
        <v/>
      </c>
      <c r="AF75" s="10">
        <f>IF(R75="FG2",AE75*W75,AE75)</f>
        <v/>
      </c>
    </row>
    <row r="76">
      <c r="A76" s="6" t="inlineStr">
        <is>
          <t>HM00074</t>
        </is>
      </c>
      <c r="B76" s="7" t="inlineStr">
        <is>
          <t>4012345754353</t>
        </is>
      </c>
      <c r="C76" s="6" t="inlineStr">
        <is>
          <t>HM NAT YOG 4X125G</t>
        </is>
      </c>
      <c r="D76" s="6" t="inlineStr">
        <is>
          <t>Natural yoghurt, 4x125g</t>
        </is>
      </c>
      <c r="E76" s="6" t="inlineStr">
        <is>
          <t>Harbour Market</t>
        </is>
      </c>
      <c r="F76" s="6" t="inlineStr">
        <is>
          <t>Dairy &amp; Eggs</t>
        </is>
      </c>
      <c r="G76" s="6" t="inlineStr">
        <is>
          <t>Yoghurt</t>
        </is>
      </c>
      <c r="H76" s="6" t="inlineStr">
        <is>
          <t>yes</t>
        </is>
      </c>
      <c r="I76" s="6" t="inlineStr">
        <is>
          <t>Animal core</t>
        </is>
      </c>
      <c r="J76" s="6" t="inlineStr">
        <is>
          <t>A</t>
        </is>
      </c>
      <c r="K76" s="6" t="inlineStr">
        <is>
          <t>All ingredients on one side</t>
        </is>
      </c>
      <c r="L76" s="6" t="n">
        <v>4.6</v>
      </c>
      <c r="M76" s="6" t="inlineStr">
        <is>
          <t>Open Food Facts, by EAN</t>
        </is>
      </c>
      <c r="N76" s="6" t="n">
        <v>0</v>
      </c>
      <c r="O76" s="6" t="n">
        <v>4.6</v>
      </c>
      <c r="P76" s="6" t="inlineStr">
        <is>
          <t>yes</t>
        </is>
      </c>
      <c r="Q76" s="6" t="inlineStr">
        <is>
          <t>whole</t>
        </is>
      </c>
      <c r="R76" s="6" t="inlineStr">
        <is>
          <t>FG2</t>
        </is>
      </c>
      <c r="S76" s="6" t="inlineStr">
        <is>
          <t>dairy</t>
        </is>
      </c>
      <c r="T76" s="6" t="inlineStr">
        <is>
          <t>animal</t>
        </is>
      </c>
      <c r="U76" s="6" t="n"/>
      <c r="V76" s="6" t="n"/>
      <c r="W76" s="6" t="n">
        <v>1</v>
      </c>
      <c r="X76" s="6" t="n">
        <v>0.5</v>
      </c>
      <c r="Y76" s="6" t="inlineStr">
        <is>
          <t>declared</t>
        </is>
      </c>
      <c r="Z76" s="8" t="n">
        <v>25068</v>
      </c>
      <c r="AA76" s="9">
        <f>IF(H76="yes",Z76*X76,0)</f>
        <v/>
      </c>
      <c r="AB76" s="9">
        <f>IF(H76="yes",AA76*N(L76)/100,0)</f>
        <v/>
      </c>
      <c r="AC76" s="9">
        <f>IF(H76="yes",AA76*N(N76)/100,0)</f>
        <v/>
      </c>
      <c r="AD76" s="9">
        <f>IF(H76="yes",AA76*N(O76)/100,0)</f>
        <v/>
      </c>
      <c r="AE76" s="10">
        <f>IF(P76="yes",AA76/1000,0)</f>
        <v/>
      </c>
      <c r="AF76" s="10">
        <f>IF(R76="FG2",AE76*W76,AE76)</f>
        <v/>
      </c>
    </row>
    <row r="77">
      <c r="A77" s="6" t="inlineStr">
        <is>
          <t>HM00075</t>
        </is>
      </c>
      <c r="B77" s="7" t="inlineStr">
        <is>
          <t>4012345645439</t>
        </is>
      </c>
      <c r="C77" s="6" t="inlineStr">
        <is>
          <t>HM CONFERENCE PEARS 1KG</t>
        </is>
      </c>
      <c r="D77" s="6" t="inlineStr">
        <is>
          <t>Conference pears, 1kg</t>
        </is>
      </c>
      <c r="E77" s="6" t="inlineStr">
        <is>
          <t>Harbour Market</t>
        </is>
      </c>
      <c r="F77" s="6" t="inlineStr">
        <is>
          <t>Fruit &amp; Vegetables</t>
        </is>
      </c>
      <c r="G77" s="6" t="inlineStr">
        <is>
          <t>Fruit</t>
        </is>
      </c>
      <c r="H77" s="6" t="inlineStr">
        <is>
          <t>yes</t>
        </is>
      </c>
      <c r="I77" s="6" t="inlineStr">
        <is>
          <t>Plant-based non-core</t>
        </is>
      </c>
      <c r="J77" s="6" t="inlineStr">
        <is>
          <t>B</t>
        </is>
      </c>
      <c r="K77" s="6" t="inlineStr">
        <is>
          <t>Follows the class</t>
        </is>
      </c>
      <c r="L77" s="6" t="n">
        <v>0.41</v>
      </c>
      <c r="M77" s="6" t="inlineStr">
        <is>
          <t>Open Food Facts, by EAN</t>
        </is>
      </c>
      <c r="N77" s="6" t="n">
        <v>0.41</v>
      </c>
      <c r="O77" s="6" t="n">
        <v>0</v>
      </c>
      <c r="P77" s="6" t="inlineStr">
        <is>
          <t>yes</t>
        </is>
      </c>
      <c r="Q77" s="6" t="inlineStr">
        <is>
          <t>whole</t>
        </is>
      </c>
      <c r="R77" s="6" t="inlineStr">
        <is>
          <t>FG4</t>
        </is>
      </c>
      <c r="S77" s="6" t="n"/>
      <c r="T77" s="6" t="inlineStr">
        <is>
          <t>plant</t>
        </is>
      </c>
      <c r="U77" s="6" t="n"/>
      <c r="V77" s="6" t="n"/>
      <c r="W77" s="6" t="n">
        <v>1</v>
      </c>
      <c r="X77" s="6" t="n">
        <v>1</v>
      </c>
      <c r="Y77" s="6" t="inlineStr">
        <is>
          <t>declared</t>
        </is>
      </c>
      <c r="Z77" s="8" t="n">
        <v>24524</v>
      </c>
      <c r="AA77" s="9">
        <f>IF(H77="yes",Z77*X77,0)</f>
        <v/>
      </c>
      <c r="AB77" s="9">
        <f>IF(H77="yes",AA77*N(L77)/100,0)</f>
        <v/>
      </c>
      <c r="AC77" s="9">
        <f>IF(H77="yes",AA77*N(N77)/100,0)</f>
        <v/>
      </c>
      <c r="AD77" s="9">
        <f>IF(H77="yes",AA77*N(O77)/100,0)</f>
        <v/>
      </c>
      <c r="AE77" s="10">
        <f>IF(P77="yes",AA77/1000,0)</f>
        <v/>
      </c>
      <c r="AF77" s="10">
        <f>IF(R77="FG2",AE77*W77,AE77)</f>
        <v/>
      </c>
    </row>
    <row r="78">
      <c r="A78" s="6" t="inlineStr">
        <is>
          <t>HM00076</t>
        </is>
      </c>
      <c r="B78" s="7" t="inlineStr">
        <is>
          <t>4012345509809</t>
        </is>
      </c>
      <c r="C78" s="6" t="inlineStr">
        <is>
          <t>PLANT BURGERS 300G SOLVANE</t>
        </is>
      </c>
      <c r="D78" s="6" t="inlineStr">
        <is>
          <t>Plant-based burgers, 300g</t>
        </is>
      </c>
      <c r="E78" s="6" t="inlineStr">
        <is>
          <t>Solvane</t>
        </is>
      </c>
      <c r="F78" s="6" t="inlineStr">
        <is>
          <t>Plant-Based</t>
        </is>
      </c>
      <c r="G78" s="6" t="inlineStr">
        <is>
          <t>Meat Alternatives</t>
        </is>
      </c>
      <c r="H78" s="6" t="inlineStr">
        <is>
          <t>yes</t>
        </is>
      </c>
      <c r="I78" s="6" t="inlineStr">
        <is>
          <t>Plant-based core</t>
        </is>
      </c>
      <c r="J78" s="6" t="inlineStr">
        <is>
          <t>A</t>
        </is>
      </c>
      <c r="K78" s="6" t="inlineStr">
        <is>
          <t>All ingredients on one side</t>
        </is>
      </c>
      <c r="L78" s="6" t="n">
        <v>15.5</v>
      </c>
      <c r="M78" s="6" t="inlineStr">
        <is>
          <t>Median of the family</t>
        </is>
      </c>
      <c r="N78" s="6" t="n">
        <v>15.5</v>
      </c>
      <c r="O78" s="6" t="n">
        <v>0</v>
      </c>
      <c r="P78" s="6" t="inlineStr">
        <is>
          <t>yes</t>
        </is>
      </c>
      <c r="Q78" s="6" t="inlineStr">
        <is>
          <t>whole</t>
        </is>
      </c>
      <c r="R78" s="6" t="inlineStr">
        <is>
          <t>FG1</t>
        </is>
      </c>
      <c r="S78" s="6" t="inlineStr">
        <is>
          <t>alternative products</t>
        </is>
      </c>
      <c r="T78" s="6" t="inlineStr">
        <is>
          <t>plant</t>
        </is>
      </c>
      <c r="U78" s="6" t="n"/>
      <c r="V78" s="6" t="n"/>
      <c r="W78" s="6" t="n">
        <v>1</v>
      </c>
      <c r="X78" s="6" t="n">
        <v>0.3</v>
      </c>
      <c r="Y78" s="6" t="inlineStr">
        <is>
          <t>label</t>
        </is>
      </c>
      <c r="Z78" s="8" t="n">
        <v>10745</v>
      </c>
      <c r="AA78" s="9">
        <f>IF(H78="yes",Z78*X78,0)</f>
        <v/>
      </c>
      <c r="AB78" s="9">
        <f>IF(H78="yes",AA78*N(L78)/100,0)</f>
        <v/>
      </c>
      <c r="AC78" s="9">
        <f>IF(H78="yes",AA78*N(N78)/100,0)</f>
        <v/>
      </c>
      <c r="AD78" s="9">
        <f>IF(H78="yes",AA78*N(O78)/100,0)</f>
        <v/>
      </c>
      <c r="AE78" s="10">
        <f>IF(P78="yes",AA78/1000,0)</f>
        <v/>
      </c>
      <c r="AF78" s="10">
        <f>IF(R78="FG2",AE78*W78,AE78)</f>
        <v/>
      </c>
    </row>
    <row r="79">
      <c r="A79" s="6" t="inlineStr">
        <is>
          <t>HM00077</t>
        </is>
      </c>
      <c r="B79" s="7" t="inlineStr">
        <is>
          <t>0012345066061</t>
        </is>
      </c>
      <c r="C79" s="6" t="inlineStr">
        <is>
          <t>EGG TAGLIATELLE 250G ORVALIS</t>
        </is>
      </c>
      <c r="D79" s="6" t="inlineStr">
        <is>
          <t>Egg tagliatelle, 250g</t>
        </is>
      </c>
      <c r="E79" s="6" t="inlineStr">
        <is>
          <t>Orvalis</t>
        </is>
      </c>
      <c r="F79" s="6" t="inlineStr">
        <is>
          <t>Grocery</t>
        </is>
      </c>
      <c r="G79" s="6" t="inlineStr">
        <is>
          <t>Fresh Pasta</t>
        </is>
      </c>
      <c r="H79" s="6" t="inlineStr">
        <is>
          <t>yes</t>
        </is>
      </c>
      <c r="I79" s="6" t="inlineStr">
        <is>
          <t>Animal &amp; plant composite</t>
        </is>
      </c>
      <c r="J79" s="6" t="inlineStr">
        <is>
          <t>A</t>
        </is>
      </c>
      <c r="K79" s="6" t="inlineStr">
        <is>
          <t>Ingredient list</t>
        </is>
      </c>
      <c r="L79" s="6" t="n">
        <v>13.2</v>
      </c>
      <c r="M79" s="6" t="inlineStr">
        <is>
          <t>Declared by the retailer</t>
        </is>
      </c>
      <c r="N79" s="6" t="n">
        <v>10.3</v>
      </c>
      <c r="O79" s="6" t="n">
        <v>2.9</v>
      </c>
      <c r="P79" s="6" t="inlineStr">
        <is>
          <t>yes</t>
        </is>
      </c>
      <c r="Q79" s="6" t="inlineStr">
        <is>
          <t>composite</t>
        </is>
      </c>
      <c r="R79" s="6" t="n"/>
      <c r="S79" s="6" t="n"/>
      <c r="T79" s="6" t="n"/>
      <c r="U79" s="6" t="inlineStr">
        <is>
          <t>vegetarian</t>
        </is>
      </c>
      <c r="V79" s="6" t="n"/>
      <c r="W79" s="6" t="n">
        <v>1</v>
      </c>
      <c r="X79" s="6" t="n">
        <v>0.25</v>
      </c>
      <c r="Y79" s="6" t="inlineStr">
        <is>
          <t>declared</t>
        </is>
      </c>
      <c r="Z79" s="8" t="n">
        <v>25264</v>
      </c>
      <c r="AA79" s="9">
        <f>IF(H79="yes",Z79*X79,0)</f>
        <v/>
      </c>
      <c r="AB79" s="9">
        <f>IF(H79="yes",AA79*N(L79)/100,0)</f>
        <v/>
      </c>
      <c r="AC79" s="9">
        <f>IF(H79="yes",AA79*N(N79)/100,0)</f>
        <v/>
      </c>
      <c r="AD79" s="9">
        <f>IF(H79="yes",AA79*N(O79)/100,0)</f>
        <v/>
      </c>
      <c r="AE79" s="10">
        <f>IF(P79="yes",AA79/1000,0)</f>
        <v/>
      </c>
      <c r="AF79" s="10">
        <f>IF(R79="FG2",AE79*W79,AE79)</f>
        <v/>
      </c>
    </row>
    <row r="80">
      <c r="A80" s="6" t="inlineStr">
        <is>
          <t>HM00078</t>
        </is>
      </c>
      <c r="B80" s="7" t="inlineStr">
        <is>
          <t>4012345463101</t>
        </is>
      </c>
      <c r="C80" s="6" t="inlineStr">
        <is>
          <t>HM COLA 6X330ML</t>
        </is>
      </c>
      <c r="D80" s="6" t="inlineStr">
        <is>
          <t>Cola, 6x330ml</t>
        </is>
      </c>
      <c r="E80" s="6" t="inlineStr">
        <is>
          <t>Harbour Market</t>
        </is>
      </c>
      <c r="F80" s="6" t="inlineStr">
        <is>
          <t>Soft Drinks &amp; Water</t>
        </is>
      </c>
      <c r="G80" s="6" t="inlineStr">
        <is>
          <t>Soft Drinks</t>
        </is>
      </c>
      <c r="H80" s="6" t="inlineStr">
        <is>
          <t>yes</t>
        </is>
      </c>
      <c r="I80" s="6" t="inlineStr">
        <is>
          <t>Plant-based non-core</t>
        </is>
      </c>
      <c r="J80" s="6" t="inlineStr">
        <is>
          <t>A</t>
        </is>
      </c>
      <c r="K80" s="6" t="inlineStr">
        <is>
          <t>All ingredients on one side</t>
        </is>
      </c>
      <c r="L80" s="6" t="n">
        <v>0</v>
      </c>
      <c r="M80" s="6" t="inlineStr">
        <is>
          <t>Open Food Facts, by EAN</t>
        </is>
      </c>
      <c r="N80" s="6" t="n">
        <v>0</v>
      </c>
      <c r="O80" s="6" t="n">
        <v>0</v>
      </c>
      <c r="P80" s="6" t="inlineStr">
        <is>
          <t>no</t>
        </is>
      </c>
      <c r="Q80" s="6" t="n"/>
      <c r="R80" s="6" t="n"/>
      <c r="S80" s="6" t="n"/>
      <c r="T80" s="6" t="n"/>
      <c r="U80" s="6" t="n"/>
      <c r="V80" s="6" t="inlineStr">
        <is>
          <t>beverage</t>
        </is>
      </c>
      <c r="W80" s="6" t="n">
        <v>1</v>
      </c>
      <c r="X80" s="6" t="n">
        <v>1.98</v>
      </c>
      <c r="Y80" s="6" t="inlineStr">
        <is>
          <t>declared</t>
        </is>
      </c>
      <c r="Z80" s="8" t="n">
        <v>48141</v>
      </c>
      <c r="AA80" s="9">
        <f>IF(H80="yes",Z80*X80,0)</f>
        <v/>
      </c>
      <c r="AB80" s="9">
        <f>IF(H80="yes",AA80*N(L80)/100,0)</f>
        <v/>
      </c>
      <c r="AC80" s="9">
        <f>IF(H80="yes",AA80*N(N80)/100,0)</f>
        <v/>
      </c>
      <c r="AD80" s="9">
        <f>IF(H80="yes",AA80*N(O80)/100,0)</f>
        <v/>
      </c>
      <c r="AE80" s="10">
        <f>IF(P80="yes",AA80/1000,0)</f>
        <v/>
      </c>
      <c r="AF80" s="10">
        <f>IF(R80="FG2",AE80*W80,AE80)</f>
        <v/>
      </c>
    </row>
    <row r="81">
      <c r="A81" s="6" t="inlineStr">
        <is>
          <t>HM00079</t>
        </is>
      </c>
      <c r="B81" s="7" t="inlineStr">
        <is>
          <t>5012345994147</t>
        </is>
      </c>
      <c r="C81" s="6" t="inlineStr">
        <is>
          <t>HM BLUEBERRIES 1KG</t>
        </is>
      </c>
      <c r="D81" s="6" t="inlineStr">
        <is>
          <t>Blueberries, 1kg</t>
        </is>
      </c>
      <c r="E81" s="6" t="inlineStr">
        <is>
          <t>Harbour Market</t>
        </is>
      </c>
      <c r="F81" s="6" t="inlineStr">
        <is>
          <t>Fruit &amp; Vegetables</t>
        </is>
      </c>
      <c r="G81" s="6" t="inlineStr">
        <is>
          <t>Fruit</t>
        </is>
      </c>
      <c r="H81" s="6" t="inlineStr">
        <is>
          <t>yes</t>
        </is>
      </c>
      <c r="I81" s="6" t="inlineStr">
        <is>
          <t>Plant-based non-core</t>
        </is>
      </c>
      <c r="J81" s="6" t="inlineStr">
        <is>
          <t>B</t>
        </is>
      </c>
      <c r="K81" s="6" t="inlineStr">
        <is>
          <t>Follows the class</t>
        </is>
      </c>
      <c r="L81" s="6" t="n">
        <v>0.73</v>
      </c>
      <c r="M81" s="6" t="inlineStr">
        <is>
          <t>Declared by the retailer</t>
        </is>
      </c>
      <c r="N81" s="6" t="n">
        <v>0.73</v>
      </c>
      <c r="O81" s="6" t="n">
        <v>0</v>
      </c>
      <c r="P81" s="6" t="inlineStr">
        <is>
          <t>yes</t>
        </is>
      </c>
      <c r="Q81" s="6" t="inlineStr">
        <is>
          <t>whole</t>
        </is>
      </c>
      <c r="R81" s="6" t="inlineStr">
        <is>
          <t>FG4</t>
        </is>
      </c>
      <c r="S81" s="6" t="n"/>
      <c r="T81" s="6" t="inlineStr">
        <is>
          <t>plant</t>
        </is>
      </c>
      <c r="U81" s="6" t="n"/>
      <c r="V81" s="6" t="n"/>
      <c r="W81" s="6" t="n">
        <v>1</v>
      </c>
      <c r="X81" s="6" t="n">
        <v>1</v>
      </c>
      <c r="Y81" s="6" t="inlineStr">
        <is>
          <t>declared</t>
        </is>
      </c>
      <c r="Z81" s="8" t="n">
        <v>24460</v>
      </c>
      <c r="AA81" s="9">
        <f>IF(H81="yes",Z81*X81,0)</f>
        <v/>
      </c>
      <c r="AB81" s="9">
        <f>IF(H81="yes",AA81*N(L81)/100,0)</f>
        <v/>
      </c>
      <c r="AC81" s="9">
        <f>IF(H81="yes",AA81*N(N81)/100,0)</f>
        <v/>
      </c>
      <c r="AD81" s="9">
        <f>IF(H81="yes",AA81*N(O81)/100,0)</f>
        <v/>
      </c>
      <c r="AE81" s="10">
        <f>IF(P81="yes",AA81/1000,0)</f>
        <v/>
      </c>
      <c r="AF81" s="10">
        <f>IF(R81="FG2",AE81*W81,AE81)</f>
        <v/>
      </c>
    </row>
    <row r="82">
      <c r="A82" s="6" t="inlineStr">
        <is>
          <t>HM00080</t>
        </is>
      </c>
      <c r="B82" s="7" t="inlineStr">
        <is>
          <t>3012345055895</t>
        </is>
      </c>
      <c r="C82" s="6" t="inlineStr">
        <is>
          <t>PIRI PIRI CHKN THIGH 400G TARROW</t>
        </is>
      </c>
      <c r="D82" s="6" t="inlineStr">
        <is>
          <t>Piri-piri marinated chicken thighs, 400g</t>
        </is>
      </c>
      <c r="E82" s="6" t="inlineStr">
        <is>
          <t>Tarrow Farm</t>
        </is>
      </c>
      <c r="F82" s="6" t="inlineStr">
        <is>
          <t>Fresh Meat &amp; Poultry</t>
        </is>
      </c>
      <c r="G82" s="6" t="inlineStr">
        <is>
          <t>BBQ &amp; Marinated</t>
        </is>
      </c>
      <c r="H82" s="6" t="inlineStr">
        <is>
          <t>yes</t>
        </is>
      </c>
      <c r="I82" s="6" t="inlineStr">
        <is>
          <t>Animal core</t>
        </is>
      </c>
      <c r="J82" s="6" t="inlineStr">
        <is>
          <t>B</t>
        </is>
      </c>
      <c r="K82" s="6" t="inlineStr">
        <is>
          <t>First ingredient (step 4a)</t>
        </is>
      </c>
      <c r="L82" s="6" t="n">
        <v>15</v>
      </c>
      <c r="M82" s="6" t="inlineStr">
        <is>
          <t>Declared by the retailer</t>
        </is>
      </c>
      <c r="N82" s="6" t="n">
        <v>0</v>
      </c>
      <c r="O82" s="6" t="n">
        <v>15</v>
      </c>
      <c r="P82" s="6" t="inlineStr">
        <is>
          <t>yes</t>
        </is>
      </c>
      <c r="Q82" s="6" t="inlineStr">
        <is>
          <t>whole</t>
        </is>
      </c>
      <c r="R82" s="6" t="inlineStr">
        <is>
          <t>FG1</t>
        </is>
      </c>
      <c r="S82" s="6" t="inlineStr">
        <is>
          <t>poultry</t>
        </is>
      </c>
      <c r="T82" s="6" t="inlineStr">
        <is>
          <t>animal</t>
        </is>
      </c>
      <c r="U82" s="6" t="n"/>
      <c r="V82" s="6" t="n"/>
      <c r="W82" s="6" t="n">
        <v>1</v>
      </c>
      <c r="X82" s="6" t="n">
        <v>0.4</v>
      </c>
      <c r="Y82" s="6" t="inlineStr">
        <is>
          <t>declared</t>
        </is>
      </c>
      <c r="Z82" s="8" t="n">
        <v>9757</v>
      </c>
      <c r="AA82" s="9">
        <f>IF(H82="yes",Z82*X82,0)</f>
        <v/>
      </c>
      <c r="AB82" s="9">
        <f>IF(H82="yes",AA82*N(L82)/100,0)</f>
        <v/>
      </c>
      <c r="AC82" s="9">
        <f>IF(H82="yes",AA82*N(N82)/100,0)</f>
        <v/>
      </c>
      <c r="AD82" s="9">
        <f>IF(H82="yes",AA82*N(O82)/100,0)</f>
        <v/>
      </c>
      <c r="AE82" s="10">
        <f>IF(P82="yes",AA82/1000,0)</f>
        <v/>
      </c>
      <c r="AF82" s="10">
        <f>IF(R82="FG2",AE82*W82,AE82)</f>
        <v/>
      </c>
    </row>
    <row r="83">
      <c r="A83" s="6" t="inlineStr">
        <is>
          <t>HM00081</t>
        </is>
      </c>
      <c r="B83" s="7" t="inlineStr">
        <is>
          <t>4012345601268</t>
        </is>
      </c>
      <c r="C83" s="6" t="inlineStr">
        <is>
          <t>HM BF SIRLOIN STK 250G</t>
        </is>
      </c>
      <c r="D83" s="6" t="inlineStr">
        <is>
          <t>Beef sirloin steak, 250g</t>
        </is>
      </c>
      <c r="E83" s="6" t="inlineStr">
        <is>
          <t>Harbour Market</t>
        </is>
      </c>
      <c r="F83" s="6" t="inlineStr">
        <is>
          <t>Fresh Meat &amp; Poultry</t>
        </is>
      </c>
      <c r="G83" s="6" t="inlineStr">
        <is>
          <t>Beef</t>
        </is>
      </c>
      <c r="H83" s="6" t="inlineStr">
        <is>
          <t>yes</t>
        </is>
      </c>
      <c r="I83" s="6" t="inlineStr">
        <is>
          <t>Animal core</t>
        </is>
      </c>
      <c r="J83" s="6" t="inlineStr">
        <is>
          <t>B</t>
        </is>
      </c>
      <c r="K83" s="6" t="inlineStr">
        <is>
          <t>Follows the class</t>
        </is>
      </c>
      <c r="L83" s="6" t="n">
        <v>21.1</v>
      </c>
      <c r="M83" s="6" t="inlineStr">
        <is>
          <t>Declared by the retailer</t>
        </is>
      </c>
      <c r="N83" s="6" t="n">
        <v>0</v>
      </c>
      <c r="O83" s="6" t="n">
        <v>21.1</v>
      </c>
      <c r="P83" s="6" t="inlineStr">
        <is>
          <t>yes</t>
        </is>
      </c>
      <c r="Q83" s="6" t="inlineStr">
        <is>
          <t>whole</t>
        </is>
      </c>
      <c r="R83" s="6" t="inlineStr">
        <is>
          <t>FG1</t>
        </is>
      </c>
      <c r="S83" s="6" t="inlineStr">
        <is>
          <t>red meat</t>
        </is>
      </c>
      <c r="T83" s="6" t="inlineStr">
        <is>
          <t>animal</t>
        </is>
      </c>
      <c r="U83" s="6" t="n"/>
      <c r="V83" s="6" t="n"/>
      <c r="W83" s="6" t="n">
        <v>1</v>
      </c>
      <c r="X83" s="6" t="n">
        <v>0.25</v>
      </c>
      <c r="Y83" s="6" t="inlineStr">
        <is>
          <t>declared</t>
        </is>
      </c>
      <c r="Z83" s="8" t="n">
        <v>25624</v>
      </c>
      <c r="AA83" s="9">
        <f>IF(H83="yes",Z83*X83,0)</f>
        <v/>
      </c>
      <c r="AB83" s="9">
        <f>IF(H83="yes",AA83*N(L83)/100,0)</f>
        <v/>
      </c>
      <c r="AC83" s="9">
        <f>IF(H83="yes",AA83*N(N83)/100,0)</f>
        <v/>
      </c>
      <c r="AD83" s="9">
        <f>IF(H83="yes",AA83*N(O83)/100,0)</f>
        <v/>
      </c>
      <c r="AE83" s="10">
        <f>IF(P83="yes",AA83/1000,0)</f>
        <v/>
      </c>
      <c r="AF83" s="10">
        <f>IF(R83="FG2",AE83*W83,AE83)</f>
        <v/>
      </c>
    </row>
    <row r="84">
      <c r="A84" s="6" t="inlineStr">
        <is>
          <t>HM00082</t>
        </is>
      </c>
      <c r="B84" s="7" t="inlineStr">
        <is>
          <t>8712345920562</t>
        </is>
      </c>
      <c r="C84" s="6" t="inlineStr">
        <is>
          <t>FJELDA WHOLE MILK 500ML</t>
        </is>
      </c>
      <c r="D84" s="6" t="inlineStr">
        <is>
          <t>Whole milk, 500ml</t>
        </is>
      </c>
      <c r="E84" s="6" t="inlineStr">
        <is>
          <t>Fjelda</t>
        </is>
      </c>
      <c r="F84" s="6" t="inlineStr">
        <is>
          <t>Dairy &amp; Eggs</t>
        </is>
      </c>
      <c r="G84" s="6" t="inlineStr">
        <is>
          <t>Milk</t>
        </is>
      </c>
      <c r="H84" s="6" t="inlineStr">
        <is>
          <t>yes</t>
        </is>
      </c>
      <c r="I84" s="6" t="inlineStr">
        <is>
          <t>Animal core</t>
        </is>
      </c>
      <c r="J84" s="6" t="inlineStr">
        <is>
          <t>A</t>
        </is>
      </c>
      <c r="K84" s="6" t="inlineStr">
        <is>
          <t>All ingredients on one side</t>
        </is>
      </c>
      <c r="L84" s="6" t="n">
        <v>3.4</v>
      </c>
      <c r="M84" s="6" t="inlineStr">
        <is>
          <t>Declared by the retailer</t>
        </is>
      </c>
      <c r="N84" s="6" t="n">
        <v>0</v>
      </c>
      <c r="O84" s="6" t="n">
        <v>3.4</v>
      </c>
      <c r="P84" s="6" t="inlineStr">
        <is>
          <t>yes</t>
        </is>
      </c>
      <c r="Q84" s="6" t="inlineStr">
        <is>
          <t>whole</t>
        </is>
      </c>
      <c r="R84" s="6" t="inlineStr">
        <is>
          <t>FG2</t>
        </is>
      </c>
      <c r="S84" s="6" t="inlineStr">
        <is>
          <t>dairy</t>
        </is>
      </c>
      <c r="T84" s="6" t="inlineStr">
        <is>
          <t>animal</t>
        </is>
      </c>
      <c r="U84" s="6" t="n"/>
      <c r="V84" s="6" t="n"/>
      <c r="W84" s="6" t="n">
        <v>1</v>
      </c>
      <c r="X84" s="6" t="n">
        <v>0.515</v>
      </c>
      <c r="Y84" s="6" t="inlineStr">
        <is>
          <t>declared</t>
        </is>
      </c>
      <c r="Z84" s="8" t="n">
        <v>83302</v>
      </c>
      <c r="AA84" s="9">
        <f>IF(H84="yes",Z84*X84,0)</f>
        <v/>
      </c>
      <c r="AB84" s="9">
        <f>IF(H84="yes",AA84*N(L84)/100,0)</f>
        <v/>
      </c>
      <c r="AC84" s="9">
        <f>IF(H84="yes",AA84*N(N84)/100,0)</f>
        <v/>
      </c>
      <c r="AD84" s="9">
        <f>IF(H84="yes",AA84*N(O84)/100,0)</f>
        <v/>
      </c>
      <c r="AE84" s="10">
        <f>IF(P84="yes",AA84/1000,0)</f>
        <v/>
      </c>
      <c r="AF84" s="10">
        <f>IF(R84="FG2",AE84*W84,AE84)</f>
        <v/>
      </c>
    </row>
    <row r="85">
      <c r="A85" s="6" t="inlineStr">
        <is>
          <t>HM00083</t>
        </is>
      </c>
      <c r="B85" s="7" t="inlineStr">
        <is>
          <t>4012345059229</t>
        </is>
      </c>
      <c r="C85" s="6" t="inlineStr">
        <is>
          <t>HM STRAWBERRIES 1KG</t>
        </is>
      </c>
      <c r="D85" s="6" t="inlineStr">
        <is>
          <t>Strawberries, 1kg</t>
        </is>
      </c>
      <c r="E85" s="6" t="inlineStr">
        <is>
          <t>Harbour Market</t>
        </is>
      </c>
      <c r="F85" s="6" t="inlineStr">
        <is>
          <t>Fruit &amp; Vegetables</t>
        </is>
      </c>
      <c r="G85" s="6" t="inlineStr">
        <is>
          <t>Fruit</t>
        </is>
      </c>
      <c r="H85" s="6" t="inlineStr">
        <is>
          <t>yes</t>
        </is>
      </c>
      <c r="I85" s="6" t="inlineStr">
        <is>
          <t>Plant-based non-core</t>
        </is>
      </c>
      <c r="J85" s="6" t="inlineStr">
        <is>
          <t>B</t>
        </is>
      </c>
      <c r="K85" s="6" t="inlineStr">
        <is>
          <t>Follows the class</t>
        </is>
      </c>
      <c r="L85" s="6" t="n">
        <v>0.74</v>
      </c>
      <c r="M85" s="6" t="inlineStr">
        <is>
          <t>Median of the family</t>
        </is>
      </c>
      <c r="N85" s="6" t="n">
        <v>0.74</v>
      </c>
      <c r="O85" s="6" t="n">
        <v>0</v>
      </c>
      <c r="P85" s="6" t="inlineStr">
        <is>
          <t>yes</t>
        </is>
      </c>
      <c r="Q85" s="6" t="inlineStr">
        <is>
          <t>whole</t>
        </is>
      </c>
      <c r="R85" s="6" t="inlineStr">
        <is>
          <t>FG4</t>
        </is>
      </c>
      <c r="S85" s="6" t="n"/>
      <c r="T85" s="6" t="inlineStr">
        <is>
          <t>plant</t>
        </is>
      </c>
      <c r="U85" s="6" t="n"/>
      <c r="V85" s="6" t="n"/>
      <c r="W85" s="6" t="n">
        <v>1</v>
      </c>
      <c r="X85" s="6" t="n">
        <v>1</v>
      </c>
      <c r="Y85" s="6" t="inlineStr">
        <is>
          <t>declared</t>
        </is>
      </c>
      <c r="Z85" s="8" t="n">
        <v>137110</v>
      </c>
      <c r="AA85" s="9">
        <f>IF(H85="yes",Z85*X85,0)</f>
        <v/>
      </c>
      <c r="AB85" s="9">
        <f>IF(H85="yes",AA85*N(L85)/100,0)</f>
        <v/>
      </c>
      <c r="AC85" s="9">
        <f>IF(H85="yes",AA85*N(N85)/100,0)</f>
        <v/>
      </c>
      <c r="AD85" s="9">
        <f>IF(H85="yes",AA85*N(O85)/100,0)</f>
        <v/>
      </c>
      <c r="AE85" s="10">
        <f>IF(P85="yes",AA85/1000,0)</f>
        <v/>
      </c>
      <c r="AF85" s="10">
        <f>IF(R85="FG2",AE85*W85,AE85)</f>
        <v/>
      </c>
    </row>
    <row r="86">
      <c r="A86" s="6" t="inlineStr">
        <is>
          <t>HM00084</t>
        </is>
      </c>
      <c r="B86" s="7" t="inlineStr">
        <is>
          <t>0012345047107</t>
        </is>
      </c>
      <c r="C86" s="6" t="inlineStr">
        <is>
          <t>CHOC RICE POPS 500G ORVALIS</t>
        </is>
      </c>
      <c r="D86" s="6" t="inlineStr">
        <is>
          <t>Chocolate rice pops, 500g</t>
        </is>
      </c>
      <c r="E86" s="6" t="inlineStr">
        <is>
          <t>Orvalis</t>
        </is>
      </c>
      <c r="F86" s="6" t="inlineStr">
        <is>
          <t>Breakfast &amp; Snacks</t>
        </is>
      </c>
      <c r="G86" s="6" t="inlineStr">
        <is>
          <t>Cereals</t>
        </is>
      </c>
      <c r="H86" s="6" t="inlineStr">
        <is>
          <t>yes</t>
        </is>
      </c>
      <c r="I86" s="6" t="inlineStr">
        <is>
          <t>Plant-based non-core</t>
        </is>
      </c>
      <c r="J86" s="6" t="inlineStr">
        <is>
          <t>A</t>
        </is>
      </c>
      <c r="K86" s="6" t="inlineStr">
        <is>
          <t>All ingredients on one side</t>
        </is>
      </c>
      <c r="L86" s="6" t="n">
        <v>4.9</v>
      </c>
      <c r="M86" s="6" t="inlineStr">
        <is>
          <t>Declared by the retailer</t>
        </is>
      </c>
      <c r="N86" s="6" t="n">
        <v>4.9</v>
      </c>
      <c r="O86" s="6" t="n">
        <v>0</v>
      </c>
      <c r="P86" s="6" t="inlineStr">
        <is>
          <t>yes</t>
        </is>
      </c>
      <c r="Q86" s="6" t="inlineStr">
        <is>
          <t>whole</t>
        </is>
      </c>
      <c r="R86" s="6" t="inlineStr">
        <is>
          <t>FG5</t>
        </is>
      </c>
      <c r="S86" s="6" t="inlineStr">
        <is>
          <t>refined grain</t>
        </is>
      </c>
      <c r="T86" s="6" t="inlineStr">
        <is>
          <t>plant</t>
        </is>
      </c>
      <c r="U86" s="6" t="n"/>
      <c r="V86" s="6" t="n"/>
      <c r="W86" s="6" t="n">
        <v>1</v>
      </c>
      <c r="X86" s="6" t="n">
        <v>0.5</v>
      </c>
      <c r="Y86" s="6" t="inlineStr">
        <is>
          <t>declared</t>
        </is>
      </c>
      <c r="Z86" s="8" t="n">
        <v>10756</v>
      </c>
      <c r="AA86" s="9">
        <f>IF(H86="yes",Z86*X86,0)</f>
        <v/>
      </c>
      <c r="AB86" s="9">
        <f>IF(H86="yes",AA86*N(L86)/100,0)</f>
        <v/>
      </c>
      <c r="AC86" s="9">
        <f>IF(H86="yes",AA86*N(N86)/100,0)</f>
        <v/>
      </c>
      <c r="AD86" s="9">
        <f>IF(H86="yes",AA86*N(O86)/100,0)</f>
        <v/>
      </c>
      <c r="AE86" s="10">
        <f>IF(P86="yes",AA86/1000,0)</f>
        <v/>
      </c>
      <c r="AF86" s="10">
        <f>IF(R86="FG2",AE86*W86,AE86)</f>
        <v/>
      </c>
    </row>
    <row r="87">
      <c r="A87" s="6" t="inlineStr">
        <is>
          <t>HM00085</t>
        </is>
      </c>
      <c r="B87" s="7" t="inlineStr">
        <is>
          <t>8712345368036</t>
        </is>
      </c>
      <c r="C87" s="6" t="inlineStr">
        <is>
          <t>HM CHOPPED TOMATOES 400G</t>
        </is>
      </c>
      <c r="D87" s="6" t="inlineStr">
        <is>
          <t>Chopped tomatoes, 400g</t>
        </is>
      </c>
      <c r="E87" s="6" t="inlineStr">
        <is>
          <t>Harbour Market</t>
        </is>
      </c>
      <c r="F87" s="6" t="inlineStr">
        <is>
          <t>Grocery</t>
        </is>
      </c>
      <c r="G87" s="6" t="inlineStr">
        <is>
          <t>Canned Vegetables</t>
        </is>
      </c>
      <c r="H87" s="6" t="inlineStr">
        <is>
          <t>yes</t>
        </is>
      </c>
      <c r="I87" s="6" t="inlineStr">
        <is>
          <t>Plant-based non-core</t>
        </is>
      </c>
      <c r="J87" s="6" t="inlineStr">
        <is>
          <t>B</t>
        </is>
      </c>
      <c r="K87" s="6" t="inlineStr">
        <is>
          <t>Follows the class</t>
        </is>
      </c>
      <c r="L87" s="6" t="n">
        <v>1.1</v>
      </c>
      <c r="M87" s="6" t="inlineStr">
        <is>
          <t>Median of the family</t>
        </is>
      </c>
      <c r="N87" s="6" t="n">
        <v>1.1</v>
      </c>
      <c r="O87" s="6" t="n">
        <v>0</v>
      </c>
      <c r="P87" s="6" t="inlineStr">
        <is>
          <t>yes</t>
        </is>
      </c>
      <c r="Q87" s="6" t="inlineStr">
        <is>
          <t>whole</t>
        </is>
      </c>
      <c r="R87" s="6" t="inlineStr">
        <is>
          <t>FG4</t>
        </is>
      </c>
      <c r="S87" s="6" t="n"/>
      <c r="T87" s="6" t="inlineStr">
        <is>
          <t>plant</t>
        </is>
      </c>
      <c r="U87" s="6" t="n"/>
      <c r="V87" s="6" t="n"/>
      <c r="W87" s="6" t="n">
        <v>1</v>
      </c>
      <c r="X87" s="6" t="n">
        <v>0.4</v>
      </c>
      <c r="Y87" s="6" t="inlineStr">
        <is>
          <t>declared</t>
        </is>
      </c>
      <c r="Z87" s="8" t="n">
        <v>34840</v>
      </c>
      <c r="AA87" s="9">
        <f>IF(H87="yes",Z87*X87,0)</f>
        <v/>
      </c>
      <c r="AB87" s="9">
        <f>IF(H87="yes",AA87*N(L87)/100,0)</f>
        <v/>
      </c>
      <c r="AC87" s="9">
        <f>IF(H87="yes",AA87*N(N87)/100,0)</f>
        <v/>
      </c>
      <c r="AD87" s="9">
        <f>IF(H87="yes",AA87*N(O87)/100,0)</f>
        <v/>
      </c>
      <c r="AE87" s="10">
        <f>IF(P87="yes",AA87/1000,0)</f>
        <v/>
      </c>
      <c r="AF87" s="10">
        <f>IF(R87="FG2",AE87*W87,AE87)</f>
        <v/>
      </c>
    </row>
    <row r="88">
      <c r="A88" s="6" t="inlineStr">
        <is>
          <t>HM00086</t>
        </is>
      </c>
      <c r="B88" s="7" t="inlineStr">
        <is>
          <t>4012345416510</t>
        </is>
      </c>
      <c r="C88" s="6" t="inlineStr">
        <is>
          <t>BRAMBLECOTE SELF RAISING FLOUR 1.5KG</t>
        </is>
      </c>
      <c r="D88" s="6" t="inlineStr">
        <is>
          <t>Self-raising flour, 1.5kg</t>
        </is>
      </c>
      <c r="E88" s="6" t="inlineStr">
        <is>
          <t>Bramblecote</t>
        </is>
      </c>
      <c r="F88" s="6" t="inlineStr">
        <is>
          <t>Grocery</t>
        </is>
      </c>
      <c r="G88" s="6" t="inlineStr">
        <is>
          <t>Baking</t>
        </is>
      </c>
      <c r="H88" s="6" t="inlineStr">
        <is>
          <t>yes</t>
        </is>
      </c>
      <c r="I88" s="6" t="inlineStr">
        <is>
          <t>Plant-based non-core</t>
        </is>
      </c>
      <c r="J88" s="6" t="inlineStr">
        <is>
          <t>A</t>
        </is>
      </c>
      <c r="K88" s="6" t="inlineStr">
        <is>
          <t>All ingredients on one side</t>
        </is>
      </c>
      <c r="L88" s="6" t="n">
        <v>9.699999999999999</v>
      </c>
      <c r="M88" s="6" t="inlineStr">
        <is>
          <t>Median of the family</t>
        </is>
      </c>
      <c r="N88" s="6" t="n">
        <v>9.699999999999999</v>
      </c>
      <c r="O88" s="6" t="n">
        <v>0</v>
      </c>
      <c r="P88" s="6" t="inlineStr">
        <is>
          <t>yes</t>
        </is>
      </c>
      <c r="Q88" s="6" t="inlineStr">
        <is>
          <t>whole</t>
        </is>
      </c>
      <c r="R88" s="6" t="inlineStr">
        <is>
          <t>FG5</t>
        </is>
      </c>
      <c r="S88" s="6" t="inlineStr">
        <is>
          <t>refined grain</t>
        </is>
      </c>
      <c r="T88" s="6" t="inlineStr">
        <is>
          <t>plant</t>
        </is>
      </c>
      <c r="U88" s="6" t="n"/>
      <c r="V88" s="6" t="n"/>
      <c r="W88" s="6" t="n">
        <v>1</v>
      </c>
      <c r="X88" s="6" t="n">
        <v>1.5</v>
      </c>
      <c r="Y88" s="6" t="inlineStr">
        <is>
          <t>declared</t>
        </is>
      </c>
      <c r="Z88" s="8" t="n">
        <v>2940</v>
      </c>
      <c r="AA88" s="9">
        <f>IF(H88="yes",Z88*X88,0)</f>
        <v/>
      </c>
      <c r="AB88" s="9">
        <f>IF(H88="yes",AA88*N(L88)/100,0)</f>
        <v/>
      </c>
      <c r="AC88" s="9">
        <f>IF(H88="yes",AA88*N(N88)/100,0)</f>
        <v/>
      </c>
      <c r="AD88" s="9">
        <f>IF(H88="yes",AA88*N(O88)/100,0)</f>
        <v/>
      </c>
      <c r="AE88" s="10">
        <f>IF(P88="yes",AA88/1000,0)</f>
        <v/>
      </c>
      <c r="AF88" s="10">
        <f>IF(R88="FG2",AE88*W88,AE88)</f>
        <v/>
      </c>
    </row>
    <row r="89">
      <c r="A89" s="6" t="inlineStr">
        <is>
          <t>HM00087</t>
        </is>
      </c>
      <c r="B89" s="7" t="inlineStr">
        <is>
          <t>8712345691684</t>
        </is>
      </c>
      <c r="C89" s="6" t="inlineStr">
        <is>
          <t>ORVALIS BASMATI RICE 1KG</t>
        </is>
      </c>
      <c r="D89" s="6" t="inlineStr">
        <is>
          <t>Basmati rice, 1kg</t>
        </is>
      </c>
      <c r="E89" s="6" t="inlineStr">
        <is>
          <t>Orvalis</t>
        </is>
      </c>
      <c r="F89" s="6" t="inlineStr">
        <is>
          <t>Grocery</t>
        </is>
      </c>
      <c r="G89" s="6" t="inlineStr">
        <is>
          <t>Rice &amp; Grains</t>
        </is>
      </c>
      <c r="H89" s="6" t="inlineStr">
        <is>
          <t>yes</t>
        </is>
      </c>
      <c r="I89" s="6" t="inlineStr">
        <is>
          <t>Plant-based non-core</t>
        </is>
      </c>
      <c r="J89" s="6" t="inlineStr">
        <is>
          <t>A</t>
        </is>
      </c>
      <c r="K89" s="6" t="inlineStr">
        <is>
          <t>All ingredients on one side</t>
        </is>
      </c>
      <c r="L89" s="6" t="n">
        <v>7.4</v>
      </c>
      <c r="M89" s="6" t="inlineStr">
        <is>
          <t>Declared by the retailer</t>
        </is>
      </c>
      <c r="N89" s="6" t="n">
        <v>7.4</v>
      </c>
      <c r="O89" s="6" t="n">
        <v>0</v>
      </c>
      <c r="P89" s="6" t="inlineStr">
        <is>
          <t>yes</t>
        </is>
      </c>
      <c r="Q89" s="6" t="inlineStr">
        <is>
          <t>whole</t>
        </is>
      </c>
      <c r="R89" s="6" t="inlineStr">
        <is>
          <t>FG5</t>
        </is>
      </c>
      <c r="S89" s="6" t="inlineStr">
        <is>
          <t>refined grain</t>
        </is>
      </c>
      <c r="T89" s="6" t="inlineStr">
        <is>
          <t>plant</t>
        </is>
      </c>
      <c r="U89" s="6" t="n"/>
      <c r="V89" s="6" t="n"/>
      <c r="W89" s="6" t="n">
        <v>1</v>
      </c>
      <c r="X89" s="6" t="n">
        <v>1</v>
      </c>
      <c r="Y89" s="6" t="inlineStr">
        <is>
          <t>declared</t>
        </is>
      </c>
      <c r="Z89" s="8" t="n">
        <v>47208</v>
      </c>
      <c r="AA89" s="9">
        <f>IF(H89="yes",Z89*X89,0)</f>
        <v/>
      </c>
      <c r="AB89" s="9">
        <f>IF(H89="yes",AA89*N(L89)/100,0)</f>
        <v/>
      </c>
      <c r="AC89" s="9">
        <f>IF(H89="yes",AA89*N(N89)/100,0)</f>
        <v/>
      </c>
      <c r="AD89" s="9">
        <f>IF(H89="yes",AA89*N(O89)/100,0)</f>
        <v/>
      </c>
      <c r="AE89" s="10">
        <f>IF(P89="yes",AA89/1000,0)</f>
        <v/>
      </c>
      <c r="AF89" s="10">
        <f>IF(R89="FG2",AE89*W89,AE89)</f>
        <v/>
      </c>
    </row>
    <row r="90">
      <c r="A90" s="6" t="inlineStr">
        <is>
          <t>HM00088</t>
        </is>
      </c>
      <c r="B90" s="7" t="inlineStr">
        <is>
          <t>4012345547153</t>
        </is>
      </c>
      <c r="C90" s="6" t="inlineStr">
        <is>
          <t>HM APPLE CIDER 4X440ML</t>
        </is>
      </c>
      <c r="D90" s="6" t="inlineStr">
        <is>
          <t>Apple cider, 4x440ml</t>
        </is>
      </c>
      <c r="E90" s="6" t="inlineStr">
        <is>
          <t>Harbour Market</t>
        </is>
      </c>
      <c r="F90" s="6" t="inlineStr">
        <is>
          <t>Beer, Wine &amp; Spirits</t>
        </is>
      </c>
      <c r="G90" s="6" t="inlineStr">
        <is>
          <t>Beer &amp; Cider</t>
        </is>
      </c>
      <c r="H90" s="6" t="inlineStr">
        <is>
          <t>yes</t>
        </is>
      </c>
      <c r="I90" s="6" t="inlineStr">
        <is>
          <t>Plant-based non-core</t>
        </is>
      </c>
      <c r="J90" s="6" t="inlineStr">
        <is>
          <t>B</t>
        </is>
      </c>
      <c r="K90" s="6" t="inlineStr">
        <is>
          <t>Follows the class</t>
        </is>
      </c>
      <c r="L90" s="6" t="n">
        <v>0</v>
      </c>
      <c r="M90" s="6" t="inlineStr">
        <is>
          <t>Declared by the retailer</t>
        </is>
      </c>
      <c r="N90" s="6" t="n">
        <v>0</v>
      </c>
      <c r="O90" s="6" t="n">
        <v>0</v>
      </c>
      <c r="P90" s="6" t="inlineStr">
        <is>
          <t>no</t>
        </is>
      </c>
      <c r="Q90" s="6" t="n"/>
      <c r="R90" s="6" t="n"/>
      <c r="S90" s="6" t="n"/>
      <c r="T90" s="6" t="n"/>
      <c r="U90" s="6" t="n"/>
      <c r="V90" s="6" t="inlineStr">
        <is>
          <t>alcohol</t>
        </is>
      </c>
      <c r="W90" s="6" t="n">
        <v>1</v>
      </c>
      <c r="X90" s="6" t="n">
        <v>1.76</v>
      </c>
      <c r="Y90" s="6" t="inlineStr">
        <is>
          <t>declared</t>
        </is>
      </c>
      <c r="Z90" s="8" t="n">
        <v>13789</v>
      </c>
      <c r="AA90" s="9">
        <f>IF(H90="yes",Z90*X90,0)</f>
        <v/>
      </c>
      <c r="AB90" s="9">
        <f>IF(H90="yes",AA90*N(L90)/100,0)</f>
        <v/>
      </c>
      <c r="AC90" s="9">
        <f>IF(H90="yes",AA90*N(N90)/100,0)</f>
        <v/>
      </c>
      <c r="AD90" s="9">
        <f>IF(H90="yes",AA90*N(O90)/100,0)</f>
        <v/>
      </c>
      <c r="AE90" s="10">
        <f>IF(P90="yes",AA90/1000,0)</f>
        <v/>
      </c>
      <c r="AF90" s="10">
        <f>IF(R90="FG2",AE90*W90,AE90)</f>
        <v/>
      </c>
    </row>
    <row r="91">
      <c r="A91" s="6" t="inlineStr">
        <is>
          <t>HM00089</t>
        </is>
      </c>
      <c r="B91" s="7" t="inlineStr">
        <is>
          <t>8712345531966</t>
        </is>
      </c>
      <c r="C91" s="6" t="inlineStr">
        <is>
          <t>HM CONFERENCE PEARS 500G</t>
        </is>
      </c>
      <c r="D91" s="6" t="inlineStr">
        <is>
          <t>Conference pears, 500g</t>
        </is>
      </c>
      <c r="E91" s="6" t="inlineStr">
        <is>
          <t>Harbour Market</t>
        </is>
      </c>
      <c r="F91" s="6" t="inlineStr">
        <is>
          <t>Fruit &amp; Vegetables</t>
        </is>
      </c>
      <c r="G91" s="6" t="inlineStr">
        <is>
          <t>Fruit</t>
        </is>
      </c>
      <c r="H91" s="6" t="inlineStr">
        <is>
          <t>yes</t>
        </is>
      </c>
      <c r="I91" s="6" t="inlineStr">
        <is>
          <t>Plant-based non-core</t>
        </is>
      </c>
      <c r="J91" s="6" t="inlineStr">
        <is>
          <t>B</t>
        </is>
      </c>
      <c r="K91" s="6" t="inlineStr">
        <is>
          <t>Follows the class</t>
        </is>
      </c>
      <c r="L91" s="6" t="n">
        <v>0.39</v>
      </c>
      <c r="M91" s="6" t="inlineStr">
        <is>
          <t>Altera reference base</t>
        </is>
      </c>
      <c r="N91" s="6" t="n">
        <v>0.39</v>
      </c>
      <c r="O91" s="6" t="n">
        <v>0</v>
      </c>
      <c r="P91" s="6" t="inlineStr">
        <is>
          <t>yes</t>
        </is>
      </c>
      <c r="Q91" s="6" t="inlineStr">
        <is>
          <t>whole</t>
        </is>
      </c>
      <c r="R91" s="6" t="inlineStr">
        <is>
          <t>FG4</t>
        </is>
      </c>
      <c r="S91" s="6" t="n"/>
      <c r="T91" s="6" t="inlineStr">
        <is>
          <t>plant</t>
        </is>
      </c>
      <c r="U91" s="6" t="n"/>
      <c r="V91" s="6" t="n"/>
      <c r="W91" s="6" t="n">
        <v>1</v>
      </c>
      <c r="X91" s="6" t="n">
        <v>0.5</v>
      </c>
      <c r="Y91" s="6" t="inlineStr">
        <is>
          <t>declared</t>
        </is>
      </c>
      <c r="Z91" s="8" t="n">
        <v>98649</v>
      </c>
      <c r="AA91" s="9">
        <f>IF(H91="yes",Z91*X91,0)</f>
        <v/>
      </c>
      <c r="AB91" s="9">
        <f>IF(H91="yes",AA91*N(L91)/100,0)</f>
        <v/>
      </c>
      <c r="AC91" s="9">
        <f>IF(H91="yes",AA91*N(N91)/100,0)</f>
        <v/>
      </c>
      <c r="AD91" s="9">
        <f>IF(H91="yes",AA91*N(O91)/100,0)</f>
        <v/>
      </c>
      <c r="AE91" s="10">
        <f>IF(P91="yes",AA91/1000,0)</f>
        <v/>
      </c>
      <c r="AF91" s="10">
        <f>IF(R91="FG2",AE91*W91,AE91)</f>
        <v/>
      </c>
    </row>
    <row r="92">
      <c r="A92" s="6" t="inlineStr">
        <is>
          <t>HM00090</t>
        </is>
      </c>
      <c r="B92" s="7" t="inlineStr">
        <is>
          <t>3012345835619</t>
        </is>
      </c>
      <c r="C92" s="6" t="inlineStr">
        <is>
          <t>COFFEE BEANS 227G VELOCE</t>
        </is>
      </c>
      <c r="D92" s="6" t="inlineStr">
        <is>
          <t>Whole coffee beans, 227g</t>
        </is>
      </c>
      <c r="E92" s="6" t="inlineStr">
        <is>
          <t>Veloce</t>
        </is>
      </c>
      <c r="F92" s="6" t="inlineStr">
        <is>
          <t>Grocery</t>
        </is>
      </c>
      <c r="G92" s="6" t="inlineStr">
        <is>
          <t>Tea &amp; Coffee</t>
        </is>
      </c>
      <c r="H92" s="6" t="inlineStr">
        <is>
          <t>yes</t>
        </is>
      </c>
      <c r="I92" s="6" t="inlineStr">
        <is>
          <t>Plant-based non-core</t>
        </is>
      </c>
      <c r="J92" s="6" t="inlineStr">
        <is>
          <t>A</t>
        </is>
      </c>
      <c r="K92" s="6" t="inlineStr">
        <is>
          <t>All ingredients on one side</t>
        </is>
      </c>
      <c r="L92" s="6" t="n">
        <v>13</v>
      </c>
      <c r="M92" s="6" t="inlineStr">
        <is>
          <t>Name match (CIQUAL / NEVO)</t>
        </is>
      </c>
      <c r="N92" s="6" t="n">
        <v>13</v>
      </c>
      <c r="O92" s="6" t="n">
        <v>0</v>
      </c>
      <c r="P92" s="6" t="inlineStr">
        <is>
          <t>no</t>
        </is>
      </c>
      <c r="Q92" s="6" t="n"/>
      <c r="R92" s="6" t="n"/>
      <c r="S92" s="6" t="n"/>
      <c r="T92" s="6" t="n"/>
      <c r="U92" s="6" t="n"/>
      <c r="V92" s="6" t="inlineStr">
        <is>
          <t>coffee tea</t>
        </is>
      </c>
      <c r="W92" s="6" t="n">
        <v>1</v>
      </c>
      <c r="X92" s="6" t="n">
        <v>0.227</v>
      </c>
      <c r="Y92" s="6" t="inlineStr">
        <is>
          <t>declared</t>
        </is>
      </c>
      <c r="Z92" s="8" t="n">
        <v>9849</v>
      </c>
      <c r="AA92" s="9">
        <f>IF(H92="yes",Z92*X92,0)</f>
        <v/>
      </c>
      <c r="AB92" s="9">
        <f>IF(H92="yes",AA92*N(L92)/100,0)</f>
        <v/>
      </c>
      <c r="AC92" s="9">
        <f>IF(H92="yes",AA92*N(N92)/100,0)</f>
        <v/>
      </c>
      <c r="AD92" s="9">
        <f>IF(H92="yes",AA92*N(O92)/100,0)</f>
        <v/>
      </c>
      <c r="AE92" s="10">
        <f>IF(P92="yes",AA92/1000,0)</f>
        <v/>
      </c>
      <c r="AF92" s="10">
        <f>IF(R92="FG2",AE92*W92,AE92)</f>
        <v/>
      </c>
    </row>
    <row r="93">
      <c r="A93" s="6" t="inlineStr">
        <is>
          <t>HM00091</t>
        </is>
      </c>
      <c r="B93" s="7" t="inlineStr">
        <is>
          <t>5012345712765</t>
        </is>
      </c>
      <c r="C93" s="6" t="inlineStr">
        <is>
          <t>RED LEICESTER 800G ALDERWICK</t>
        </is>
      </c>
      <c r="D93" s="6" t="inlineStr">
        <is>
          <t>Red Leicester, 800g</t>
        </is>
      </c>
      <c r="E93" s="6" t="inlineStr">
        <is>
          <t>Alderwick</t>
        </is>
      </c>
      <c r="F93" s="6" t="inlineStr">
        <is>
          <t>Cheese</t>
        </is>
      </c>
      <c r="G93" s="6" t="inlineStr">
        <is>
          <t>Hard Cheese</t>
        </is>
      </c>
      <c r="H93" s="6" t="inlineStr">
        <is>
          <t>yes</t>
        </is>
      </c>
      <c r="I93" s="6" t="inlineStr">
        <is>
          <t>Animal core</t>
        </is>
      </c>
      <c r="J93" s="6" t="inlineStr">
        <is>
          <t>B</t>
        </is>
      </c>
      <c r="K93" s="6" t="inlineStr">
        <is>
          <t>Follows the class</t>
        </is>
      </c>
      <c r="L93" s="6" t="n">
        <v>23.7</v>
      </c>
      <c r="M93" s="6" t="inlineStr">
        <is>
          <t>Declared by the retailer</t>
        </is>
      </c>
      <c r="N93" s="6" t="n">
        <v>0</v>
      </c>
      <c r="O93" s="6" t="n">
        <v>23.7</v>
      </c>
      <c r="P93" s="6" t="inlineStr">
        <is>
          <t>yes</t>
        </is>
      </c>
      <c r="Q93" s="6" t="inlineStr">
        <is>
          <t>whole</t>
        </is>
      </c>
      <c r="R93" s="6" t="inlineStr">
        <is>
          <t>FG2</t>
        </is>
      </c>
      <c r="S93" s="6" t="inlineStr">
        <is>
          <t>dairy</t>
        </is>
      </c>
      <c r="T93" s="6" t="inlineStr">
        <is>
          <t>animal</t>
        </is>
      </c>
      <c r="U93" s="6" t="n"/>
      <c r="V93" s="6" t="n"/>
      <c r="W93" s="6" t="n">
        <v>10</v>
      </c>
      <c r="X93" s="6" t="n">
        <v>0.8</v>
      </c>
      <c r="Y93" s="6" t="inlineStr">
        <is>
          <t>declared</t>
        </is>
      </c>
      <c r="Z93" s="8" t="n">
        <v>11783</v>
      </c>
      <c r="AA93" s="9">
        <f>IF(H93="yes",Z93*X93,0)</f>
        <v/>
      </c>
      <c r="AB93" s="9">
        <f>IF(H93="yes",AA93*N(L93)/100,0)</f>
        <v/>
      </c>
      <c r="AC93" s="9">
        <f>IF(H93="yes",AA93*N(N93)/100,0)</f>
        <v/>
      </c>
      <c r="AD93" s="9">
        <f>IF(H93="yes",AA93*N(O93)/100,0)</f>
        <v/>
      </c>
      <c r="AE93" s="10">
        <f>IF(P93="yes",AA93/1000,0)</f>
        <v/>
      </c>
      <c r="AF93" s="10">
        <f>IF(R93="FG2",AE93*W93,AE93)</f>
        <v/>
      </c>
    </row>
    <row r="94">
      <c r="A94" s="6" t="inlineStr">
        <is>
          <t>HM00092</t>
        </is>
      </c>
      <c r="B94" s="7" t="inlineStr">
        <is>
          <t>8712345470241</t>
        </is>
      </c>
      <c r="C94" s="6" t="inlineStr">
        <is>
          <t>FJELDA SKMD MILK 1L</t>
        </is>
      </c>
      <c r="D94" s="6" t="inlineStr">
        <is>
          <t>Skimmed milk, 1l</t>
        </is>
      </c>
      <c r="E94" s="6" t="inlineStr">
        <is>
          <t>Fjelda</t>
        </is>
      </c>
      <c r="F94" s="6" t="inlineStr">
        <is>
          <t>Dairy &amp; Eggs</t>
        </is>
      </c>
      <c r="G94" s="6" t="inlineStr">
        <is>
          <t>Milk</t>
        </is>
      </c>
      <c r="H94" s="6" t="inlineStr">
        <is>
          <t>yes</t>
        </is>
      </c>
      <c r="I94" s="6" t="inlineStr">
        <is>
          <t>Animal core</t>
        </is>
      </c>
      <c r="J94" s="6" t="inlineStr">
        <is>
          <t>A</t>
        </is>
      </c>
      <c r="K94" s="6" t="inlineStr">
        <is>
          <t>All ingredients on one side</t>
        </is>
      </c>
      <c r="L94" s="6" t="n">
        <v>3.5</v>
      </c>
      <c r="M94" s="6" t="inlineStr">
        <is>
          <t>Declared by the retailer</t>
        </is>
      </c>
      <c r="N94" s="6" t="n">
        <v>0</v>
      </c>
      <c r="O94" s="6" t="n">
        <v>3.5</v>
      </c>
      <c r="P94" s="6" t="inlineStr">
        <is>
          <t>yes</t>
        </is>
      </c>
      <c r="Q94" s="6" t="inlineStr">
        <is>
          <t>whole</t>
        </is>
      </c>
      <c r="R94" s="6" t="inlineStr">
        <is>
          <t>FG2</t>
        </is>
      </c>
      <c r="S94" s="6" t="inlineStr">
        <is>
          <t>dairy</t>
        </is>
      </c>
      <c r="T94" s="6" t="inlineStr">
        <is>
          <t>animal</t>
        </is>
      </c>
      <c r="U94" s="6" t="n"/>
      <c r="V94" s="6" t="n"/>
      <c r="W94" s="6" t="n">
        <v>1</v>
      </c>
      <c r="X94" s="6" t="n">
        <v>1.03</v>
      </c>
      <c r="Y94" s="6" t="inlineStr">
        <is>
          <t>declared</t>
        </is>
      </c>
      <c r="Z94" s="8" t="n">
        <v>100518</v>
      </c>
      <c r="AA94" s="9">
        <f>IF(H94="yes",Z94*X94,0)</f>
        <v/>
      </c>
      <c r="AB94" s="9">
        <f>IF(H94="yes",AA94*N(L94)/100,0)</f>
        <v/>
      </c>
      <c r="AC94" s="9">
        <f>IF(H94="yes",AA94*N(N94)/100,0)</f>
        <v/>
      </c>
      <c r="AD94" s="9">
        <f>IF(H94="yes",AA94*N(O94)/100,0)</f>
        <v/>
      </c>
      <c r="AE94" s="10">
        <f>IF(P94="yes",AA94/1000,0)</f>
        <v/>
      </c>
      <c r="AF94" s="10">
        <f>IF(R94="FG2",AE94*W94,AE94)</f>
        <v/>
      </c>
    </row>
    <row r="95">
      <c r="A95" s="6" t="inlineStr">
        <is>
          <t>HM00093</t>
        </is>
      </c>
      <c r="B95" s="7" t="inlineStr">
        <is>
          <t>3012345684590</t>
        </is>
      </c>
      <c r="C95" s="6" t="inlineStr">
        <is>
          <t>SOLVANE SMKD TOFU 280G</t>
        </is>
      </c>
      <c r="D95" s="6" t="inlineStr">
        <is>
          <t>Smoked tofu, 280g</t>
        </is>
      </c>
      <c r="E95" s="6" t="inlineStr">
        <is>
          <t>Solvane</t>
        </is>
      </c>
      <c r="F95" s="6" t="inlineStr">
        <is>
          <t>Plant-Based</t>
        </is>
      </c>
      <c r="G95" s="6" t="inlineStr">
        <is>
          <t>Tofu &amp; Tempeh</t>
        </is>
      </c>
      <c r="H95" s="6" t="inlineStr">
        <is>
          <t>yes</t>
        </is>
      </c>
      <c r="I95" s="6" t="inlineStr">
        <is>
          <t>Plant-based core</t>
        </is>
      </c>
      <c r="J95" s="6" t="inlineStr">
        <is>
          <t>A</t>
        </is>
      </c>
      <c r="K95" s="6" t="inlineStr">
        <is>
          <t>All ingredients on one side</t>
        </is>
      </c>
      <c r="L95" s="6" t="n">
        <v>13</v>
      </c>
      <c r="M95" s="6" t="inlineStr">
        <is>
          <t>Declared by the retailer</t>
        </is>
      </c>
      <c r="N95" s="6" t="n">
        <v>13</v>
      </c>
      <c r="O95" s="6" t="n">
        <v>0</v>
      </c>
      <c r="P95" s="6" t="inlineStr">
        <is>
          <t>yes</t>
        </is>
      </c>
      <c r="Q95" s="6" t="inlineStr">
        <is>
          <t>whole</t>
        </is>
      </c>
      <c r="R95" s="6" t="inlineStr">
        <is>
          <t>FG1</t>
        </is>
      </c>
      <c r="S95" s="6" t="inlineStr">
        <is>
          <t>tofu tempeh seitan</t>
        </is>
      </c>
      <c r="T95" s="6" t="inlineStr">
        <is>
          <t>plant</t>
        </is>
      </c>
      <c r="U95" s="6" t="n"/>
      <c r="V95" s="6" t="n"/>
      <c r="W95" s="6" t="n">
        <v>1</v>
      </c>
      <c r="X95" s="6" t="n">
        <v>0.28</v>
      </c>
      <c r="Y95" s="6" t="inlineStr">
        <is>
          <t>declared</t>
        </is>
      </c>
      <c r="Z95" s="8" t="n">
        <v>25322</v>
      </c>
      <c r="AA95" s="9">
        <f>IF(H95="yes",Z95*X95,0)</f>
        <v/>
      </c>
      <c r="AB95" s="9">
        <f>IF(H95="yes",AA95*N(L95)/100,0)</f>
        <v/>
      </c>
      <c r="AC95" s="9">
        <f>IF(H95="yes",AA95*N(N95)/100,0)</f>
        <v/>
      </c>
      <c r="AD95" s="9">
        <f>IF(H95="yes",AA95*N(O95)/100,0)</f>
        <v/>
      </c>
      <c r="AE95" s="10">
        <f>IF(P95="yes",AA95/1000,0)</f>
        <v/>
      </c>
      <c r="AF95" s="10">
        <f>IF(R95="FG2",AE95*W95,AE95)</f>
        <v/>
      </c>
    </row>
    <row r="96">
      <c r="A96" s="6" t="inlineStr">
        <is>
          <t>HM00094</t>
        </is>
      </c>
      <c r="B96" s="7" t="inlineStr">
        <is>
          <t>4012345192483</t>
        </is>
      </c>
      <c r="C96" s="6" t="inlineStr">
        <is>
          <t>SUNFLOWER SEEDS 150G PENROCK</t>
        </is>
      </c>
      <c r="D96" s="6" t="inlineStr">
        <is>
          <t>Sunflower seeds, 150g</t>
        </is>
      </c>
      <c r="E96" s="6" t="inlineStr">
        <is>
          <t>Penrock</t>
        </is>
      </c>
      <c r="F96" s="6" t="inlineStr">
        <is>
          <t>Grocery</t>
        </is>
      </c>
      <c r="G96" s="6" t="inlineStr">
        <is>
          <t>Nuts &amp; Seeds</t>
        </is>
      </c>
      <c r="H96" s="6" t="inlineStr">
        <is>
          <t>yes</t>
        </is>
      </c>
      <c r="I96" s="6" t="inlineStr">
        <is>
          <t>Plant-based core</t>
        </is>
      </c>
      <c r="J96" s="6" t="inlineStr">
        <is>
          <t>A</t>
        </is>
      </c>
      <c r="K96" s="6" t="inlineStr">
        <is>
          <t>All ingredients on one side</t>
        </is>
      </c>
      <c r="L96" s="6" t="n">
        <v>21.9</v>
      </c>
      <c r="M96" s="6" t="inlineStr">
        <is>
          <t>Declared by the retailer</t>
        </is>
      </c>
      <c r="N96" s="6" t="n">
        <v>21.9</v>
      </c>
      <c r="O96" s="6" t="n">
        <v>0</v>
      </c>
      <c r="P96" s="6" t="inlineStr">
        <is>
          <t>yes</t>
        </is>
      </c>
      <c r="Q96" s="6" t="inlineStr">
        <is>
          <t>whole</t>
        </is>
      </c>
      <c r="R96" s="6" t="inlineStr">
        <is>
          <t>FG1</t>
        </is>
      </c>
      <c r="S96" s="6" t="inlineStr">
        <is>
          <t>seeds</t>
        </is>
      </c>
      <c r="T96" s="6" t="inlineStr">
        <is>
          <t>plant</t>
        </is>
      </c>
      <c r="U96" s="6" t="n"/>
      <c r="V96" s="6" t="n"/>
      <c r="W96" s="6" t="n">
        <v>1</v>
      </c>
      <c r="X96" s="6" t="n">
        <v>0.15</v>
      </c>
      <c r="Y96" s="6" t="inlineStr">
        <is>
          <t>declared</t>
        </is>
      </c>
      <c r="Z96" s="8" t="n">
        <v>23325</v>
      </c>
      <c r="AA96" s="9">
        <f>IF(H96="yes",Z96*X96,0)</f>
        <v/>
      </c>
      <c r="AB96" s="9">
        <f>IF(H96="yes",AA96*N(L96)/100,0)</f>
        <v/>
      </c>
      <c r="AC96" s="9">
        <f>IF(H96="yes",AA96*N(N96)/100,0)</f>
        <v/>
      </c>
      <c r="AD96" s="9">
        <f>IF(H96="yes",AA96*N(O96)/100,0)</f>
        <v/>
      </c>
      <c r="AE96" s="10">
        <f>IF(P96="yes",AA96/1000,0)</f>
        <v/>
      </c>
      <c r="AF96" s="10">
        <f>IF(R96="FG2",AE96*W96,AE96)</f>
        <v/>
      </c>
    </row>
    <row r="97">
      <c r="A97" s="6" t="inlineStr">
        <is>
          <t>HM00095</t>
        </is>
      </c>
      <c r="B97" s="7" t="inlineStr">
        <is>
          <t>8712345253837</t>
        </is>
      </c>
      <c r="C97" s="6" t="inlineStr">
        <is>
          <t>HM TKY MINCE 300G</t>
        </is>
      </c>
      <c r="D97" s="6" t="inlineStr">
        <is>
          <t>Turkey mince, 300g</t>
        </is>
      </c>
      <c r="E97" s="6" t="inlineStr">
        <is>
          <t>Harbour Market</t>
        </is>
      </c>
      <c r="F97" s="6" t="inlineStr">
        <is>
          <t>Fresh Meat &amp; Poultry</t>
        </is>
      </c>
      <c r="G97" s="6" t="inlineStr">
        <is>
          <t>Turkey &amp; Lamb</t>
        </is>
      </c>
      <c r="H97" s="6" t="inlineStr">
        <is>
          <t>yes</t>
        </is>
      </c>
      <c r="I97" s="6" t="inlineStr">
        <is>
          <t>Animal core</t>
        </is>
      </c>
      <c r="J97" s="6" t="inlineStr">
        <is>
          <t>B</t>
        </is>
      </c>
      <c r="K97" s="6" t="inlineStr">
        <is>
          <t>Follows the class</t>
        </is>
      </c>
      <c r="L97" s="6" t="n">
        <v>21.4</v>
      </c>
      <c r="M97" s="6" t="inlineStr">
        <is>
          <t>Declared by the retailer</t>
        </is>
      </c>
      <c r="N97" s="6" t="n">
        <v>0</v>
      </c>
      <c r="O97" s="6" t="n">
        <v>21.4</v>
      </c>
      <c r="P97" s="6" t="inlineStr">
        <is>
          <t>yes</t>
        </is>
      </c>
      <c r="Q97" s="6" t="inlineStr">
        <is>
          <t>whole</t>
        </is>
      </c>
      <c r="R97" s="6" t="inlineStr">
        <is>
          <t>FG1</t>
        </is>
      </c>
      <c r="S97" s="6" t="inlineStr">
        <is>
          <t>poultry</t>
        </is>
      </c>
      <c r="T97" s="6" t="inlineStr">
        <is>
          <t>animal</t>
        </is>
      </c>
      <c r="U97" s="6" t="n"/>
      <c r="V97" s="6" t="n"/>
      <c r="W97" s="6" t="n">
        <v>1</v>
      </c>
      <c r="X97" s="6" t="n">
        <v>0.3</v>
      </c>
      <c r="Y97" s="6" t="inlineStr">
        <is>
          <t>declared</t>
        </is>
      </c>
      <c r="Z97" s="8" t="n">
        <v>9551</v>
      </c>
      <c r="AA97" s="9">
        <f>IF(H97="yes",Z97*X97,0)</f>
        <v/>
      </c>
      <c r="AB97" s="9">
        <f>IF(H97="yes",AA97*N(L97)/100,0)</f>
        <v/>
      </c>
      <c r="AC97" s="9">
        <f>IF(H97="yes",AA97*N(N97)/100,0)</f>
        <v/>
      </c>
      <c r="AD97" s="9">
        <f>IF(H97="yes",AA97*N(O97)/100,0)</f>
        <v/>
      </c>
      <c r="AE97" s="10">
        <f>IF(P97="yes",AA97/1000,0)</f>
        <v/>
      </c>
      <c r="AF97" s="10">
        <f>IF(R97="FG2",AE97*W97,AE97)</f>
        <v/>
      </c>
    </row>
    <row r="98">
      <c r="A98" s="6" t="inlineStr">
        <is>
          <t>HM00096</t>
        </is>
      </c>
      <c r="B98" s="7" t="inlineStr">
        <is>
          <t>5012345362823</t>
        </is>
      </c>
      <c r="C98" s="6" t="inlineStr">
        <is>
          <t>HM SMOOTH PEANUT BTR 1KG</t>
        </is>
      </c>
      <c r="D98" s="6" t="inlineStr">
        <is>
          <t>Smooth peanut butter, 1kg</t>
        </is>
      </c>
      <c r="E98" s="6" t="inlineStr">
        <is>
          <t>Harbour Market</t>
        </is>
      </c>
      <c r="F98" s="6" t="inlineStr">
        <is>
          <t>Grocery</t>
        </is>
      </c>
      <c r="G98" s="6" t="inlineStr">
        <is>
          <t>Spreads</t>
        </is>
      </c>
      <c r="H98" s="6" t="inlineStr">
        <is>
          <t>yes</t>
        </is>
      </c>
      <c r="I98" s="6" t="inlineStr">
        <is>
          <t>Plant-based core</t>
        </is>
      </c>
      <c r="J98" s="6" t="inlineStr">
        <is>
          <t>B</t>
        </is>
      </c>
      <c r="K98" s="6" t="inlineStr">
        <is>
          <t>Follows the class</t>
        </is>
      </c>
      <c r="L98" s="6" t="n">
        <v>25.8</v>
      </c>
      <c r="M98" s="6" t="inlineStr">
        <is>
          <t>Name match (CIQUAL / NEVO)</t>
        </is>
      </c>
      <c r="N98" s="6" t="n">
        <v>25.8</v>
      </c>
      <c r="O98" s="6" t="n">
        <v>0</v>
      </c>
      <c r="P98" s="6" t="inlineStr">
        <is>
          <t>yes</t>
        </is>
      </c>
      <c r="Q98" s="6" t="inlineStr">
        <is>
          <t>whole</t>
        </is>
      </c>
      <c r="R98" s="6" t="inlineStr">
        <is>
          <t>FG1</t>
        </is>
      </c>
      <c r="S98" s="6" t="inlineStr">
        <is>
          <t>nuts</t>
        </is>
      </c>
      <c r="T98" s="6" t="inlineStr">
        <is>
          <t>plant</t>
        </is>
      </c>
      <c r="U98" s="6" t="n"/>
      <c r="V98" s="6" t="n"/>
      <c r="W98" s="6" t="n">
        <v>1</v>
      </c>
      <c r="X98" s="6" t="n">
        <v>1</v>
      </c>
      <c r="Y98" s="6" t="inlineStr">
        <is>
          <t>declared</t>
        </is>
      </c>
      <c r="Z98" s="8" t="n">
        <v>3606</v>
      </c>
      <c r="AA98" s="9">
        <f>IF(H98="yes",Z98*X98,0)</f>
        <v/>
      </c>
      <c r="AB98" s="9">
        <f>IF(H98="yes",AA98*N(L98)/100,0)</f>
        <v/>
      </c>
      <c r="AC98" s="9">
        <f>IF(H98="yes",AA98*N(N98)/100,0)</f>
        <v/>
      </c>
      <c r="AD98" s="9">
        <f>IF(H98="yes",AA98*N(O98)/100,0)</f>
        <v/>
      </c>
      <c r="AE98" s="10">
        <f>IF(P98="yes",AA98/1000,0)</f>
        <v/>
      </c>
      <c r="AF98" s="10">
        <f>IF(R98="FG2",AE98*W98,AE98)</f>
        <v/>
      </c>
    </row>
    <row r="99">
      <c r="A99" s="6" t="inlineStr">
        <is>
          <t>HM00097</t>
        </is>
      </c>
      <c r="B99" s="7" t="inlineStr">
        <is>
          <t>8712345157722</t>
        </is>
      </c>
      <c r="C99" s="6" t="inlineStr">
        <is>
          <t>TARROW CHKN DRUMSTICKS 1KG</t>
        </is>
      </c>
      <c r="D99" s="6" t="inlineStr">
        <is>
          <t>Chicken drumsticks, 1kg</t>
        </is>
      </c>
      <c r="E99" s="6" t="inlineStr">
        <is>
          <t>Tarrow Farm</t>
        </is>
      </c>
      <c r="F99" s="6" t="inlineStr">
        <is>
          <t>Fresh Meat &amp; Poultry</t>
        </is>
      </c>
      <c r="G99" s="6" t="inlineStr">
        <is>
          <t>Poultry</t>
        </is>
      </c>
      <c r="H99" s="6" t="inlineStr">
        <is>
          <t>yes</t>
        </is>
      </c>
      <c r="I99" s="6" t="inlineStr">
        <is>
          <t>Animal core</t>
        </is>
      </c>
      <c r="J99" s="6" t="inlineStr">
        <is>
          <t>A</t>
        </is>
      </c>
      <c r="K99" s="6" t="inlineStr">
        <is>
          <t>All ingredients on one side</t>
        </is>
      </c>
      <c r="L99" s="6" t="n">
        <v>19.8</v>
      </c>
      <c r="M99" s="6" t="inlineStr">
        <is>
          <t>Altera reference base</t>
        </is>
      </c>
      <c r="N99" s="6" t="n">
        <v>0</v>
      </c>
      <c r="O99" s="6" t="n">
        <v>19.8</v>
      </c>
      <c r="P99" s="6" t="inlineStr">
        <is>
          <t>yes</t>
        </is>
      </c>
      <c r="Q99" s="6" t="inlineStr">
        <is>
          <t>whole</t>
        </is>
      </c>
      <c r="R99" s="6" t="inlineStr">
        <is>
          <t>FG1</t>
        </is>
      </c>
      <c r="S99" s="6" t="inlineStr">
        <is>
          <t>poultry</t>
        </is>
      </c>
      <c r="T99" s="6" t="inlineStr">
        <is>
          <t>animal</t>
        </is>
      </c>
      <c r="U99" s="6" t="n"/>
      <c r="V99" s="6" t="n"/>
      <c r="W99" s="6" t="n">
        <v>1</v>
      </c>
      <c r="X99" s="6" t="n">
        <v>1</v>
      </c>
      <c r="Y99" s="6" t="inlineStr">
        <is>
          <t>declared</t>
        </is>
      </c>
      <c r="Z99" s="8" t="n">
        <v>21565</v>
      </c>
      <c r="AA99" s="9">
        <f>IF(H99="yes",Z99*X99,0)</f>
        <v/>
      </c>
      <c r="AB99" s="9">
        <f>IF(H99="yes",AA99*N(L99)/100,0)</f>
        <v/>
      </c>
      <c r="AC99" s="9">
        <f>IF(H99="yes",AA99*N(N99)/100,0)</f>
        <v/>
      </c>
      <c r="AD99" s="9">
        <f>IF(H99="yes",AA99*N(O99)/100,0)</f>
        <v/>
      </c>
      <c r="AE99" s="10">
        <f>IF(P99="yes",AA99/1000,0)</f>
        <v/>
      </c>
      <c r="AF99" s="10">
        <f>IF(R99="FG2",AE99*W99,AE99)</f>
        <v/>
      </c>
    </row>
    <row r="100">
      <c r="A100" s="6" t="inlineStr">
        <is>
          <t>HM00098</t>
        </is>
      </c>
      <c r="B100" s="7" t="inlineStr">
        <is>
          <t>8712345050887</t>
        </is>
      </c>
      <c r="C100" s="6" t="inlineStr">
        <is>
          <t>MAYONNAISE 750ML CASTELNA</t>
        </is>
      </c>
      <c r="D100" s="6" t="inlineStr">
        <is>
          <t>Mayonnaise, 750ml</t>
        </is>
      </c>
      <c r="E100" s="6" t="inlineStr">
        <is>
          <t>Castelna</t>
        </is>
      </c>
      <c r="F100" s="6" t="inlineStr">
        <is>
          <t>Grocery</t>
        </is>
      </c>
      <c r="G100" s="6" t="inlineStr">
        <is>
          <t>Condiments</t>
        </is>
      </c>
      <c r="H100" s="6" t="inlineStr">
        <is>
          <t>yes</t>
        </is>
      </c>
      <c r="I100" s="6" t="inlineStr">
        <is>
          <t>Animal core</t>
        </is>
      </c>
      <c r="J100" s="6" t="inlineStr">
        <is>
          <t>A</t>
        </is>
      </c>
      <c r="K100" s="6" t="inlineStr">
        <is>
          <t>All ingredients on one side</t>
        </is>
      </c>
      <c r="L100" s="6" t="n">
        <v>1.1</v>
      </c>
      <c r="M100" s="6" t="inlineStr">
        <is>
          <t>Declared by the retailer</t>
        </is>
      </c>
      <c r="N100" s="6" t="n">
        <v>0</v>
      </c>
      <c r="O100" s="6" t="n">
        <v>1.1</v>
      </c>
      <c r="P100" s="6" t="inlineStr">
        <is>
          <t>no</t>
        </is>
      </c>
      <c r="Q100" s="6" t="n"/>
      <c r="R100" s="6" t="n"/>
      <c r="S100" s="6" t="n"/>
      <c r="T100" s="6" t="n"/>
      <c r="U100" s="6" t="n"/>
      <c r="V100" s="6" t="inlineStr">
        <is>
          <t>condiment</t>
        </is>
      </c>
      <c r="W100" s="6" t="n">
        <v>1</v>
      </c>
      <c r="X100" s="6" t="n">
        <v>0.6899999999999999</v>
      </c>
      <c r="Y100" s="6" t="inlineStr">
        <is>
          <t>declared</t>
        </is>
      </c>
      <c r="Z100" s="8" t="n">
        <v>10040</v>
      </c>
      <c r="AA100" s="9">
        <f>IF(H100="yes",Z100*X100,0)</f>
        <v/>
      </c>
      <c r="AB100" s="9">
        <f>IF(H100="yes",AA100*N(L100)/100,0)</f>
        <v/>
      </c>
      <c r="AC100" s="9">
        <f>IF(H100="yes",AA100*N(N100)/100,0)</f>
        <v/>
      </c>
      <c r="AD100" s="9">
        <f>IF(H100="yes",AA100*N(O100)/100,0)</f>
        <v/>
      </c>
      <c r="AE100" s="10">
        <f>IF(P100="yes",AA100/1000,0)</f>
        <v/>
      </c>
      <c r="AF100" s="10">
        <f>IF(R100="FG2",AE100*W100,AE100)</f>
        <v/>
      </c>
    </row>
    <row r="101">
      <c r="A101" s="6" t="inlineStr">
        <is>
          <t>HM00099</t>
        </is>
      </c>
      <c r="B101" s="7" t="inlineStr">
        <is>
          <t>4012345308969</t>
        </is>
      </c>
      <c r="C101" s="6" t="inlineStr">
        <is>
          <t>HM RICH TEA BISCUITS 300G</t>
        </is>
      </c>
      <c r="D101" s="6" t="inlineStr">
        <is>
          <t>Rich tea biscuits, 300g</t>
        </is>
      </c>
      <c r="E101" s="6" t="inlineStr">
        <is>
          <t>Harbour Market</t>
        </is>
      </c>
      <c r="F101" s="6" t="inlineStr">
        <is>
          <t>Breakfast &amp; Snacks</t>
        </is>
      </c>
      <c r="G101" s="6" t="inlineStr">
        <is>
          <t>Biscuits</t>
        </is>
      </c>
      <c r="H101" s="6" t="inlineStr">
        <is>
          <t>yes</t>
        </is>
      </c>
      <c r="I101" s="6" t="inlineStr">
        <is>
          <t>Plant-based non-core</t>
        </is>
      </c>
      <c r="J101" s="6" t="inlineStr">
        <is>
          <t>A</t>
        </is>
      </c>
      <c r="K101" s="6" t="inlineStr">
        <is>
          <t>All ingredients on one side</t>
        </is>
      </c>
      <c r="L101" s="6" t="n">
        <v>7.2</v>
      </c>
      <c r="M101" s="6" t="inlineStr">
        <is>
          <t>Median of the family</t>
        </is>
      </c>
      <c r="N101" s="6" t="n">
        <v>7.2</v>
      </c>
      <c r="O101" s="6" t="n">
        <v>0</v>
      </c>
      <c r="P101" s="6" t="inlineStr">
        <is>
          <t>yes</t>
        </is>
      </c>
      <c r="Q101" s="6" t="inlineStr">
        <is>
          <t>whole</t>
        </is>
      </c>
      <c r="R101" s="6" t="inlineStr">
        <is>
          <t>FG7</t>
        </is>
      </c>
      <c r="S101" s="6" t="n"/>
      <c r="T101" s="6" t="inlineStr">
        <is>
          <t>plant</t>
        </is>
      </c>
      <c r="U101" s="6" t="n"/>
      <c r="V101" s="6" t="n"/>
      <c r="W101" s="6" t="n">
        <v>1</v>
      </c>
      <c r="X101" s="6" t="n">
        <v>0.3</v>
      </c>
      <c r="Y101" s="6" t="inlineStr">
        <is>
          <t>declared</t>
        </is>
      </c>
      <c r="Z101" s="8" t="n">
        <v>38326</v>
      </c>
      <c r="AA101" s="9">
        <f>IF(H101="yes",Z101*X101,0)</f>
        <v/>
      </c>
      <c r="AB101" s="9">
        <f>IF(H101="yes",AA101*N(L101)/100,0)</f>
        <v/>
      </c>
      <c r="AC101" s="9">
        <f>IF(H101="yes",AA101*N(N101)/100,0)</f>
        <v/>
      </c>
      <c r="AD101" s="9">
        <f>IF(H101="yes",AA101*N(O101)/100,0)</f>
        <v/>
      </c>
      <c r="AE101" s="10">
        <f>IF(P101="yes",AA101/1000,0)</f>
        <v/>
      </c>
      <c r="AF101" s="10">
        <f>IF(R101="FG2",AE101*W101,AE101)</f>
        <v/>
      </c>
    </row>
    <row r="102">
      <c r="A102" s="6" t="inlineStr">
        <is>
          <t>HM00100</t>
        </is>
      </c>
      <c r="B102" s="7" t="inlineStr">
        <is>
          <t>4012345263091</t>
        </is>
      </c>
      <c r="C102" s="6" t="inlineStr">
        <is>
          <t>TARROW CHKN DRUMSTICKS 500G</t>
        </is>
      </c>
      <c r="D102" s="6" t="inlineStr">
        <is>
          <t>Chicken drumsticks, 500g</t>
        </is>
      </c>
      <c r="E102" s="6" t="inlineStr">
        <is>
          <t>Tarrow Farm</t>
        </is>
      </c>
      <c r="F102" s="6" t="inlineStr">
        <is>
          <t>Fresh Meat &amp; Poultry</t>
        </is>
      </c>
      <c r="G102" s="6" t="inlineStr">
        <is>
          <t>Poultry</t>
        </is>
      </c>
      <c r="H102" s="6" t="inlineStr">
        <is>
          <t>yes</t>
        </is>
      </c>
      <c r="I102" s="6" t="inlineStr">
        <is>
          <t>Animal core</t>
        </is>
      </c>
      <c r="J102" s="6" t="inlineStr">
        <is>
          <t>A</t>
        </is>
      </c>
      <c r="K102" s="6" t="inlineStr">
        <is>
          <t>All ingredients on one side</t>
        </is>
      </c>
      <c r="L102" s="6" t="n">
        <v>18.4</v>
      </c>
      <c r="M102" s="6" t="inlineStr">
        <is>
          <t>Declared by the retailer</t>
        </is>
      </c>
      <c r="N102" s="6" t="n">
        <v>0</v>
      </c>
      <c r="O102" s="6" t="n">
        <v>18.4</v>
      </c>
      <c r="P102" s="6" t="inlineStr">
        <is>
          <t>yes</t>
        </is>
      </c>
      <c r="Q102" s="6" t="inlineStr">
        <is>
          <t>whole</t>
        </is>
      </c>
      <c r="R102" s="6" t="inlineStr">
        <is>
          <t>FG1</t>
        </is>
      </c>
      <c r="S102" s="6" t="inlineStr">
        <is>
          <t>poultry</t>
        </is>
      </c>
      <c r="T102" s="6" t="inlineStr">
        <is>
          <t>animal</t>
        </is>
      </c>
      <c r="U102" s="6" t="n"/>
      <c r="V102" s="6" t="n"/>
      <c r="W102" s="6" t="n">
        <v>1</v>
      </c>
      <c r="X102" s="6" t="n">
        <v>0.5</v>
      </c>
      <c r="Y102" s="6" t="inlineStr">
        <is>
          <t>declared</t>
        </is>
      </c>
      <c r="Z102" s="8" t="n">
        <v>135834</v>
      </c>
      <c r="AA102" s="9">
        <f>IF(H102="yes",Z102*X102,0)</f>
        <v/>
      </c>
      <c r="AB102" s="9">
        <f>IF(H102="yes",AA102*N(L102)/100,0)</f>
        <v/>
      </c>
      <c r="AC102" s="9">
        <f>IF(H102="yes",AA102*N(N102)/100,0)</f>
        <v/>
      </c>
      <c r="AD102" s="9">
        <f>IF(H102="yes",AA102*N(O102)/100,0)</f>
        <v/>
      </c>
      <c r="AE102" s="10">
        <f>IF(P102="yes",AA102/1000,0)</f>
        <v/>
      </c>
      <c r="AF102" s="10">
        <f>IF(R102="FG2",AE102*W102,AE102)</f>
        <v/>
      </c>
    </row>
    <row r="103">
      <c r="A103" s="6" t="inlineStr">
        <is>
          <t>HM00101</t>
        </is>
      </c>
      <c r="B103" s="7" t="inlineStr">
        <is>
          <t>3012345039857</t>
        </is>
      </c>
      <c r="C103" s="6" t="inlineStr">
        <is>
          <t>HM SMKD SALMON TRIM 200G</t>
        </is>
      </c>
      <c r="D103" s="6" t="inlineStr">
        <is>
          <t>Smoked salmon trimmings, 200g</t>
        </is>
      </c>
      <c r="E103" s="6" t="inlineStr">
        <is>
          <t>Harbour Market</t>
        </is>
      </c>
      <c r="F103" s="6" t="inlineStr">
        <is>
          <t>Fish &amp; Seafood</t>
        </is>
      </c>
      <c r="G103" s="6" t="inlineStr">
        <is>
          <t>Smoked Fish</t>
        </is>
      </c>
      <c r="H103" s="6" t="inlineStr">
        <is>
          <t>yes</t>
        </is>
      </c>
      <c r="I103" s="6" t="inlineStr">
        <is>
          <t>Animal core</t>
        </is>
      </c>
      <c r="J103" s="6" t="inlineStr">
        <is>
          <t>A</t>
        </is>
      </c>
      <c r="K103" s="6" t="inlineStr">
        <is>
          <t>All ingredients on one side</t>
        </is>
      </c>
      <c r="L103" s="6" t="n">
        <v>23</v>
      </c>
      <c r="M103" s="6" t="inlineStr">
        <is>
          <t>Declared by the retailer</t>
        </is>
      </c>
      <c r="N103" s="6" t="n">
        <v>0</v>
      </c>
      <c r="O103" s="6" t="n">
        <v>23</v>
      </c>
      <c r="P103" s="6" t="inlineStr">
        <is>
          <t>yes</t>
        </is>
      </c>
      <c r="Q103" s="6" t="inlineStr">
        <is>
          <t>whole</t>
        </is>
      </c>
      <c r="R103" s="6" t="inlineStr">
        <is>
          <t>FG1</t>
        </is>
      </c>
      <c r="S103" s="6" t="inlineStr">
        <is>
          <t>fish shellfish</t>
        </is>
      </c>
      <c r="T103" s="6" t="inlineStr">
        <is>
          <t>animal</t>
        </is>
      </c>
      <c r="U103" s="6" t="n"/>
      <c r="V103" s="6" t="n"/>
      <c r="W103" s="6" t="n">
        <v>1</v>
      </c>
      <c r="X103" s="6" t="n">
        <v>0.2</v>
      </c>
      <c r="Y103" s="6" t="inlineStr">
        <is>
          <t>declared</t>
        </is>
      </c>
      <c r="Z103" s="8" t="n">
        <v>4004</v>
      </c>
      <c r="AA103" s="9">
        <f>IF(H103="yes",Z103*X103,0)</f>
        <v/>
      </c>
      <c r="AB103" s="9">
        <f>IF(H103="yes",AA103*N(L103)/100,0)</f>
        <v/>
      </c>
      <c r="AC103" s="9">
        <f>IF(H103="yes",AA103*N(N103)/100,0)</f>
        <v/>
      </c>
      <c r="AD103" s="9">
        <f>IF(H103="yes",AA103*N(O103)/100,0)</f>
        <v/>
      </c>
      <c r="AE103" s="10">
        <f>IF(P103="yes",AA103/1000,0)</f>
        <v/>
      </c>
      <c r="AF103" s="10">
        <f>IF(R103="FG2",AE103*W103,AE103)</f>
        <v/>
      </c>
    </row>
    <row r="104">
      <c r="A104" s="6" t="inlineStr">
        <is>
          <t>HM00102</t>
        </is>
      </c>
      <c r="B104" s="7" t="inlineStr">
        <is>
          <t>3012345290531</t>
        </is>
      </c>
      <c r="C104" s="6" t="inlineStr">
        <is>
          <t>HM BANANAS 250G</t>
        </is>
      </c>
      <c r="D104" s="6" t="inlineStr">
        <is>
          <t>Bananas, 250g</t>
        </is>
      </c>
      <c r="E104" s="6" t="inlineStr">
        <is>
          <t>Harbour Market</t>
        </is>
      </c>
      <c r="F104" s="6" t="inlineStr">
        <is>
          <t>Fruit &amp; Vegetables</t>
        </is>
      </c>
      <c r="G104" s="6" t="inlineStr">
        <is>
          <t>Fruit</t>
        </is>
      </c>
      <c r="H104" s="6" t="inlineStr">
        <is>
          <t>yes</t>
        </is>
      </c>
      <c r="I104" s="6" t="inlineStr">
        <is>
          <t>Plant-based non-core</t>
        </is>
      </c>
      <c r="J104" s="6" t="inlineStr">
        <is>
          <t>B</t>
        </is>
      </c>
      <c r="K104" s="6" t="inlineStr">
        <is>
          <t>Follows the class</t>
        </is>
      </c>
      <c r="L104" s="6" t="n">
        <v>1.1</v>
      </c>
      <c r="M104" s="6" t="inlineStr">
        <is>
          <t>Open Food Facts, by EAN</t>
        </is>
      </c>
      <c r="N104" s="6" t="n">
        <v>1.1</v>
      </c>
      <c r="O104" s="6" t="n">
        <v>0</v>
      </c>
      <c r="P104" s="6" t="inlineStr">
        <is>
          <t>yes</t>
        </is>
      </c>
      <c r="Q104" s="6" t="inlineStr">
        <is>
          <t>whole</t>
        </is>
      </c>
      <c r="R104" s="6" t="inlineStr">
        <is>
          <t>FG4</t>
        </is>
      </c>
      <c r="S104" s="6" t="n"/>
      <c r="T104" s="6" t="inlineStr">
        <is>
          <t>plant</t>
        </is>
      </c>
      <c r="U104" s="6" t="n"/>
      <c r="V104" s="6" t="n"/>
      <c r="W104" s="6" t="n">
        <v>1</v>
      </c>
      <c r="X104" s="6" t="n">
        <v>0.25</v>
      </c>
      <c r="Y104" s="6" t="inlineStr">
        <is>
          <t>declared</t>
        </is>
      </c>
      <c r="Z104" s="8" t="n">
        <v>104145</v>
      </c>
      <c r="AA104" s="9">
        <f>IF(H104="yes",Z104*X104,0)</f>
        <v/>
      </c>
      <c r="AB104" s="9">
        <f>IF(H104="yes",AA104*N(L104)/100,0)</f>
        <v/>
      </c>
      <c r="AC104" s="9">
        <f>IF(H104="yes",AA104*N(N104)/100,0)</f>
        <v/>
      </c>
      <c r="AD104" s="9">
        <f>IF(H104="yes",AA104*N(O104)/100,0)</f>
        <v/>
      </c>
      <c r="AE104" s="10">
        <f>IF(P104="yes",AA104/1000,0)</f>
        <v/>
      </c>
      <c r="AF104" s="10">
        <f>IF(R104="FG2",AE104*W104,AE104)</f>
        <v/>
      </c>
    </row>
    <row r="105">
      <c r="A105" s="6" t="inlineStr">
        <is>
          <t>HM00103</t>
        </is>
      </c>
      <c r="B105" s="7" t="inlineStr">
        <is>
          <t>5012345501673</t>
        </is>
      </c>
      <c r="C105" s="6" t="inlineStr">
        <is>
          <t>HM SPREADABLE BUTTER 500G</t>
        </is>
      </c>
      <c r="D105" s="6" t="inlineStr">
        <is>
          <t>Spreadable butter, 500g</t>
        </is>
      </c>
      <c r="E105" s="6" t="inlineStr">
        <is>
          <t>Harbour Market</t>
        </is>
      </c>
      <c r="F105" s="6" t="inlineStr">
        <is>
          <t>Dairy &amp; Eggs</t>
        </is>
      </c>
      <c r="G105" s="6" t="inlineStr">
        <is>
          <t>Butter &amp; Spreads</t>
        </is>
      </c>
      <c r="H105" s="6" t="inlineStr">
        <is>
          <t>yes</t>
        </is>
      </c>
      <c r="I105" s="6" t="inlineStr">
        <is>
          <t>Animal core</t>
        </is>
      </c>
      <c r="J105" s="6" t="inlineStr">
        <is>
          <t>A</t>
        </is>
      </c>
      <c r="K105" s="6" t="inlineStr">
        <is>
          <t>All ingredients on one side</t>
        </is>
      </c>
      <c r="L105" s="6" t="n">
        <v>0.57</v>
      </c>
      <c r="M105" s="6" t="inlineStr">
        <is>
          <t>Declared by the retailer</t>
        </is>
      </c>
      <c r="N105" s="6" t="n">
        <v>0</v>
      </c>
      <c r="O105" s="6" t="n">
        <v>0.57</v>
      </c>
      <c r="P105" s="6" t="inlineStr">
        <is>
          <t>yes</t>
        </is>
      </c>
      <c r="Q105" s="6" t="inlineStr">
        <is>
          <t>whole</t>
        </is>
      </c>
      <c r="R105" s="6" t="inlineStr">
        <is>
          <t>FG3</t>
        </is>
      </c>
      <c r="S105" s="6" t="inlineStr">
        <is>
          <t>animal fat</t>
        </is>
      </c>
      <c r="T105" s="6" t="inlineStr">
        <is>
          <t>animal</t>
        </is>
      </c>
      <c r="U105" s="6" t="n"/>
      <c r="V105" s="6" t="n"/>
      <c r="W105" s="6" t="n">
        <v>1</v>
      </c>
      <c r="X105" s="6" t="n">
        <v>0.5</v>
      </c>
      <c r="Y105" s="6" t="inlineStr">
        <is>
          <t>declared</t>
        </is>
      </c>
      <c r="Z105" s="8" t="n">
        <v>11793</v>
      </c>
      <c r="AA105" s="9">
        <f>IF(H105="yes",Z105*X105,0)</f>
        <v/>
      </c>
      <c r="AB105" s="9">
        <f>IF(H105="yes",AA105*N(L105)/100,0)</f>
        <v/>
      </c>
      <c r="AC105" s="9">
        <f>IF(H105="yes",AA105*N(N105)/100,0)</f>
        <v/>
      </c>
      <c r="AD105" s="9">
        <f>IF(H105="yes",AA105*N(O105)/100,0)</f>
        <v/>
      </c>
      <c r="AE105" s="10">
        <f>IF(P105="yes",AA105/1000,0)</f>
        <v/>
      </c>
      <c r="AF105" s="10">
        <f>IF(R105="FG2",AE105*W105,AE105)</f>
        <v/>
      </c>
    </row>
    <row r="106">
      <c r="A106" s="6" t="inlineStr">
        <is>
          <t>HM00104</t>
        </is>
      </c>
      <c r="B106" s="7" t="inlineStr">
        <is>
          <t>5012345255620</t>
        </is>
      </c>
      <c r="C106" s="6" t="inlineStr">
        <is>
          <t>BRAN FLAKES 500G ORVALIS</t>
        </is>
      </c>
      <c r="D106" s="6" t="inlineStr">
        <is>
          <t>Bran flakes, 500g</t>
        </is>
      </c>
      <c r="E106" s="6" t="inlineStr">
        <is>
          <t>Orvalis</t>
        </is>
      </c>
      <c r="F106" s="6" t="inlineStr">
        <is>
          <t>Breakfast &amp; Snacks</t>
        </is>
      </c>
      <c r="G106" s="6" t="inlineStr">
        <is>
          <t>Cereals</t>
        </is>
      </c>
      <c r="H106" s="6" t="inlineStr">
        <is>
          <t>yes</t>
        </is>
      </c>
      <c r="I106" s="6" t="inlineStr">
        <is>
          <t>Plant-based non-core</t>
        </is>
      </c>
      <c r="J106" s="6" t="inlineStr">
        <is>
          <t>A</t>
        </is>
      </c>
      <c r="K106" s="6" t="inlineStr">
        <is>
          <t>All ingredients on one side</t>
        </is>
      </c>
      <c r="L106" s="6" t="n">
        <v>10.1</v>
      </c>
      <c r="M106" s="6" t="inlineStr">
        <is>
          <t>Name match (CIQUAL / NEVO)</t>
        </is>
      </c>
      <c r="N106" s="6" t="n">
        <v>10.1</v>
      </c>
      <c r="O106" s="6" t="n">
        <v>0</v>
      </c>
      <c r="P106" s="6" t="inlineStr">
        <is>
          <t>yes</t>
        </is>
      </c>
      <c r="Q106" s="6" t="inlineStr">
        <is>
          <t>whole</t>
        </is>
      </c>
      <c r="R106" s="6" t="inlineStr">
        <is>
          <t>FG5</t>
        </is>
      </c>
      <c r="S106" s="6" t="inlineStr">
        <is>
          <t>whole grain</t>
        </is>
      </c>
      <c r="T106" s="6" t="inlineStr">
        <is>
          <t>plant</t>
        </is>
      </c>
      <c r="U106" s="6" t="n"/>
      <c r="V106" s="6" t="n"/>
      <c r="W106" s="6" t="n">
        <v>1</v>
      </c>
      <c r="X106" s="6" t="n">
        <v>0.5</v>
      </c>
      <c r="Y106" s="6" t="inlineStr">
        <is>
          <t>declared</t>
        </is>
      </c>
      <c r="Z106" s="8" t="n">
        <v>19137</v>
      </c>
      <c r="AA106" s="9">
        <f>IF(H106="yes",Z106*X106,0)</f>
        <v/>
      </c>
      <c r="AB106" s="9">
        <f>IF(H106="yes",AA106*N(L106)/100,0)</f>
        <v/>
      </c>
      <c r="AC106" s="9">
        <f>IF(H106="yes",AA106*N(N106)/100,0)</f>
        <v/>
      </c>
      <c r="AD106" s="9">
        <f>IF(H106="yes",AA106*N(O106)/100,0)</f>
        <v/>
      </c>
      <c r="AE106" s="10">
        <f>IF(P106="yes",AA106/1000,0)</f>
        <v/>
      </c>
      <c r="AF106" s="10">
        <f>IF(R106="FG2",AE106*W106,AE106)</f>
        <v/>
      </c>
    </row>
    <row r="107">
      <c r="A107" s="6" t="inlineStr">
        <is>
          <t>HM00105</t>
        </is>
      </c>
      <c r="B107" s="7" t="inlineStr">
        <is>
          <t>8712345465155</t>
        </is>
      </c>
      <c r="C107" s="6" t="inlineStr">
        <is>
          <t>ALMOND DRINK 1L SOLVANE</t>
        </is>
      </c>
      <c r="D107" s="6" t="inlineStr">
        <is>
          <t>Almond drink, 1l</t>
        </is>
      </c>
      <c r="E107" s="6" t="inlineStr">
        <is>
          <t>Solvane</t>
        </is>
      </c>
      <c r="F107" s="6" t="inlineStr">
        <is>
          <t>Plant-Based</t>
        </is>
      </c>
      <c r="G107" s="6" t="inlineStr">
        <is>
          <t>Plant Drinks</t>
        </is>
      </c>
      <c r="H107" s="6" t="inlineStr">
        <is>
          <t>yes</t>
        </is>
      </c>
      <c r="I107" s="6" t="inlineStr">
        <is>
          <t>Plant-based core</t>
        </is>
      </c>
      <c r="J107" s="6" t="inlineStr">
        <is>
          <t>B</t>
        </is>
      </c>
      <c r="K107" s="6" t="inlineStr">
        <is>
          <t>Follows the class</t>
        </is>
      </c>
      <c r="L107" s="6" t="n">
        <v>0.52</v>
      </c>
      <c r="M107" s="6" t="inlineStr">
        <is>
          <t>Name match (CIQUAL / NEVO)</t>
        </is>
      </c>
      <c r="N107" s="6" t="n">
        <v>0.52</v>
      </c>
      <c r="O107" s="6" t="n">
        <v>0</v>
      </c>
      <c r="P107" s="6" t="inlineStr">
        <is>
          <t>yes</t>
        </is>
      </c>
      <c r="Q107" s="6" t="inlineStr">
        <is>
          <t>whole</t>
        </is>
      </c>
      <c r="R107" s="6" t="inlineStr">
        <is>
          <t>FG2</t>
        </is>
      </c>
      <c r="S107" s="6" t="inlineStr">
        <is>
          <t>dairy alternatives</t>
        </is>
      </c>
      <c r="T107" s="6" t="inlineStr">
        <is>
          <t>plant</t>
        </is>
      </c>
      <c r="U107" s="6" t="n"/>
      <c r="V107" s="6" t="n"/>
      <c r="W107" s="6" t="n">
        <v>1</v>
      </c>
      <c r="X107" s="6" t="n">
        <v>1.03</v>
      </c>
      <c r="Y107" s="6" t="inlineStr">
        <is>
          <t>declared</t>
        </is>
      </c>
      <c r="Z107" s="8" t="n">
        <v>36409</v>
      </c>
      <c r="AA107" s="9">
        <f>IF(H107="yes",Z107*X107,0)</f>
        <v/>
      </c>
      <c r="AB107" s="9">
        <f>IF(H107="yes",AA107*N(L107)/100,0)</f>
        <v/>
      </c>
      <c r="AC107" s="9">
        <f>IF(H107="yes",AA107*N(N107)/100,0)</f>
        <v/>
      </c>
      <c r="AD107" s="9">
        <f>IF(H107="yes",AA107*N(O107)/100,0)</f>
        <v/>
      </c>
      <c r="AE107" s="10">
        <f>IF(P107="yes",AA107/1000,0)</f>
        <v/>
      </c>
      <c r="AF107" s="10">
        <f>IF(R107="FG2",AE107*W107,AE107)</f>
        <v/>
      </c>
    </row>
    <row r="108">
      <c r="A108" s="6" t="inlineStr">
        <is>
          <t>HM00106</t>
        </is>
      </c>
      <c r="B108" s="7" t="inlineStr">
        <is>
          <t>0712345523471</t>
        </is>
      </c>
      <c r="C108" s="6" t="inlineStr">
        <is>
          <t>KESTREL SALMON FLT SKINLESS 2X140G</t>
        </is>
      </c>
      <c r="D108" s="6" t="inlineStr">
        <is>
          <t>Skinless salmon fillets, 2x140g</t>
        </is>
      </c>
      <c r="E108" s="6" t="inlineStr">
        <is>
          <t>Kestrel Bay</t>
        </is>
      </c>
      <c r="F108" s="6" t="inlineStr">
        <is>
          <t>Fish &amp; Seafood</t>
        </is>
      </c>
      <c r="G108" s="6" t="inlineStr">
        <is>
          <t>Fresh Fish</t>
        </is>
      </c>
      <c r="H108" s="6" t="inlineStr">
        <is>
          <t>yes</t>
        </is>
      </c>
      <c r="I108" s="6" t="inlineStr">
        <is>
          <t>Animal core</t>
        </is>
      </c>
      <c r="J108" s="6" t="inlineStr">
        <is>
          <t>A</t>
        </is>
      </c>
      <c r="K108" s="6" t="inlineStr">
        <is>
          <t>All ingredients on one side</t>
        </is>
      </c>
      <c r="L108" s="6" t="n">
        <v>20.8</v>
      </c>
      <c r="M108" s="6" t="inlineStr">
        <is>
          <t>Declared by the retailer</t>
        </is>
      </c>
      <c r="N108" s="6" t="n">
        <v>0</v>
      </c>
      <c r="O108" s="6" t="n">
        <v>20.8</v>
      </c>
      <c r="P108" s="6" t="inlineStr">
        <is>
          <t>yes</t>
        </is>
      </c>
      <c r="Q108" s="6" t="inlineStr">
        <is>
          <t>whole</t>
        </is>
      </c>
      <c r="R108" s="6" t="inlineStr">
        <is>
          <t>FG1</t>
        </is>
      </c>
      <c r="S108" s="6" t="inlineStr">
        <is>
          <t>fish shellfish</t>
        </is>
      </c>
      <c r="T108" s="6" t="inlineStr">
        <is>
          <t>animal</t>
        </is>
      </c>
      <c r="U108" s="6" t="n"/>
      <c r="V108" s="6" t="n"/>
      <c r="W108" s="6" t="n">
        <v>1</v>
      </c>
      <c r="X108" s="6" t="n">
        <v>0.28</v>
      </c>
      <c r="Y108" s="6" t="inlineStr">
        <is>
          <t>declared</t>
        </is>
      </c>
      <c r="Z108" s="8" t="n">
        <v>157433</v>
      </c>
      <c r="AA108" s="9">
        <f>IF(H108="yes",Z108*X108,0)</f>
        <v/>
      </c>
      <c r="AB108" s="9">
        <f>IF(H108="yes",AA108*N(L108)/100,0)</f>
        <v/>
      </c>
      <c r="AC108" s="9">
        <f>IF(H108="yes",AA108*N(N108)/100,0)</f>
        <v/>
      </c>
      <c r="AD108" s="9">
        <f>IF(H108="yes",AA108*N(O108)/100,0)</f>
        <v/>
      </c>
      <c r="AE108" s="10">
        <f>IF(P108="yes",AA108/1000,0)</f>
        <v/>
      </c>
      <c r="AF108" s="10">
        <f>IF(R108="FG2",AE108*W108,AE108)</f>
        <v/>
      </c>
    </row>
    <row r="109">
      <c r="A109" s="6" t="inlineStr">
        <is>
          <t>HM00107</t>
        </is>
      </c>
      <c r="B109" s="7" t="inlineStr">
        <is>
          <t>5012345589428</t>
        </is>
      </c>
      <c r="C109" s="6" t="inlineStr">
        <is>
          <t>HM WHOLEMEAL SLICED 500G</t>
        </is>
      </c>
      <c r="D109" s="6" t="inlineStr">
        <is>
          <t>Wholemeal sliced bread, 500g</t>
        </is>
      </c>
      <c r="E109" s="6" t="inlineStr">
        <is>
          <t>Harbour Market</t>
        </is>
      </c>
      <c r="F109" s="6" t="inlineStr">
        <is>
          <t>Bakery</t>
        </is>
      </c>
      <c r="G109" s="6" t="inlineStr">
        <is>
          <t>Bread</t>
        </is>
      </c>
      <c r="H109" s="6" t="inlineStr">
        <is>
          <t>yes</t>
        </is>
      </c>
      <c r="I109" s="6" t="inlineStr">
        <is>
          <t>Plant-based non-core</t>
        </is>
      </c>
      <c r="J109" s="6" t="inlineStr">
        <is>
          <t>A</t>
        </is>
      </c>
      <c r="K109" s="6" t="inlineStr">
        <is>
          <t>All ingredients on one side</t>
        </is>
      </c>
      <c r="L109" s="6" t="n">
        <v>10.4</v>
      </c>
      <c r="M109" s="6" t="inlineStr">
        <is>
          <t>Altera reference base</t>
        </is>
      </c>
      <c r="N109" s="6" t="n">
        <v>10.4</v>
      </c>
      <c r="O109" s="6" t="n">
        <v>0</v>
      </c>
      <c r="P109" s="6" t="inlineStr">
        <is>
          <t>yes</t>
        </is>
      </c>
      <c r="Q109" s="6" t="inlineStr">
        <is>
          <t>whole</t>
        </is>
      </c>
      <c r="R109" s="6" t="inlineStr">
        <is>
          <t>FG5</t>
        </is>
      </c>
      <c r="S109" s="6" t="inlineStr">
        <is>
          <t>whole grain</t>
        </is>
      </c>
      <c r="T109" s="6" t="inlineStr">
        <is>
          <t>plant</t>
        </is>
      </c>
      <c r="U109" s="6" t="n"/>
      <c r="V109" s="6" t="n"/>
      <c r="W109" s="6" t="n">
        <v>1</v>
      </c>
      <c r="X109" s="6" t="n">
        <v>0.5</v>
      </c>
      <c r="Y109" s="6" t="inlineStr">
        <is>
          <t>label</t>
        </is>
      </c>
      <c r="Z109" s="8" t="n">
        <v>15882</v>
      </c>
      <c r="AA109" s="9">
        <f>IF(H109="yes",Z109*X109,0)</f>
        <v/>
      </c>
      <c r="AB109" s="9">
        <f>IF(H109="yes",AA109*N(L109)/100,0)</f>
        <v/>
      </c>
      <c r="AC109" s="9">
        <f>IF(H109="yes",AA109*N(N109)/100,0)</f>
        <v/>
      </c>
      <c r="AD109" s="9">
        <f>IF(H109="yes",AA109*N(O109)/100,0)</f>
        <v/>
      </c>
      <c r="AE109" s="10">
        <f>IF(P109="yes",AA109/1000,0)</f>
        <v/>
      </c>
      <c r="AF109" s="10">
        <f>IF(R109="FG2",AE109*W109,AE109)</f>
        <v/>
      </c>
    </row>
    <row r="110">
      <c r="A110" s="6" t="inlineStr">
        <is>
          <t>HM00108</t>
        </is>
      </c>
      <c r="B110" s="7" t="inlineStr">
        <is>
          <t>3012345459082</t>
        </is>
      </c>
      <c r="C110" s="6" t="inlineStr">
        <is>
          <t>BUTTER BEANS 410G ORVALIS</t>
        </is>
      </c>
      <c r="D110" s="6" t="inlineStr">
        <is>
          <t>Butter beans in water, 410g</t>
        </is>
      </c>
      <c r="E110" s="6" t="inlineStr">
        <is>
          <t>Orvalis</t>
        </is>
      </c>
      <c r="F110" s="6" t="inlineStr">
        <is>
          <t>Grocery</t>
        </is>
      </c>
      <c r="G110" s="6" t="inlineStr">
        <is>
          <t>Pulses</t>
        </is>
      </c>
      <c r="H110" s="6" t="inlineStr">
        <is>
          <t>yes</t>
        </is>
      </c>
      <c r="I110" s="6" t="inlineStr">
        <is>
          <t>Plant-based core</t>
        </is>
      </c>
      <c r="J110" s="6" t="inlineStr">
        <is>
          <t>B</t>
        </is>
      </c>
      <c r="K110" s="6" t="inlineStr">
        <is>
          <t>Follows the class</t>
        </is>
      </c>
      <c r="L110" s="6" t="n">
        <v>7</v>
      </c>
      <c r="M110" s="6" t="inlineStr">
        <is>
          <t>Open Food Facts, by EAN</t>
        </is>
      </c>
      <c r="N110" s="6" t="n">
        <v>7</v>
      </c>
      <c r="O110" s="6" t="n">
        <v>0</v>
      </c>
      <c r="P110" s="6" t="inlineStr">
        <is>
          <t>yes</t>
        </is>
      </c>
      <c r="Q110" s="6" t="inlineStr">
        <is>
          <t>whole</t>
        </is>
      </c>
      <c r="R110" s="6" t="inlineStr">
        <is>
          <t>FG1</t>
        </is>
      </c>
      <c r="S110" s="6" t="inlineStr">
        <is>
          <t>pulses</t>
        </is>
      </c>
      <c r="T110" s="6" t="inlineStr">
        <is>
          <t>plant</t>
        </is>
      </c>
      <c r="U110" s="6" t="n"/>
      <c r="V110" s="6" t="n"/>
      <c r="W110" s="6" t="n">
        <v>1</v>
      </c>
      <c r="X110" s="6" t="n">
        <v>0.41</v>
      </c>
      <c r="Y110" s="6" t="inlineStr">
        <is>
          <t>declared</t>
        </is>
      </c>
      <c r="Z110" s="8" t="n">
        <v>105527</v>
      </c>
      <c r="AA110" s="9">
        <f>IF(H110="yes",Z110*X110,0)</f>
        <v/>
      </c>
      <c r="AB110" s="9">
        <f>IF(H110="yes",AA110*N(L110)/100,0)</f>
        <v/>
      </c>
      <c r="AC110" s="9">
        <f>IF(H110="yes",AA110*N(N110)/100,0)</f>
        <v/>
      </c>
      <c r="AD110" s="9">
        <f>IF(H110="yes",AA110*N(O110)/100,0)</f>
        <v/>
      </c>
      <c r="AE110" s="10">
        <f>IF(P110="yes",AA110/1000,0)</f>
        <v/>
      </c>
      <c r="AF110" s="10">
        <f>IF(R110="FG2",AE110*W110,AE110)</f>
        <v/>
      </c>
    </row>
    <row r="111">
      <c r="A111" s="6" t="inlineStr">
        <is>
          <t>HM00109</t>
        </is>
      </c>
      <c r="B111" s="7" t="inlineStr">
        <is>
          <t>4012345485417</t>
        </is>
      </c>
      <c r="C111" s="6" t="inlineStr">
        <is>
          <t>HOUMOUS RED PEPPER 200G SOLVANE</t>
        </is>
      </c>
      <c r="D111" s="6" t="inlineStr">
        <is>
          <t>Red pepper houmous, 200g</t>
        </is>
      </c>
      <c r="E111" s="6" t="inlineStr">
        <is>
          <t>Solvane</t>
        </is>
      </c>
      <c r="F111" s="6" t="inlineStr">
        <is>
          <t>Deli</t>
        </is>
      </c>
      <c r="G111" s="6" t="inlineStr">
        <is>
          <t>Dips</t>
        </is>
      </c>
      <c r="H111" s="6" t="inlineStr">
        <is>
          <t>yes</t>
        </is>
      </c>
      <c r="I111" s="6" t="inlineStr">
        <is>
          <t>Plant-based core</t>
        </is>
      </c>
      <c r="J111" s="6" t="inlineStr">
        <is>
          <t>B</t>
        </is>
      </c>
      <c r="K111" s="6" t="inlineStr">
        <is>
          <t>Follows the class</t>
        </is>
      </c>
      <c r="L111" s="6" t="n">
        <v>7</v>
      </c>
      <c r="M111" s="6" t="inlineStr">
        <is>
          <t>Declared by the retailer</t>
        </is>
      </c>
      <c r="N111" s="6" t="n">
        <v>7</v>
      </c>
      <c r="O111" s="6" t="n">
        <v>0</v>
      </c>
      <c r="P111" s="6" t="inlineStr">
        <is>
          <t>yes</t>
        </is>
      </c>
      <c r="Q111" s="6" t="inlineStr">
        <is>
          <t>whole</t>
        </is>
      </c>
      <c r="R111" s="6" t="inlineStr">
        <is>
          <t>FG1</t>
        </is>
      </c>
      <c r="S111" s="6" t="inlineStr">
        <is>
          <t>pulses</t>
        </is>
      </c>
      <c r="T111" s="6" t="inlineStr">
        <is>
          <t>plant</t>
        </is>
      </c>
      <c r="U111" s="6" t="n"/>
      <c r="V111" s="6" t="n"/>
      <c r="W111" s="6" t="n">
        <v>1</v>
      </c>
      <c r="X111" s="6" t="n">
        <v>0.2</v>
      </c>
      <c r="Y111" s="6" t="inlineStr">
        <is>
          <t>declared</t>
        </is>
      </c>
      <c r="Z111" s="8" t="n">
        <v>47788</v>
      </c>
      <c r="AA111" s="9">
        <f>IF(H111="yes",Z111*X111,0)</f>
        <v/>
      </c>
      <c r="AB111" s="9">
        <f>IF(H111="yes",AA111*N(L111)/100,0)</f>
        <v/>
      </c>
      <c r="AC111" s="9">
        <f>IF(H111="yes",AA111*N(N111)/100,0)</f>
        <v/>
      </c>
      <c r="AD111" s="9">
        <f>IF(H111="yes",AA111*N(O111)/100,0)</f>
        <v/>
      </c>
      <c r="AE111" s="10">
        <f>IF(P111="yes",AA111/1000,0)</f>
        <v/>
      </c>
      <c r="AF111" s="10">
        <f>IF(R111="FG2",AE111*W111,AE111)</f>
        <v/>
      </c>
    </row>
    <row r="112">
      <c r="A112" s="6" t="inlineStr">
        <is>
          <t>HM00110</t>
        </is>
      </c>
      <c r="B112" s="7" t="inlineStr">
        <is>
          <t>4012345551655</t>
        </is>
      </c>
      <c r="C112" s="6" t="inlineStr">
        <is>
          <t>HM BIN BAGS 50L 4PK</t>
        </is>
      </c>
      <c r="D112" s="6" t="inlineStr">
        <is>
          <t>Bin bags, 50 L, 4pk</t>
        </is>
      </c>
      <c r="E112" s="6" t="inlineStr">
        <is>
          <t>Harbour Market</t>
        </is>
      </c>
      <c r="F112" s="6" t="inlineStr">
        <is>
          <t>Household</t>
        </is>
      </c>
      <c r="G112" s="6" t="inlineStr">
        <is>
          <t>Household</t>
        </is>
      </c>
      <c r="H112" s="6" t="inlineStr">
        <is>
          <t>no</t>
        </is>
      </c>
      <c r="I112" s="6" t="n"/>
      <c r="J112" s="6" t="n"/>
      <c r="K112" s="6" t="n"/>
      <c r="L112" s="6" t="n"/>
      <c r="M112" s="6" t="n"/>
      <c r="N112" s="6" t="n"/>
      <c r="O112" s="6" t="n"/>
      <c r="P112" s="6" t="inlineStr">
        <is>
          <t>no</t>
        </is>
      </c>
      <c r="Q112" s="6" t="n"/>
      <c r="R112" s="6" t="n"/>
      <c r="S112" s="6" t="n"/>
      <c r="T112" s="6" t="n"/>
      <c r="U112" s="6" t="n"/>
      <c r="V112" s="6" t="n"/>
      <c r="W112" s="6" t="n">
        <v>1</v>
      </c>
      <c r="X112" s="6" t="n">
        <v>0.5</v>
      </c>
      <c r="Y112" s="6" t="inlineStr">
        <is>
          <t>declared</t>
        </is>
      </c>
      <c r="Z112" s="8" t="n">
        <v>5397</v>
      </c>
      <c r="AA112" s="9">
        <f>IF(H112="yes",Z112*X112,0)</f>
        <v/>
      </c>
      <c r="AB112" s="9">
        <f>IF(H112="yes",AA112*N(L112)/100,0)</f>
        <v/>
      </c>
      <c r="AC112" s="9">
        <f>IF(H112="yes",AA112*N(N112)/100,0)</f>
        <v/>
      </c>
      <c r="AD112" s="9">
        <f>IF(H112="yes",AA112*N(O112)/100,0)</f>
        <v/>
      </c>
      <c r="AE112" s="10">
        <f>IF(P112="yes",AA112/1000,0)</f>
        <v/>
      </c>
      <c r="AF112" s="10">
        <f>IF(R112="FG2",AE112*W112,AE112)</f>
        <v/>
      </c>
    </row>
    <row r="113">
      <c r="A113" s="6" t="inlineStr">
        <is>
          <t>HM00111</t>
        </is>
      </c>
      <c r="B113" s="7" t="inlineStr">
        <is>
          <t>4012345431360</t>
        </is>
      </c>
      <c r="C113" s="6" t="inlineStr">
        <is>
          <t>HM PAIN AU CHOCOLAT 8PK 280G</t>
        </is>
      </c>
      <c r="D113" s="6" t="inlineStr">
        <is>
          <t>Pains au chocolat, 8pk 280g</t>
        </is>
      </c>
      <c r="E113" s="6" t="inlineStr">
        <is>
          <t>Harbour Market</t>
        </is>
      </c>
      <c r="F113" s="6" t="inlineStr">
        <is>
          <t>Bakery</t>
        </is>
      </c>
      <c r="G113" s="6" t="inlineStr">
        <is>
          <t>Pastries</t>
        </is>
      </c>
      <c r="H113" s="6" t="inlineStr">
        <is>
          <t>yes</t>
        </is>
      </c>
      <c r="I113" s="6" t="inlineStr">
        <is>
          <t>Animal &amp; plant composite</t>
        </is>
      </c>
      <c r="J113" s="6" t="inlineStr">
        <is>
          <t>A</t>
        </is>
      </c>
      <c r="K113" s="6" t="inlineStr">
        <is>
          <t>NEVO food table (ratio only)</t>
        </is>
      </c>
      <c r="L113" s="6" t="n">
        <v>8.300000000000001</v>
      </c>
      <c r="M113" s="6" t="inlineStr">
        <is>
          <t>Declared by the retailer</t>
        </is>
      </c>
      <c r="N113" s="6" t="n">
        <v>5.98</v>
      </c>
      <c r="O113" s="6" t="n">
        <v>2.32</v>
      </c>
      <c r="P113" s="6" t="inlineStr">
        <is>
          <t>yes</t>
        </is>
      </c>
      <c r="Q113" s="6" t="inlineStr">
        <is>
          <t>whole</t>
        </is>
      </c>
      <c r="R113" s="6" t="inlineStr">
        <is>
          <t>FG7</t>
        </is>
      </c>
      <c r="S113" s="6" t="n"/>
      <c r="T113" s="6" t="inlineStr">
        <is>
          <t>plant</t>
        </is>
      </c>
      <c r="U113" s="6" t="n"/>
      <c r="V113" s="6" t="n"/>
      <c r="W113" s="6" t="n">
        <v>1</v>
      </c>
      <c r="X113" s="6" t="n">
        <v>0.28</v>
      </c>
      <c r="Y113" s="6" t="inlineStr">
        <is>
          <t>declared</t>
        </is>
      </c>
      <c r="Z113" s="8" t="n">
        <v>61454</v>
      </c>
      <c r="AA113" s="9">
        <f>IF(H113="yes",Z113*X113,0)</f>
        <v/>
      </c>
      <c r="AB113" s="9">
        <f>IF(H113="yes",AA113*N(L113)/100,0)</f>
        <v/>
      </c>
      <c r="AC113" s="9">
        <f>IF(H113="yes",AA113*N(N113)/100,0)</f>
        <v/>
      </c>
      <c r="AD113" s="9">
        <f>IF(H113="yes",AA113*N(O113)/100,0)</f>
        <v/>
      </c>
      <c r="AE113" s="10">
        <f>IF(P113="yes",AA113/1000,0)</f>
        <v/>
      </c>
      <c r="AF113" s="10">
        <f>IF(R113="FG2",AE113*W113,AE113)</f>
        <v/>
      </c>
    </row>
    <row r="114">
      <c r="A114" s="6" t="inlineStr">
        <is>
          <t>HM00112</t>
        </is>
      </c>
      <c r="B114" s="7" t="inlineStr">
        <is>
          <t>4012345204438</t>
        </is>
      </c>
      <c r="C114" s="6" t="inlineStr">
        <is>
          <t>SOFT CHEESE GARLIC HERB 150G ALDERWICK</t>
        </is>
      </c>
      <c r="D114" s="6" t="inlineStr">
        <is>
          <t>Soft cheese with garlic &amp; herbs, 150g</t>
        </is>
      </c>
      <c r="E114" s="6" t="inlineStr">
        <is>
          <t>Alderwick</t>
        </is>
      </c>
      <c r="F114" s="6" t="inlineStr">
        <is>
          <t>Cheese</t>
        </is>
      </c>
      <c r="G114" s="6" t="inlineStr">
        <is>
          <t>Fresh Cheese</t>
        </is>
      </c>
      <c r="H114" s="6" t="inlineStr">
        <is>
          <t>yes</t>
        </is>
      </c>
      <c r="I114" s="6" t="inlineStr">
        <is>
          <t>Animal core</t>
        </is>
      </c>
      <c r="J114" s="6" t="inlineStr">
        <is>
          <t>B</t>
        </is>
      </c>
      <c r="K114" s="6" t="inlineStr">
        <is>
          <t>First ingredient (step 4a)</t>
        </is>
      </c>
      <c r="L114" s="6" t="n">
        <v>6.2</v>
      </c>
      <c r="M114" s="6" t="inlineStr">
        <is>
          <t>Declared by the retailer</t>
        </is>
      </c>
      <c r="N114" s="6" t="n">
        <v>0</v>
      </c>
      <c r="O114" s="6" t="n">
        <v>6.2</v>
      </c>
      <c r="P114" s="6" t="inlineStr">
        <is>
          <t>yes</t>
        </is>
      </c>
      <c r="Q114" s="6" t="inlineStr">
        <is>
          <t>whole</t>
        </is>
      </c>
      <c r="R114" s="6" t="inlineStr">
        <is>
          <t>FG2</t>
        </is>
      </c>
      <c r="S114" s="6" t="inlineStr">
        <is>
          <t>dairy</t>
        </is>
      </c>
      <c r="T114" s="6" t="inlineStr">
        <is>
          <t>animal</t>
        </is>
      </c>
      <c r="U114" s="6" t="n"/>
      <c r="V114" s="6" t="n"/>
      <c r="W114" s="6" t="n">
        <v>1</v>
      </c>
      <c r="X114" s="6" t="n">
        <v>0.15</v>
      </c>
      <c r="Y114" s="6" t="inlineStr">
        <is>
          <t>declared</t>
        </is>
      </c>
      <c r="Z114" s="8" t="n">
        <v>5704</v>
      </c>
      <c r="AA114" s="9">
        <f>IF(H114="yes",Z114*X114,0)</f>
        <v/>
      </c>
      <c r="AB114" s="9">
        <f>IF(H114="yes",AA114*N(L114)/100,0)</f>
        <v/>
      </c>
      <c r="AC114" s="9">
        <f>IF(H114="yes",AA114*N(N114)/100,0)</f>
        <v/>
      </c>
      <c r="AD114" s="9">
        <f>IF(H114="yes",AA114*N(O114)/100,0)</f>
        <v/>
      </c>
      <c r="AE114" s="10">
        <f>IF(P114="yes",AA114/1000,0)</f>
        <v/>
      </c>
      <c r="AF114" s="10">
        <f>IF(R114="FG2",AE114*W114,AE114)</f>
        <v/>
      </c>
    </row>
    <row r="115">
      <c r="A115" s="6" t="inlineStr">
        <is>
          <t>HM00113</t>
        </is>
      </c>
      <c r="B115" s="7" t="inlineStr">
        <is>
          <t>5012345635484</t>
        </is>
      </c>
      <c r="C115" s="6" t="inlineStr">
        <is>
          <t>QUILLAN BF LASAGNE 450G</t>
        </is>
      </c>
      <c r="D115" s="6" t="inlineStr">
        <is>
          <t>Beef lasagne, 450g</t>
        </is>
      </c>
      <c r="E115" s="6" t="inlineStr">
        <is>
          <t>Quillan</t>
        </is>
      </c>
      <c r="F115" s="6" t="inlineStr">
        <is>
          <t>Ready Meals</t>
        </is>
      </c>
      <c r="G115" s="6" t="inlineStr">
        <is>
          <t>Ready Meals</t>
        </is>
      </c>
      <c r="H115" s="6" t="inlineStr">
        <is>
          <t>yes</t>
        </is>
      </c>
      <c r="I115" s="6" t="inlineStr">
        <is>
          <t>Animal &amp; plant composite</t>
        </is>
      </c>
      <c r="J115" s="6" t="inlineStr">
        <is>
          <t>B</t>
        </is>
      </c>
      <c r="K115" s="6" t="inlineStr">
        <is>
          <t>50/50 convention</t>
        </is>
      </c>
      <c r="L115" s="6" t="n">
        <v>6.9</v>
      </c>
      <c r="M115" s="6" t="inlineStr">
        <is>
          <t>Declared by the retailer</t>
        </is>
      </c>
      <c r="N115" s="6" t="n">
        <v>3.45</v>
      </c>
      <c r="O115" s="6" t="n">
        <v>3.45</v>
      </c>
      <c r="P115" s="6" t="inlineStr">
        <is>
          <t>yes</t>
        </is>
      </c>
      <c r="Q115" s="6" t="inlineStr">
        <is>
          <t>composite</t>
        </is>
      </c>
      <c r="R115" s="6" t="n"/>
      <c r="S115" s="6" t="n"/>
      <c r="T115" s="6" t="n"/>
      <c r="U115" s="6" t="inlineStr">
        <is>
          <t>meat-based</t>
        </is>
      </c>
      <c r="V115" s="6" t="n"/>
      <c r="W115" s="6" t="n">
        <v>1</v>
      </c>
      <c r="X115" s="6" t="n">
        <v>0.45</v>
      </c>
      <c r="Y115" s="6" t="inlineStr">
        <is>
          <t>declared</t>
        </is>
      </c>
      <c r="Z115" s="8" t="n">
        <v>14100</v>
      </c>
      <c r="AA115" s="9">
        <f>IF(H115="yes",Z115*X115,0)</f>
        <v/>
      </c>
      <c r="AB115" s="9">
        <f>IF(H115="yes",AA115*N(L115)/100,0)</f>
        <v/>
      </c>
      <c r="AC115" s="9">
        <f>IF(H115="yes",AA115*N(N115)/100,0)</f>
        <v/>
      </c>
      <c r="AD115" s="9">
        <f>IF(H115="yes",AA115*N(O115)/100,0)</f>
        <v/>
      </c>
      <c r="AE115" s="10">
        <f>IF(P115="yes",AA115/1000,0)</f>
        <v/>
      </c>
      <c r="AF115" s="10">
        <f>IF(R115="FG2",AE115*W115,AE115)</f>
        <v/>
      </c>
    </row>
    <row r="116">
      <c r="A116" s="6" t="inlineStr">
        <is>
          <t>HM00114</t>
        </is>
      </c>
      <c r="B116" s="7" t="inlineStr">
        <is>
          <t>8712345085384</t>
        </is>
      </c>
      <c r="C116" s="6" t="inlineStr">
        <is>
          <t>HM CHOC FUDGE CAKE 6PK 300G</t>
        </is>
      </c>
      <c r="D116" s="6" t="inlineStr">
        <is>
          <t>Chocolate fudge cake, 6pk 300g</t>
        </is>
      </c>
      <c r="E116" s="6" t="inlineStr">
        <is>
          <t>Harbour Market</t>
        </is>
      </c>
      <c r="F116" s="6" t="inlineStr">
        <is>
          <t>Bakery</t>
        </is>
      </c>
      <c r="G116" s="6" t="inlineStr">
        <is>
          <t>Cakes</t>
        </is>
      </c>
      <c r="H116" s="6" t="inlineStr">
        <is>
          <t>yes</t>
        </is>
      </c>
      <c r="I116" s="6" t="inlineStr">
        <is>
          <t>Animal &amp; plant composite</t>
        </is>
      </c>
      <c r="J116" s="6" t="inlineStr">
        <is>
          <t>B</t>
        </is>
      </c>
      <c r="K116" s="6" t="inlineStr">
        <is>
          <t>50/50 convention</t>
        </is>
      </c>
      <c r="L116" s="6" t="n">
        <v>5.2</v>
      </c>
      <c r="M116" s="6" t="inlineStr">
        <is>
          <t>Declared by the retailer</t>
        </is>
      </c>
      <c r="N116" s="6" t="n">
        <v>2.6</v>
      </c>
      <c r="O116" s="6" t="n">
        <v>2.6</v>
      </c>
      <c r="P116" s="6" t="inlineStr">
        <is>
          <t>yes</t>
        </is>
      </c>
      <c r="Q116" s="6" t="inlineStr">
        <is>
          <t>whole</t>
        </is>
      </c>
      <c r="R116" s="6" t="inlineStr">
        <is>
          <t>FG7</t>
        </is>
      </c>
      <c r="S116" s="6" t="n"/>
      <c r="T116" s="6" t="inlineStr">
        <is>
          <t>plant</t>
        </is>
      </c>
      <c r="U116" s="6" t="n"/>
      <c r="V116" s="6" t="n"/>
      <c r="W116" s="6" t="n">
        <v>1</v>
      </c>
      <c r="X116" s="6" t="n">
        <v>0.3</v>
      </c>
      <c r="Y116" s="6" t="inlineStr">
        <is>
          <t>declared</t>
        </is>
      </c>
      <c r="Z116" s="8" t="n">
        <v>32175</v>
      </c>
      <c r="AA116" s="9">
        <f>IF(H116="yes",Z116*X116,0)</f>
        <v/>
      </c>
      <c r="AB116" s="9">
        <f>IF(H116="yes",AA116*N(L116)/100,0)</f>
        <v/>
      </c>
      <c r="AC116" s="9">
        <f>IF(H116="yes",AA116*N(N116)/100,0)</f>
        <v/>
      </c>
      <c r="AD116" s="9">
        <f>IF(H116="yes",AA116*N(O116)/100,0)</f>
        <v/>
      </c>
      <c r="AE116" s="10">
        <f>IF(P116="yes",AA116/1000,0)</f>
        <v/>
      </c>
      <c r="AF116" s="10">
        <f>IF(R116="FG2",AE116*W116,AE116)</f>
        <v/>
      </c>
    </row>
    <row r="117">
      <c r="A117" s="6" t="inlineStr">
        <is>
          <t>HM00115</t>
        </is>
      </c>
      <c r="B117" s="7" t="inlineStr">
        <is>
          <t>8712345517311</t>
        </is>
      </c>
      <c r="C117" s="6" t="inlineStr">
        <is>
          <t>HM MARIS PIPER POTATOES 750G</t>
        </is>
      </c>
      <c r="D117" s="6" t="inlineStr">
        <is>
          <t>Maris Piper potatoes, 750g</t>
        </is>
      </c>
      <c r="E117" s="6" t="inlineStr">
        <is>
          <t>Harbour Market</t>
        </is>
      </c>
      <c r="F117" s="6" t="inlineStr">
        <is>
          <t>Fruit &amp; Vegetables</t>
        </is>
      </c>
      <c r="G117" s="6" t="inlineStr">
        <is>
          <t>Potatoes</t>
        </is>
      </c>
      <c r="H117" s="6" t="inlineStr">
        <is>
          <t>yes</t>
        </is>
      </c>
      <c r="I117" s="6" t="inlineStr">
        <is>
          <t>Plant-based non-core</t>
        </is>
      </c>
      <c r="J117" s="6" t="inlineStr">
        <is>
          <t>B</t>
        </is>
      </c>
      <c r="K117" s="6" t="inlineStr">
        <is>
          <t>Follows the class</t>
        </is>
      </c>
      <c r="L117" s="6" t="n">
        <v>2.1</v>
      </c>
      <c r="M117" s="6" t="inlineStr">
        <is>
          <t>Open Food Facts, by EAN</t>
        </is>
      </c>
      <c r="N117" s="6" t="n">
        <v>2.1</v>
      </c>
      <c r="O117" s="6" t="n">
        <v>0</v>
      </c>
      <c r="P117" s="6" t="inlineStr">
        <is>
          <t>yes</t>
        </is>
      </c>
      <c r="Q117" s="6" t="inlineStr">
        <is>
          <t>whole</t>
        </is>
      </c>
      <c r="R117" s="6" t="inlineStr">
        <is>
          <t>FG6</t>
        </is>
      </c>
      <c r="S117" s="6" t="n"/>
      <c r="T117" s="6" t="inlineStr">
        <is>
          <t>plant</t>
        </is>
      </c>
      <c r="U117" s="6" t="n"/>
      <c r="V117" s="6" t="n"/>
      <c r="W117" s="6" t="n">
        <v>1</v>
      </c>
      <c r="X117" s="6" t="n">
        <v>0.75</v>
      </c>
      <c r="Y117" s="6" t="inlineStr">
        <is>
          <t>declared</t>
        </is>
      </c>
      <c r="Z117" s="8" t="n">
        <v>46447</v>
      </c>
      <c r="AA117" s="9">
        <f>IF(H117="yes",Z117*X117,0)</f>
        <v/>
      </c>
      <c r="AB117" s="9">
        <f>IF(H117="yes",AA117*N(L117)/100,0)</f>
        <v/>
      </c>
      <c r="AC117" s="9">
        <f>IF(H117="yes",AA117*N(N117)/100,0)</f>
        <v/>
      </c>
      <c r="AD117" s="9">
        <f>IF(H117="yes",AA117*N(O117)/100,0)</f>
        <v/>
      </c>
      <c r="AE117" s="10">
        <f>IF(P117="yes",AA117/1000,0)</f>
        <v/>
      </c>
      <c r="AF117" s="10">
        <f>IF(R117="FG2",AE117*W117,AE117)</f>
        <v/>
      </c>
    </row>
    <row r="118">
      <c r="A118" s="6" t="inlineStr">
        <is>
          <t>HM00116</t>
        </is>
      </c>
      <c r="B118" s="7" t="inlineStr">
        <is>
          <t>4012345803983</t>
        </is>
      </c>
      <c r="C118" s="6" t="inlineStr">
        <is>
          <t>TARROW WHOLE CHKN 300G</t>
        </is>
      </c>
      <c r="D118" s="6" t="inlineStr">
        <is>
          <t>Whole chicken, 300g</t>
        </is>
      </c>
      <c r="E118" s="6" t="inlineStr">
        <is>
          <t>Tarrow Farm</t>
        </is>
      </c>
      <c r="F118" s="6" t="inlineStr">
        <is>
          <t>Fresh Meat &amp; Poultry</t>
        </is>
      </c>
      <c r="G118" s="6" t="inlineStr">
        <is>
          <t>Poultry</t>
        </is>
      </c>
      <c r="H118" s="6" t="inlineStr">
        <is>
          <t>yes</t>
        </is>
      </c>
      <c r="I118" s="6" t="inlineStr">
        <is>
          <t>Animal core</t>
        </is>
      </c>
      <c r="J118" s="6" t="inlineStr">
        <is>
          <t>A</t>
        </is>
      </c>
      <c r="K118" s="6" t="inlineStr">
        <is>
          <t>All ingredients on one side</t>
        </is>
      </c>
      <c r="L118" s="6" t="n">
        <v>21.1</v>
      </c>
      <c r="M118" s="6" t="inlineStr">
        <is>
          <t>Declared by the retailer</t>
        </is>
      </c>
      <c r="N118" s="6" t="n">
        <v>0</v>
      </c>
      <c r="O118" s="6" t="n">
        <v>21.1</v>
      </c>
      <c r="P118" s="6" t="inlineStr">
        <is>
          <t>yes</t>
        </is>
      </c>
      <c r="Q118" s="6" t="inlineStr">
        <is>
          <t>whole</t>
        </is>
      </c>
      <c r="R118" s="6" t="inlineStr">
        <is>
          <t>FG1</t>
        </is>
      </c>
      <c r="S118" s="6" t="inlineStr">
        <is>
          <t>poultry</t>
        </is>
      </c>
      <c r="T118" s="6" t="inlineStr">
        <is>
          <t>animal</t>
        </is>
      </c>
      <c r="U118" s="6" t="n"/>
      <c r="V118" s="6" t="n"/>
      <c r="W118" s="6" t="n">
        <v>1</v>
      </c>
      <c r="X118" s="6" t="n">
        <v>0.3</v>
      </c>
      <c r="Y118" s="6" t="inlineStr">
        <is>
          <t>declared</t>
        </is>
      </c>
      <c r="Z118" s="8" t="n">
        <v>191991</v>
      </c>
      <c r="AA118" s="9">
        <f>IF(H118="yes",Z118*X118,0)</f>
        <v/>
      </c>
      <c r="AB118" s="9">
        <f>IF(H118="yes",AA118*N(L118)/100,0)</f>
        <v/>
      </c>
      <c r="AC118" s="9">
        <f>IF(H118="yes",AA118*N(N118)/100,0)</f>
        <v/>
      </c>
      <c r="AD118" s="9">
        <f>IF(H118="yes",AA118*N(O118)/100,0)</f>
        <v/>
      </c>
      <c r="AE118" s="10">
        <f>IF(P118="yes",AA118/1000,0)</f>
        <v/>
      </c>
      <c r="AF118" s="10">
        <f>IF(R118="FG2",AE118*W118,AE118)</f>
        <v/>
      </c>
    </row>
    <row r="119">
      <c r="A119" s="6" t="inlineStr">
        <is>
          <t>HM00117</t>
        </is>
      </c>
      <c r="B119" s="7" t="inlineStr">
        <is>
          <t>5012345720333</t>
        </is>
      </c>
      <c r="C119" s="6" t="inlineStr">
        <is>
          <t>SOLVANE SEITAN PIECES 200G</t>
        </is>
      </c>
      <c r="D119" s="6" t="inlineStr">
        <is>
          <t>Seitan pieces, 200g</t>
        </is>
      </c>
      <c r="E119" s="6" t="inlineStr">
        <is>
          <t>Solvane</t>
        </is>
      </c>
      <c r="F119" s="6" t="inlineStr">
        <is>
          <t>Plant-Based</t>
        </is>
      </c>
      <c r="G119" s="6" t="inlineStr">
        <is>
          <t>Tofu &amp; Tempeh</t>
        </is>
      </c>
      <c r="H119" s="6" t="inlineStr">
        <is>
          <t>yes</t>
        </is>
      </c>
      <c r="I119" s="6" t="inlineStr">
        <is>
          <t>Plant-based core</t>
        </is>
      </c>
      <c r="J119" s="6" t="inlineStr">
        <is>
          <t>B</t>
        </is>
      </c>
      <c r="K119" s="6" t="inlineStr">
        <is>
          <t>Follows the class</t>
        </is>
      </c>
      <c r="L119" s="6" t="n">
        <v>24.7</v>
      </c>
      <c r="M119" s="6" t="inlineStr">
        <is>
          <t>Declared by the retailer</t>
        </is>
      </c>
      <c r="N119" s="6" t="n">
        <v>24.7</v>
      </c>
      <c r="O119" s="6" t="n">
        <v>0</v>
      </c>
      <c r="P119" s="6" t="inlineStr">
        <is>
          <t>yes</t>
        </is>
      </c>
      <c r="Q119" s="6" t="inlineStr">
        <is>
          <t>whole</t>
        </is>
      </c>
      <c r="R119" s="6" t="inlineStr">
        <is>
          <t>FG1</t>
        </is>
      </c>
      <c r="S119" s="6" t="inlineStr">
        <is>
          <t>tofu tempeh seitan</t>
        </is>
      </c>
      <c r="T119" s="6" t="inlineStr">
        <is>
          <t>plant</t>
        </is>
      </c>
      <c r="U119" s="6" t="n"/>
      <c r="V119" s="6" t="n"/>
      <c r="W119" s="6" t="n">
        <v>1</v>
      </c>
      <c r="X119" s="6" t="n">
        <v>0.2</v>
      </c>
      <c r="Y119" s="6" t="inlineStr">
        <is>
          <t>declared</t>
        </is>
      </c>
      <c r="Z119" s="8" t="n">
        <v>26603</v>
      </c>
      <c r="AA119" s="9">
        <f>IF(H119="yes",Z119*X119,0)</f>
        <v/>
      </c>
      <c r="AB119" s="9">
        <f>IF(H119="yes",AA119*N(L119)/100,0)</f>
        <v/>
      </c>
      <c r="AC119" s="9">
        <f>IF(H119="yes",AA119*N(N119)/100,0)</f>
        <v/>
      </c>
      <c r="AD119" s="9">
        <f>IF(H119="yes",AA119*N(O119)/100,0)</f>
        <v/>
      </c>
      <c r="AE119" s="10">
        <f>IF(P119="yes",AA119/1000,0)</f>
        <v/>
      </c>
      <c r="AF119" s="10">
        <f>IF(R119="FG2",AE119*W119,AE119)</f>
        <v/>
      </c>
    </row>
    <row r="120">
      <c r="A120" s="6" t="inlineStr">
        <is>
          <t>HM00118</t>
        </is>
      </c>
      <c r="B120" s="7" t="inlineStr">
        <is>
          <t>3012345779180</t>
        </is>
      </c>
      <c r="C120" s="6" t="inlineStr">
        <is>
          <t>HM SALMON FLT SKINLESS 2X140G</t>
        </is>
      </c>
      <c r="D120" s="6" t="inlineStr">
        <is>
          <t>Skinless salmon fillets, 2x140g</t>
        </is>
      </c>
      <c r="E120" s="6" t="inlineStr">
        <is>
          <t>Harbour Market</t>
        </is>
      </c>
      <c r="F120" s="6" t="inlineStr">
        <is>
          <t>Fish &amp; Seafood</t>
        </is>
      </c>
      <c r="G120" s="6" t="inlineStr">
        <is>
          <t>Fresh Fish</t>
        </is>
      </c>
      <c r="H120" s="6" t="inlineStr">
        <is>
          <t>yes</t>
        </is>
      </c>
      <c r="I120" s="6" t="inlineStr">
        <is>
          <t>Animal core</t>
        </is>
      </c>
      <c r="J120" s="6" t="inlineStr">
        <is>
          <t>B</t>
        </is>
      </c>
      <c r="K120" s="6" t="inlineStr">
        <is>
          <t>Follows the class</t>
        </is>
      </c>
      <c r="L120" s="6" t="n">
        <v>20.4</v>
      </c>
      <c r="M120" s="6" t="inlineStr">
        <is>
          <t>Declared by the retailer</t>
        </is>
      </c>
      <c r="N120" s="6" t="n">
        <v>0</v>
      </c>
      <c r="O120" s="6" t="n">
        <v>20.4</v>
      </c>
      <c r="P120" s="6" t="inlineStr">
        <is>
          <t>yes</t>
        </is>
      </c>
      <c r="Q120" s="6" t="inlineStr">
        <is>
          <t>whole</t>
        </is>
      </c>
      <c r="R120" s="6" t="inlineStr">
        <is>
          <t>FG1</t>
        </is>
      </c>
      <c r="S120" s="6" t="inlineStr">
        <is>
          <t>fish shellfish</t>
        </is>
      </c>
      <c r="T120" s="6" t="inlineStr">
        <is>
          <t>animal</t>
        </is>
      </c>
      <c r="U120" s="6" t="n"/>
      <c r="V120" s="6" t="n"/>
      <c r="W120" s="6" t="n">
        <v>1</v>
      </c>
      <c r="X120" s="6" t="n">
        <v>0.28</v>
      </c>
      <c r="Y120" s="6" t="inlineStr">
        <is>
          <t>declared</t>
        </is>
      </c>
      <c r="Z120" s="8" t="n">
        <v>44898</v>
      </c>
      <c r="AA120" s="9">
        <f>IF(H120="yes",Z120*X120,0)</f>
        <v/>
      </c>
      <c r="AB120" s="9">
        <f>IF(H120="yes",AA120*N(L120)/100,0)</f>
        <v/>
      </c>
      <c r="AC120" s="9">
        <f>IF(H120="yes",AA120*N(N120)/100,0)</f>
        <v/>
      </c>
      <c r="AD120" s="9">
        <f>IF(H120="yes",AA120*N(O120)/100,0)</f>
        <v/>
      </c>
      <c r="AE120" s="10">
        <f>IF(P120="yes",AA120/1000,0)</f>
        <v/>
      </c>
      <c r="AF120" s="10">
        <f>IF(R120="FG2",AE120*W120,AE120)</f>
        <v/>
      </c>
    </row>
    <row r="121">
      <c r="A121" s="6" t="inlineStr">
        <is>
          <t>HM00119</t>
        </is>
      </c>
      <c r="B121" s="7" t="inlineStr">
        <is>
          <t>8712345605605</t>
        </is>
      </c>
      <c r="C121" s="6" t="inlineStr">
        <is>
          <t>LAGER 12X440ML PENWARD</t>
        </is>
      </c>
      <c r="D121" s="6" t="inlineStr">
        <is>
          <t>Lager, 12x440ml</t>
        </is>
      </c>
      <c r="E121" s="6" t="inlineStr">
        <is>
          <t>Penward</t>
        </is>
      </c>
      <c r="F121" s="6" t="inlineStr">
        <is>
          <t>Beer, Wine &amp; Spirits</t>
        </is>
      </c>
      <c r="G121" s="6" t="inlineStr">
        <is>
          <t>Beer &amp; Cider</t>
        </is>
      </c>
      <c r="H121" s="6" t="inlineStr">
        <is>
          <t>yes</t>
        </is>
      </c>
      <c r="I121" s="6" t="inlineStr">
        <is>
          <t>Plant-based non-core</t>
        </is>
      </c>
      <c r="J121" s="6" t="inlineStr">
        <is>
          <t>A</t>
        </is>
      </c>
      <c r="K121" s="6" t="inlineStr">
        <is>
          <t>All ingredients on one side</t>
        </is>
      </c>
      <c r="L121" s="6" t="n">
        <v>0.39</v>
      </c>
      <c r="M121" s="6" t="inlineStr">
        <is>
          <t>Open Food Facts, by EAN</t>
        </is>
      </c>
      <c r="N121" s="6" t="n">
        <v>0.39</v>
      </c>
      <c r="O121" s="6" t="n">
        <v>0</v>
      </c>
      <c r="P121" s="6" t="inlineStr">
        <is>
          <t>no</t>
        </is>
      </c>
      <c r="Q121" s="6" t="n"/>
      <c r="R121" s="6" t="n"/>
      <c r="S121" s="6" t="n"/>
      <c r="T121" s="6" t="n"/>
      <c r="U121" s="6" t="n"/>
      <c r="V121" s="6" t="inlineStr">
        <is>
          <t>alcohol</t>
        </is>
      </c>
      <c r="W121" s="6" t="n">
        <v>1</v>
      </c>
      <c r="X121" s="6" t="n">
        <v>5.28</v>
      </c>
      <c r="Y121" s="6" t="inlineStr">
        <is>
          <t>declared</t>
        </is>
      </c>
      <c r="Z121" s="8" t="n">
        <v>29071</v>
      </c>
      <c r="AA121" s="9">
        <f>IF(H121="yes",Z121*X121,0)</f>
        <v/>
      </c>
      <c r="AB121" s="9">
        <f>IF(H121="yes",AA121*N(L121)/100,0)</f>
        <v/>
      </c>
      <c r="AC121" s="9">
        <f>IF(H121="yes",AA121*N(N121)/100,0)</f>
        <v/>
      </c>
      <c r="AD121" s="9">
        <f>IF(H121="yes",AA121*N(O121)/100,0)</f>
        <v/>
      </c>
      <c r="AE121" s="10">
        <f>IF(P121="yes",AA121/1000,0)</f>
        <v/>
      </c>
      <c r="AF121" s="10">
        <f>IF(R121="FG2",AE121*W121,AE121)</f>
        <v/>
      </c>
    </row>
    <row r="122">
      <c r="A122" s="6" t="inlineStr">
        <is>
          <t>HM00120</t>
        </is>
      </c>
      <c r="B122" s="7" t="inlineStr">
        <is>
          <t>4012345255560</t>
        </is>
      </c>
      <c r="C122" s="6" t="inlineStr">
        <is>
          <t>ORVALIS ARBORIO RICE 2KG</t>
        </is>
      </c>
      <c r="D122" s="6" t="inlineStr">
        <is>
          <t>Arborio rice, 2kg</t>
        </is>
      </c>
      <c r="E122" s="6" t="inlineStr">
        <is>
          <t>Orvalis</t>
        </is>
      </c>
      <c r="F122" s="6" t="inlineStr">
        <is>
          <t>Grocery</t>
        </is>
      </c>
      <c r="G122" s="6" t="inlineStr">
        <is>
          <t>Rice &amp; Grains</t>
        </is>
      </c>
      <c r="H122" s="6" t="inlineStr">
        <is>
          <t>yes</t>
        </is>
      </c>
      <c r="I122" s="6" t="inlineStr">
        <is>
          <t>Plant-based non-core</t>
        </is>
      </c>
      <c r="J122" s="6" t="inlineStr">
        <is>
          <t>A</t>
        </is>
      </c>
      <c r="K122" s="6" t="inlineStr">
        <is>
          <t>All ingredients on one side</t>
        </is>
      </c>
      <c r="L122" s="6" t="n">
        <v>7.2</v>
      </c>
      <c r="M122" s="6" t="inlineStr">
        <is>
          <t>Name match (CIQUAL / NEVO)</t>
        </is>
      </c>
      <c r="N122" s="6" t="n">
        <v>7.2</v>
      </c>
      <c r="O122" s="6" t="n">
        <v>0</v>
      </c>
      <c r="P122" s="6" t="inlineStr">
        <is>
          <t>yes</t>
        </is>
      </c>
      <c r="Q122" s="6" t="inlineStr">
        <is>
          <t>whole</t>
        </is>
      </c>
      <c r="R122" s="6" t="inlineStr">
        <is>
          <t>FG5</t>
        </is>
      </c>
      <c r="S122" s="6" t="inlineStr">
        <is>
          <t>refined grain</t>
        </is>
      </c>
      <c r="T122" s="6" t="inlineStr">
        <is>
          <t>plant</t>
        </is>
      </c>
      <c r="U122" s="6" t="n"/>
      <c r="V122" s="6" t="n"/>
      <c r="W122" s="6" t="n">
        <v>1</v>
      </c>
      <c r="X122" s="6" t="n">
        <v>2</v>
      </c>
      <c r="Y122" s="6" t="inlineStr">
        <is>
          <t>declared</t>
        </is>
      </c>
      <c r="Z122" s="8" t="n">
        <v>56403</v>
      </c>
      <c r="AA122" s="9">
        <f>IF(H122="yes",Z122*X122,0)</f>
        <v/>
      </c>
      <c r="AB122" s="9">
        <f>IF(H122="yes",AA122*N(L122)/100,0)</f>
        <v/>
      </c>
      <c r="AC122" s="9">
        <f>IF(H122="yes",AA122*N(N122)/100,0)</f>
        <v/>
      </c>
      <c r="AD122" s="9">
        <f>IF(H122="yes",AA122*N(O122)/100,0)</f>
        <v/>
      </c>
      <c r="AE122" s="10">
        <f>IF(P122="yes",AA122/1000,0)</f>
        <v/>
      </c>
      <c r="AF122" s="10">
        <f>IF(R122="FG2",AE122*W122,AE122)</f>
        <v/>
      </c>
    </row>
    <row r="123">
      <c r="A123" s="6" t="inlineStr">
        <is>
          <t>HM00121</t>
        </is>
      </c>
      <c r="B123" s="7" t="inlineStr">
        <is>
          <t>3012345318525</t>
        </is>
      </c>
      <c r="C123" s="6" t="inlineStr">
        <is>
          <t>RED WINE MERLOT 3X75CL CASTELNA</t>
        </is>
      </c>
      <c r="D123" s="6" t="inlineStr">
        <is>
          <t>Merlot red wine, 3x75cl</t>
        </is>
      </c>
      <c r="E123" s="6" t="inlineStr">
        <is>
          <t>Castelna</t>
        </is>
      </c>
      <c r="F123" s="6" t="inlineStr">
        <is>
          <t>Beer, Wine &amp; Spirits</t>
        </is>
      </c>
      <c r="G123" s="6" t="inlineStr">
        <is>
          <t>Wine</t>
        </is>
      </c>
      <c r="H123" s="6" t="inlineStr">
        <is>
          <t>yes</t>
        </is>
      </c>
      <c r="I123" s="6" t="inlineStr">
        <is>
          <t>Plant-based non-core</t>
        </is>
      </c>
      <c r="J123" s="6" t="inlineStr">
        <is>
          <t>A</t>
        </is>
      </c>
      <c r="K123" s="6" t="inlineStr">
        <is>
          <t>All ingredients on one side</t>
        </is>
      </c>
      <c r="L123" s="6" t="n">
        <v>0.1</v>
      </c>
      <c r="M123" s="6" t="inlineStr">
        <is>
          <t>Declared by the retailer</t>
        </is>
      </c>
      <c r="N123" s="6" t="n">
        <v>0.1</v>
      </c>
      <c r="O123" s="6" t="n">
        <v>0</v>
      </c>
      <c r="P123" s="6" t="inlineStr">
        <is>
          <t>no</t>
        </is>
      </c>
      <c r="Q123" s="6" t="n"/>
      <c r="R123" s="6" t="n"/>
      <c r="S123" s="6" t="n"/>
      <c r="T123" s="6" t="n"/>
      <c r="U123" s="6" t="n"/>
      <c r="V123" s="6" t="inlineStr">
        <is>
          <t>alcohol</t>
        </is>
      </c>
      <c r="W123" s="6" t="n">
        <v>1</v>
      </c>
      <c r="X123" s="6" t="n">
        <v>2.25</v>
      </c>
      <c r="Y123" s="6" t="inlineStr">
        <is>
          <t>declared</t>
        </is>
      </c>
      <c r="Z123" s="8" t="n">
        <v>49859</v>
      </c>
      <c r="AA123" s="9">
        <f>IF(H123="yes",Z123*X123,0)</f>
        <v/>
      </c>
      <c r="AB123" s="9">
        <f>IF(H123="yes",AA123*N(L123)/100,0)</f>
        <v/>
      </c>
      <c r="AC123" s="9">
        <f>IF(H123="yes",AA123*N(N123)/100,0)</f>
        <v/>
      </c>
      <c r="AD123" s="9">
        <f>IF(H123="yes",AA123*N(O123)/100,0)</f>
        <v/>
      </c>
      <c r="AE123" s="10">
        <f>IF(P123="yes",AA123/1000,0)</f>
        <v/>
      </c>
      <c r="AF123" s="10">
        <f>IF(R123="FG2",AE123*W123,AE123)</f>
        <v/>
      </c>
    </row>
    <row r="124">
      <c r="A124" s="6" t="inlineStr">
        <is>
          <t>HM00122</t>
        </is>
      </c>
      <c r="B124" s="7" t="inlineStr">
        <is>
          <t>3012345945219</t>
        </is>
      </c>
      <c r="C124" s="6" t="inlineStr">
        <is>
          <t>MARLOWE ICE CREAM CONES 4PK 1.8L</t>
        </is>
      </c>
      <c r="D124" s="6" t="inlineStr">
        <is>
          <t>Vanilla ice cream cones, 1.8l</t>
        </is>
      </c>
      <c r="E124" s="6" t="inlineStr">
        <is>
          <t>Marlowe</t>
        </is>
      </c>
      <c r="F124" s="6" t="inlineStr">
        <is>
          <t>Frozen</t>
        </is>
      </c>
      <c r="G124" s="6" t="inlineStr">
        <is>
          <t>Ice Cream</t>
        </is>
      </c>
      <c r="H124" s="6" t="inlineStr">
        <is>
          <t>yes</t>
        </is>
      </c>
      <c r="I124" s="6" t="inlineStr">
        <is>
          <t>Animal core</t>
        </is>
      </c>
      <c r="J124" s="6" t="inlineStr">
        <is>
          <t>B</t>
        </is>
      </c>
      <c r="K124" s="6" t="inlineStr">
        <is>
          <t>First ingredient (step 4a)</t>
        </is>
      </c>
      <c r="L124" s="6" t="n">
        <v>3.6</v>
      </c>
      <c r="M124" s="6" t="inlineStr">
        <is>
          <t>Median of the family</t>
        </is>
      </c>
      <c r="N124" s="6" t="n">
        <v>0</v>
      </c>
      <c r="O124" s="6" t="n">
        <v>3.6</v>
      </c>
      <c r="P124" s="6" t="inlineStr">
        <is>
          <t>yes</t>
        </is>
      </c>
      <c r="Q124" s="6" t="inlineStr">
        <is>
          <t>whole</t>
        </is>
      </c>
      <c r="R124" s="6" t="inlineStr">
        <is>
          <t>FG7</t>
        </is>
      </c>
      <c r="S124" s="6" t="n"/>
      <c r="T124" s="6" t="inlineStr">
        <is>
          <t>animal</t>
        </is>
      </c>
      <c r="U124" s="6" t="n"/>
      <c r="V124" s="6" t="n"/>
      <c r="W124" s="6" t="n">
        <v>1</v>
      </c>
      <c r="X124" s="6" t="n">
        <v>1</v>
      </c>
      <c r="Y124" s="6" t="inlineStr">
        <is>
          <t>declared</t>
        </is>
      </c>
      <c r="Z124" s="8" t="n">
        <v>2508</v>
      </c>
      <c r="AA124" s="9">
        <f>IF(H124="yes",Z124*X124,0)</f>
        <v/>
      </c>
      <c r="AB124" s="9">
        <f>IF(H124="yes",AA124*N(L124)/100,0)</f>
        <v/>
      </c>
      <c r="AC124" s="9">
        <f>IF(H124="yes",AA124*N(N124)/100,0)</f>
        <v/>
      </c>
      <c r="AD124" s="9">
        <f>IF(H124="yes",AA124*N(O124)/100,0)</f>
        <v/>
      </c>
      <c r="AE124" s="10">
        <f>IF(P124="yes",AA124/1000,0)</f>
        <v/>
      </c>
      <c r="AF124" s="10">
        <f>IF(R124="FG2",AE124*W124,AE124)</f>
        <v/>
      </c>
    </row>
    <row r="125">
      <c r="A125" s="6" t="inlineStr">
        <is>
          <t>HM00123</t>
        </is>
      </c>
      <c r="B125" s="7" t="inlineStr">
        <is>
          <t>8712345968526</t>
        </is>
      </c>
      <c r="C125" s="6" t="inlineStr">
        <is>
          <t>WHITE BLOOMER 800G BRAMBLECOTE</t>
        </is>
      </c>
      <c r="D125" s="6" t="inlineStr">
        <is>
          <t>White bloomer, 800g</t>
        </is>
      </c>
      <c r="E125" s="6" t="inlineStr">
        <is>
          <t>Bramblecote</t>
        </is>
      </c>
      <c r="F125" s="6" t="inlineStr">
        <is>
          <t>Bakery</t>
        </is>
      </c>
      <c r="G125" s="6" t="inlineStr">
        <is>
          <t>Bread</t>
        </is>
      </c>
      <c r="H125" s="6" t="inlineStr">
        <is>
          <t>yes</t>
        </is>
      </c>
      <c r="I125" s="6" t="inlineStr">
        <is>
          <t>Plant-based non-core</t>
        </is>
      </c>
      <c r="J125" s="6" t="inlineStr">
        <is>
          <t>A</t>
        </is>
      </c>
      <c r="K125" s="6" t="inlineStr">
        <is>
          <t>All ingredients on one side</t>
        </is>
      </c>
      <c r="L125" s="6" t="n">
        <v>8.1</v>
      </c>
      <c r="M125" s="6" t="inlineStr">
        <is>
          <t>Declared by the retailer</t>
        </is>
      </c>
      <c r="N125" s="6" t="n">
        <v>8.1</v>
      </c>
      <c r="O125" s="6" t="n">
        <v>0</v>
      </c>
      <c r="P125" s="6" t="inlineStr">
        <is>
          <t>yes</t>
        </is>
      </c>
      <c r="Q125" s="6" t="inlineStr">
        <is>
          <t>whole</t>
        </is>
      </c>
      <c r="R125" s="6" t="inlineStr">
        <is>
          <t>FG5</t>
        </is>
      </c>
      <c r="S125" s="6" t="inlineStr">
        <is>
          <t>refined grain</t>
        </is>
      </c>
      <c r="T125" s="6" t="inlineStr">
        <is>
          <t>plant</t>
        </is>
      </c>
      <c r="U125" s="6" t="n"/>
      <c r="V125" s="6" t="n"/>
      <c r="W125" s="6" t="n">
        <v>1</v>
      </c>
      <c r="X125" s="6" t="n">
        <v>0.8</v>
      </c>
      <c r="Y125" s="6" t="inlineStr">
        <is>
          <t>label</t>
        </is>
      </c>
      <c r="Z125" s="8" t="n">
        <v>83997</v>
      </c>
      <c r="AA125" s="9">
        <f>IF(H125="yes",Z125*X125,0)</f>
        <v/>
      </c>
      <c r="AB125" s="9">
        <f>IF(H125="yes",AA125*N(L125)/100,0)</f>
        <v/>
      </c>
      <c r="AC125" s="9">
        <f>IF(H125="yes",AA125*N(N125)/100,0)</f>
        <v/>
      </c>
      <c r="AD125" s="9">
        <f>IF(H125="yes",AA125*N(O125)/100,0)</f>
        <v/>
      </c>
      <c r="AE125" s="10">
        <f>IF(P125="yes",AA125/1000,0)</f>
        <v/>
      </c>
      <c r="AF125" s="10">
        <f>IF(R125="FG2",AE125*W125,AE125)</f>
        <v/>
      </c>
    </row>
    <row r="126">
      <c r="A126" s="6" t="inlineStr">
        <is>
          <t>HM00124</t>
        </is>
      </c>
      <c r="B126" s="7" t="inlineStr">
        <is>
          <t>4012345970821</t>
        </is>
      </c>
      <c r="C126" s="6" t="inlineStr">
        <is>
          <t>HM COTTAGE CHEESE 250G</t>
        </is>
      </c>
      <c r="D126" s="6" t="inlineStr">
        <is>
          <t>Cottage cheese, 250g</t>
        </is>
      </c>
      <c r="E126" s="6" t="inlineStr">
        <is>
          <t>Harbour Market</t>
        </is>
      </c>
      <c r="F126" s="6" t="inlineStr">
        <is>
          <t>Cheese</t>
        </is>
      </c>
      <c r="G126" s="6" t="inlineStr">
        <is>
          <t>Fresh Cheese</t>
        </is>
      </c>
      <c r="H126" s="6" t="inlineStr">
        <is>
          <t>yes</t>
        </is>
      </c>
      <c r="I126" s="6" t="inlineStr">
        <is>
          <t>Animal core</t>
        </is>
      </c>
      <c r="J126" s="6" t="inlineStr">
        <is>
          <t>A</t>
        </is>
      </c>
      <c r="K126" s="6" t="inlineStr">
        <is>
          <t>All ingredients on one side</t>
        </is>
      </c>
      <c r="L126" s="6" t="n">
        <v>10.7</v>
      </c>
      <c r="M126" s="6" t="inlineStr">
        <is>
          <t>Altera reference base</t>
        </is>
      </c>
      <c r="N126" s="6" t="n">
        <v>0</v>
      </c>
      <c r="O126" s="6" t="n">
        <v>10.7</v>
      </c>
      <c r="P126" s="6" t="inlineStr">
        <is>
          <t>yes</t>
        </is>
      </c>
      <c r="Q126" s="6" t="inlineStr">
        <is>
          <t>whole</t>
        </is>
      </c>
      <c r="R126" s="6" t="inlineStr">
        <is>
          <t>FG2</t>
        </is>
      </c>
      <c r="S126" s="6" t="inlineStr">
        <is>
          <t>dairy</t>
        </is>
      </c>
      <c r="T126" s="6" t="inlineStr">
        <is>
          <t>animal</t>
        </is>
      </c>
      <c r="U126" s="6" t="n"/>
      <c r="V126" s="6" t="n"/>
      <c r="W126" s="6" t="n">
        <v>1</v>
      </c>
      <c r="X126" s="6" t="n">
        <v>0.25</v>
      </c>
      <c r="Y126" s="6" t="inlineStr">
        <is>
          <t>label</t>
        </is>
      </c>
      <c r="Z126" s="8" t="n">
        <v>73070</v>
      </c>
      <c r="AA126" s="9">
        <f>IF(H126="yes",Z126*X126,0)</f>
        <v/>
      </c>
      <c r="AB126" s="9">
        <f>IF(H126="yes",AA126*N(L126)/100,0)</f>
        <v/>
      </c>
      <c r="AC126" s="9">
        <f>IF(H126="yes",AA126*N(N126)/100,0)</f>
        <v/>
      </c>
      <c r="AD126" s="9">
        <f>IF(H126="yes",AA126*N(O126)/100,0)</f>
        <v/>
      </c>
      <c r="AE126" s="10">
        <f>IF(P126="yes",AA126/1000,0)</f>
        <v/>
      </c>
      <c r="AF126" s="10">
        <f>IF(R126="FG2",AE126*W126,AE126)</f>
        <v/>
      </c>
    </row>
    <row r="127">
      <c r="A127" s="6" t="inlineStr">
        <is>
          <t>HM00125</t>
        </is>
      </c>
      <c r="B127" s="7" t="inlineStr">
        <is>
          <t>5012345839035</t>
        </is>
      </c>
      <c r="C127" s="6" t="inlineStr">
        <is>
          <t>HM SKYR NAT 4X125G</t>
        </is>
      </c>
      <c r="D127" s="6" t="inlineStr">
        <is>
          <t>Natural skyr, 4x125g</t>
        </is>
      </c>
      <c r="E127" s="6" t="inlineStr">
        <is>
          <t>Harbour Market</t>
        </is>
      </c>
      <c r="F127" s="6" t="inlineStr">
        <is>
          <t>Dairy &amp; Eggs</t>
        </is>
      </c>
      <c r="G127" s="6" t="inlineStr">
        <is>
          <t>Yoghurt</t>
        </is>
      </c>
      <c r="H127" s="6" t="inlineStr">
        <is>
          <t>yes</t>
        </is>
      </c>
      <c r="I127" s="6" t="inlineStr">
        <is>
          <t>Animal core</t>
        </is>
      </c>
      <c r="J127" s="6" t="inlineStr">
        <is>
          <t>B</t>
        </is>
      </c>
      <c r="K127" s="6" t="inlineStr">
        <is>
          <t>Follows the class</t>
        </is>
      </c>
      <c r="L127" s="6" t="n">
        <v>11.5</v>
      </c>
      <c r="M127" s="6" t="inlineStr">
        <is>
          <t>Open Food Facts, by EAN</t>
        </is>
      </c>
      <c r="N127" s="6" t="n">
        <v>0</v>
      </c>
      <c r="O127" s="6" t="n">
        <v>11.5</v>
      </c>
      <c r="P127" s="6" t="inlineStr">
        <is>
          <t>yes</t>
        </is>
      </c>
      <c r="Q127" s="6" t="inlineStr">
        <is>
          <t>whole</t>
        </is>
      </c>
      <c r="R127" s="6" t="inlineStr">
        <is>
          <t>FG2</t>
        </is>
      </c>
      <c r="S127" s="6" t="inlineStr">
        <is>
          <t>dairy</t>
        </is>
      </c>
      <c r="T127" s="6" t="inlineStr">
        <is>
          <t>animal</t>
        </is>
      </c>
      <c r="U127" s="6" t="n"/>
      <c r="V127" s="6" t="n"/>
      <c r="W127" s="6" t="n">
        <v>1</v>
      </c>
      <c r="X127" s="6" t="n">
        <v>0.5</v>
      </c>
      <c r="Y127" s="6" t="inlineStr">
        <is>
          <t>declared</t>
        </is>
      </c>
      <c r="Z127" s="8" t="n">
        <v>75770</v>
      </c>
      <c r="AA127" s="9">
        <f>IF(H127="yes",Z127*X127,0)</f>
        <v/>
      </c>
      <c r="AB127" s="9">
        <f>IF(H127="yes",AA127*N(L127)/100,0)</f>
        <v/>
      </c>
      <c r="AC127" s="9">
        <f>IF(H127="yes",AA127*N(N127)/100,0)</f>
        <v/>
      </c>
      <c r="AD127" s="9">
        <f>IF(H127="yes",AA127*N(O127)/100,0)</f>
        <v/>
      </c>
      <c r="AE127" s="10">
        <f>IF(P127="yes",AA127/1000,0)</f>
        <v/>
      </c>
      <c r="AF127" s="10">
        <f>IF(R127="FG2",AE127*W127,AE127)</f>
        <v/>
      </c>
    </row>
    <row r="128">
      <c r="A128" s="6" t="inlineStr">
        <is>
          <t>HM00126</t>
        </is>
      </c>
      <c r="B128" s="7" t="inlineStr">
        <is>
          <t>3012345495011</t>
        </is>
      </c>
      <c r="C128" s="6" t="inlineStr">
        <is>
          <t>TARROW PORK SAUSAGES 12PK</t>
        </is>
      </c>
      <c r="D128" s="6" t="inlineStr">
        <is>
          <t>Pork sausages, 12pk</t>
        </is>
      </c>
      <c r="E128" s="6" t="inlineStr">
        <is>
          <t>Tarrow Farm</t>
        </is>
      </c>
      <c r="F128" s="6" t="inlineStr">
        <is>
          <t>Fresh Meat &amp; Poultry</t>
        </is>
      </c>
      <c r="G128" s="6" t="inlineStr">
        <is>
          <t>Sausages &amp; Burgers</t>
        </is>
      </c>
      <c r="H128" s="6" t="inlineStr">
        <is>
          <t>yes</t>
        </is>
      </c>
      <c r="I128" s="6" t="inlineStr">
        <is>
          <t>Animal core</t>
        </is>
      </c>
      <c r="J128" s="6" t="inlineStr">
        <is>
          <t>B</t>
        </is>
      </c>
      <c r="K128" s="6" t="inlineStr">
        <is>
          <t>First ingredient (step 4a)</t>
        </is>
      </c>
      <c r="L128" s="6" t="n">
        <v>13.7</v>
      </c>
      <c r="M128" s="6" t="inlineStr">
        <is>
          <t>Declared by the retailer</t>
        </is>
      </c>
      <c r="N128" s="6" t="n">
        <v>0</v>
      </c>
      <c r="O128" s="6" t="n">
        <v>13.7</v>
      </c>
      <c r="P128" s="6" t="inlineStr">
        <is>
          <t>yes</t>
        </is>
      </c>
      <c r="Q128" s="6" t="inlineStr">
        <is>
          <t>whole</t>
        </is>
      </c>
      <c r="R128" s="6" t="inlineStr">
        <is>
          <t>FG1</t>
        </is>
      </c>
      <c r="S128" s="6" t="inlineStr">
        <is>
          <t>red meat</t>
        </is>
      </c>
      <c r="T128" s="6" t="inlineStr">
        <is>
          <t>animal</t>
        </is>
      </c>
      <c r="U128" s="6" t="n"/>
      <c r="V128" s="6" t="n"/>
      <c r="W128" s="6" t="n">
        <v>1</v>
      </c>
      <c r="X128" s="6" t="n">
        <v>0.8</v>
      </c>
      <c r="Y128" s="6" t="inlineStr">
        <is>
          <t>label</t>
        </is>
      </c>
      <c r="Z128" s="8" t="n">
        <v>26631</v>
      </c>
      <c r="AA128" s="9">
        <f>IF(H128="yes",Z128*X128,0)</f>
        <v/>
      </c>
      <c r="AB128" s="9">
        <f>IF(H128="yes",AA128*N(L128)/100,0)</f>
        <v/>
      </c>
      <c r="AC128" s="9">
        <f>IF(H128="yes",AA128*N(N128)/100,0)</f>
        <v/>
      </c>
      <c r="AD128" s="9">
        <f>IF(H128="yes",AA128*N(O128)/100,0)</f>
        <v/>
      </c>
      <c r="AE128" s="10">
        <f>IF(P128="yes",AA128/1000,0)</f>
        <v/>
      </c>
      <c r="AF128" s="10">
        <f>IF(R128="FG2",AE128*W128,AE128)</f>
        <v/>
      </c>
    </row>
    <row r="129">
      <c r="A129" s="6" t="inlineStr">
        <is>
          <t>HM00127</t>
        </is>
      </c>
      <c r="B129" s="7" t="inlineStr">
        <is>
          <t>5012345947181</t>
        </is>
      </c>
      <c r="C129" s="6" t="inlineStr">
        <is>
          <t>EGG TAGLIATELLE 500G ORVALIS</t>
        </is>
      </c>
      <c r="D129" s="6" t="inlineStr">
        <is>
          <t>Egg tagliatelle, 500g</t>
        </is>
      </c>
      <c r="E129" s="6" t="inlineStr">
        <is>
          <t>Orvalis</t>
        </is>
      </c>
      <c r="F129" s="6" t="inlineStr">
        <is>
          <t>Grocery</t>
        </is>
      </c>
      <c r="G129" s="6" t="inlineStr">
        <is>
          <t>Fresh Pasta</t>
        </is>
      </c>
      <c r="H129" s="6" t="inlineStr">
        <is>
          <t>yes</t>
        </is>
      </c>
      <c r="I129" s="6" t="inlineStr">
        <is>
          <t>Animal &amp; plant composite</t>
        </is>
      </c>
      <c r="J129" s="6" t="inlineStr">
        <is>
          <t>A</t>
        </is>
      </c>
      <c r="K129" s="6" t="inlineStr">
        <is>
          <t>Ingredient list</t>
        </is>
      </c>
      <c r="L129" s="6" t="n">
        <v>14.6</v>
      </c>
      <c r="M129" s="6" t="inlineStr">
        <is>
          <t>Name match (CIQUAL / NEVO)</t>
        </is>
      </c>
      <c r="N129" s="6" t="n">
        <v>11.39</v>
      </c>
      <c r="O129" s="6" t="n">
        <v>3.21</v>
      </c>
      <c r="P129" s="6" t="inlineStr">
        <is>
          <t>yes</t>
        </is>
      </c>
      <c r="Q129" s="6" t="inlineStr">
        <is>
          <t>composite</t>
        </is>
      </c>
      <c r="R129" s="6" t="n"/>
      <c r="S129" s="6" t="n"/>
      <c r="T129" s="6" t="n"/>
      <c r="U129" s="6" t="inlineStr">
        <is>
          <t>vegetarian</t>
        </is>
      </c>
      <c r="V129" s="6" t="n"/>
      <c r="W129" s="6" t="n">
        <v>1</v>
      </c>
      <c r="X129" s="6" t="n">
        <v>0.5</v>
      </c>
      <c r="Y129" s="6" t="inlineStr">
        <is>
          <t>declared</t>
        </is>
      </c>
      <c r="Z129" s="8" t="n">
        <v>4407</v>
      </c>
      <c r="AA129" s="9">
        <f>IF(H129="yes",Z129*X129,0)</f>
        <v/>
      </c>
      <c r="AB129" s="9">
        <f>IF(H129="yes",AA129*N(L129)/100,0)</f>
        <v/>
      </c>
      <c r="AC129" s="9">
        <f>IF(H129="yes",AA129*N(N129)/100,0)</f>
        <v/>
      </c>
      <c r="AD129" s="9">
        <f>IF(H129="yes",AA129*N(O129)/100,0)</f>
        <v/>
      </c>
      <c r="AE129" s="10">
        <f>IF(P129="yes",AA129/1000,0)</f>
        <v/>
      </c>
      <c r="AF129" s="10">
        <f>IF(R129="FG2",AE129*W129,AE129)</f>
        <v/>
      </c>
    </row>
    <row r="130">
      <c r="A130" s="6" t="inlineStr">
        <is>
          <t>HM00128</t>
        </is>
      </c>
      <c r="B130" s="7" t="inlineStr">
        <is>
          <t>5012345203409</t>
        </is>
      </c>
      <c r="C130" s="6" t="inlineStr">
        <is>
          <t>HM CARROT CAKE 400G</t>
        </is>
      </c>
      <c r="D130" s="6" t="inlineStr">
        <is>
          <t>Carrot cake, 400g</t>
        </is>
      </c>
      <c r="E130" s="6" t="inlineStr">
        <is>
          <t>Harbour Market</t>
        </is>
      </c>
      <c r="F130" s="6" t="inlineStr">
        <is>
          <t>Bakery</t>
        </is>
      </c>
      <c r="G130" s="6" t="inlineStr">
        <is>
          <t>Cakes</t>
        </is>
      </c>
      <c r="H130" s="6" t="inlineStr">
        <is>
          <t>yes</t>
        </is>
      </c>
      <c r="I130" s="6" t="inlineStr">
        <is>
          <t>Animal &amp; plant composite</t>
        </is>
      </c>
      <c r="J130" s="6" t="inlineStr">
        <is>
          <t>B</t>
        </is>
      </c>
      <c r="K130" s="6" t="inlineStr">
        <is>
          <t>50/50 convention</t>
        </is>
      </c>
      <c r="L130" s="6" t="n">
        <v>5</v>
      </c>
      <c r="M130" s="6" t="inlineStr">
        <is>
          <t>Declared by the retailer</t>
        </is>
      </c>
      <c r="N130" s="6" t="n">
        <v>2.5</v>
      </c>
      <c r="O130" s="6" t="n">
        <v>2.5</v>
      </c>
      <c r="P130" s="6" t="inlineStr">
        <is>
          <t>yes</t>
        </is>
      </c>
      <c r="Q130" s="6" t="inlineStr">
        <is>
          <t>whole</t>
        </is>
      </c>
      <c r="R130" s="6" t="inlineStr">
        <is>
          <t>FG7</t>
        </is>
      </c>
      <c r="S130" s="6" t="n"/>
      <c r="T130" s="6" t="inlineStr">
        <is>
          <t>plant</t>
        </is>
      </c>
      <c r="U130" s="6" t="n"/>
      <c r="V130" s="6" t="n"/>
      <c r="W130" s="6" t="n">
        <v>1</v>
      </c>
      <c r="X130" s="6" t="n">
        <v>0.4</v>
      </c>
      <c r="Y130" s="6" t="inlineStr">
        <is>
          <t>declared</t>
        </is>
      </c>
      <c r="Z130" s="8" t="n">
        <v>15367</v>
      </c>
      <c r="AA130" s="9">
        <f>IF(H130="yes",Z130*X130,0)</f>
        <v/>
      </c>
      <c r="AB130" s="9">
        <f>IF(H130="yes",AA130*N(L130)/100,0)</f>
        <v/>
      </c>
      <c r="AC130" s="9">
        <f>IF(H130="yes",AA130*N(N130)/100,0)</f>
        <v/>
      </c>
      <c r="AD130" s="9">
        <f>IF(H130="yes",AA130*N(O130)/100,0)</f>
        <v/>
      </c>
      <c r="AE130" s="10">
        <f>IF(P130="yes",AA130/1000,0)</f>
        <v/>
      </c>
      <c r="AF130" s="10">
        <f>IF(R130="FG2",AE130*W130,AE130)</f>
        <v/>
      </c>
    </row>
    <row r="131">
      <c r="A131" s="6" t="inlineStr">
        <is>
          <t>HM00129</t>
        </is>
      </c>
      <c r="B131" s="7" t="inlineStr">
        <is>
          <t>4012345553833</t>
        </is>
      </c>
      <c r="C131" s="6" t="inlineStr">
        <is>
          <t>HM PETITS POIS 1.5KG</t>
        </is>
      </c>
      <c r="D131" s="6" t="inlineStr">
        <is>
          <t>Petits pois, 1.5kg</t>
        </is>
      </c>
      <c r="E131" s="6" t="inlineStr">
        <is>
          <t>Harbour Market</t>
        </is>
      </c>
      <c r="F131" s="6" t="inlineStr">
        <is>
          <t>Frozen</t>
        </is>
      </c>
      <c r="G131" s="6" t="inlineStr">
        <is>
          <t>Frozen Vegetables</t>
        </is>
      </c>
      <c r="H131" s="6" t="inlineStr">
        <is>
          <t>yes</t>
        </is>
      </c>
      <c r="I131" s="6" t="inlineStr">
        <is>
          <t>Plant-based core</t>
        </is>
      </c>
      <c r="J131" s="6" t="inlineStr">
        <is>
          <t>A</t>
        </is>
      </c>
      <c r="K131" s="6" t="inlineStr">
        <is>
          <t>All ingredients on one side</t>
        </is>
      </c>
      <c r="L131" s="6" t="n">
        <v>5.4</v>
      </c>
      <c r="M131" s="6" t="inlineStr">
        <is>
          <t>Declared by the retailer</t>
        </is>
      </c>
      <c r="N131" s="6" t="n">
        <v>5.4</v>
      </c>
      <c r="O131" s="6" t="n">
        <v>0</v>
      </c>
      <c r="P131" s="6" t="inlineStr">
        <is>
          <t>yes</t>
        </is>
      </c>
      <c r="Q131" s="6" t="inlineStr">
        <is>
          <t>whole</t>
        </is>
      </c>
      <c r="R131" s="6" t="inlineStr">
        <is>
          <t>FG1</t>
        </is>
      </c>
      <c r="S131" s="6" t="inlineStr">
        <is>
          <t>pulses</t>
        </is>
      </c>
      <c r="T131" s="6" t="inlineStr">
        <is>
          <t>plant</t>
        </is>
      </c>
      <c r="U131" s="6" t="n"/>
      <c r="V131" s="6" t="n"/>
      <c r="W131" s="6" t="n">
        <v>1</v>
      </c>
      <c r="X131" s="6" t="n">
        <v>1.5</v>
      </c>
      <c r="Y131" s="6" t="inlineStr">
        <is>
          <t>declared</t>
        </is>
      </c>
      <c r="Z131" s="8" t="n">
        <v>8786</v>
      </c>
      <c r="AA131" s="9">
        <f>IF(H131="yes",Z131*X131,0)</f>
        <v/>
      </c>
      <c r="AB131" s="9">
        <f>IF(H131="yes",AA131*N(L131)/100,0)</f>
        <v/>
      </c>
      <c r="AC131" s="9">
        <f>IF(H131="yes",AA131*N(N131)/100,0)</f>
        <v/>
      </c>
      <c r="AD131" s="9">
        <f>IF(H131="yes",AA131*N(O131)/100,0)</f>
        <v/>
      </c>
      <c r="AE131" s="10">
        <f>IF(P131="yes",AA131/1000,0)</f>
        <v/>
      </c>
      <c r="AF131" s="10">
        <f>IF(R131="FG2",AE131*W131,AE131)</f>
        <v/>
      </c>
    </row>
    <row r="132">
      <c r="A132" s="6" t="inlineStr">
        <is>
          <t>HM00130</t>
        </is>
      </c>
      <c r="B132" s="7" t="inlineStr">
        <is>
          <t>3012345724210</t>
        </is>
      </c>
      <c r="C132" s="6" t="inlineStr">
        <is>
          <t>WALNUT HALVES 500G PENROCK</t>
        </is>
      </c>
      <c r="D132" s="6" t="inlineStr">
        <is>
          <t>Walnut halves, 500g</t>
        </is>
      </c>
      <c r="E132" s="6" t="inlineStr">
        <is>
          <t>Penrock</t>
        </is>
      </c>
      <c r="F132" s="6" t="inlineStr">
        <is>
          <t>Grocery</t>
        </is>
      </c>
      <c r="G132" s="6" t="inlineStr">
        <is>
          <t>Nuts &amp; Seeds</t>
        </is>
      </c>
      <c r="H132" s="6" t="inlineStr">
        <is>
          <t>yes</t>
        </is>
      </c>
      <c r="I132" s="6" t="inlineStr">
        <is>
          <t>Plant-based core</t>
        </is>
      </c>
      <c r="J132" s="6" t="inlineStr">
        <is>
          <t>A</t>
        </is>
      </c>
      <c r="K132" s="6" t="inlineStr">
        <is>
          <t>All ingredients on one side</t>
        </is>
      </c>
      <c r="L132" s="6" t="n">
        <v>15.2</v>
      </c>
      <c r="M132" s="6" t="inlineStr">
        <is>
          <t>Declared by the retailer</t>
        </is>
      </c>
      <c r="N132" s="6" t="n">
        <v>15.2</v>
      </c>
      <c r="O132" s="6" t="n">
        <v>0</v>
      </c>
      <c r="P132" s="6" t="inlineStr">
        <is>
          <t>yes</t>
        </is>
      </c>
      <c r="Q132" s="6" t="inlineStr">
        <is>
          <t>whole</t>
        </is>
      </c>
      <c r="R132" s="6" t="inlineStr">
        <is>
          <t>FG1</t>
        </is>
      </c>
      <c r="S132" s="6" t="inlineStr">
        <is>
          <t>nuts</t>
        </is>
      </c>
      <c r="T132" s="6" t="inlineStr">
        <is>
          <t>plant</t>
        </is>
      </c>
      <c r="U132" s="6" t="n"/>
      <c r="V132" s="6" t="n"/>
      <c r="W132" s="6" t="n">
        <v>1</v>
      </c>
      <c r="X132" s="6" t="n">
        <v>0.5</v>
      </c>
      <c r="Y132" s="6" t="inlineStr">
        <is>
          <t>declared</t>
        </is>
      </c>
      <c r="Z132" s="8" t="n">
        <v>38461</v>
      </c>
      <c r="AA132" s="9">
        <f>IF(H132="yes",Z132*X132,0)</f>
        <v/>
      </c>
      <c r="AB132" s="9">
        <f>IF(H132="yes",AA132*N(L132)/100,0)</f>
        <v/>
      </c>
      <c r="AC132" s="9">
        <f>IF(H132="yes",AA132*N(N132)/100,0)</f>
        <v/>
      </c>
      <c r="AD132" s="9">
        <f>IF(H132="yes",AA132*N(O132)/100,0)</f>
        <v/>
      </c>
      <c r="AE132" s="10">
        <f>IF(P132="yes",AA132/1000,0)</f>
        <v/>
      </c>
      <c r="AF132" s="10">
        <f>IF(R132="FG2",AE132*W132,AE132)</f>
        <v/>
      </c>
    </row>
    <row r="133">
      <c r="A133" s="6" t="inlineStr">
        <is>
          <t>HM00131</t>
        </is>
      </c>
      <c r="B133" s="7" t="inlineStr">
        <is>
          <t>2707017813310</t>
        </is>
      </c>
      <c r="C133" s="6" t="inlineStr">
        <is>
          <t>HM LEMONS KG</t>
        </is>
      </c>
      <c r="D133" s="6" t="inlineStr">
        <is>
          <t>Lemons</t>
        </is>
      </c>
      <c r="E133" s="6" t="inlineStr">
        <is>
          <t>Harbour Market</t>
        </is>
      </c>
      <c r="F133" s="6" t="inlineStr">
        <is>
          <t>Fruit &amp; Vegetables</t>
        </is>
      </c>
      <c r="G133" s="6" t="inlineStr">
        <is>
          <t>Fruit</t>
        </is>
      </c>
      <c r="H133" s="6" t="inlineStr">
        <is>
          <t>yes</t>
        </is>
      </c>
      <c r="I133" s="6" t="inlineStr">
        <is>
          <t>Plant-based non-core</t>
        </is>
      </c>
      <c r="J133" s="6" t="inlineStr">
        <is>
          <t>B</t>
        </is>
      </c>
      <c r="K133" s="6" t="inlineStr">
        <is>
          <t>Follows the class</t>
        </is>
      </c>
      <c r="L133" s="6" t="n">
        <v>0.57</v>
      </c>
      <c r="M133" s="6" t="inlineStr">
        <is>
          <t>Declared by the retailer</t>
        </is>
      </c>
      <c r="N133" s="6" t="n">
        <v>0.57</v>
      </c>
      <c r="O133" s="6" t="n">
        <v>0</v>
      </c>
      <c r="P133" s="6" t="inlineStr">
        <is>
          <t>yes</t>
        </is>
      </c>
      <c r="Q133" s="6" t="inlineStr">
        <is>
          <t>whole</t>
        </is>
      </c>
      <c r="R133" s="6" t="inlineStr">
        <is>
          <t>FG4</t>
        </is>
      </c>
      <c r="S133" s="6" t="n"/>
      <c r="T133" s="6" t="inlineStr">
        <is>
          <t>plant</t>
        </is>
      </c>
      <c r="U133" s="6" t="n"/>
      <c r="V133" s="6" t="n"/>
      <c r="W133" s="6" t="n">
        <v>1</v>
      </c>
      <c r="X133" s="6" t="n">
        <v>1</v>
      </c>
      <c r="Y133" s="6" t="inlineStr">
        <is>
          <t>variable</t>
        </is>
      </c>
      <c r="Z133" s="8" t="n">
        <v>52388</v>
      </c>
      <c r="AA133" s="9">
        <f>IF(H133="yes",Z133*X133,0)</f>
        <v/>
      </c>
      <c r="AB133" s="9">
        <f>IF(H133="yes",AA133*N(L133)/100,0)</f>
        <v/>
      </c>
      <c r="AC133" s="9">
        <f>IF(H133="yes",AA133*N(N133)/100,0)</f>
        <v/>
      </c>
      <c r="AD133" s="9">
        <f>IF(H133="yes",AA133*N(O133)/100,0)</f>
        <v/>
      </c>
      <c r="AE133" s="10">
        <f>IF(P133="yes",AA133/1000,0)</f>
        <v/>
      </c>
      <c r="AF133" s="10">
        <f>IF(R133="FG2",AE133*W133,AE133)</f>
        <v/>
      </c>
    </row>
    <row r="134">
      <c r="A134" s="6" t="inlineStr">
        <is>
          <t>HM00132</t>
        </is>
      </c>
      <c r="B134" s="7" t="inlineStr">
        <is>
          <t>5012345838465</t>
        </is>
      </c>
      <c r="C134" s="6" t="inlineStr">
        <is>
          <t>HM COLA 1.5L</t>
        </is>
      </c>
      <c r="D134" s="6" t="inlineStr">
        <is>
          <t>Cola, 1.5l</t>
        </is>
      </c>
      <c r="E134" s="6" t="inlineStr">
        <is>
          <t>Harbour Market</t>
        </is>
      </c>
      <c r="F134" s="6" t="inlineStr">
        <is>
          <t>Soft Drinks &amp; Water</t>
        </is>
      </c>
      <c r="G134" s="6" t="inlineStr">
        <is>
          <t>Soft Drinks</t>
        </is>
      </c>
      <c r="H134" s="6" t="inlineStr">
        <is>
          <t>yes</t>
        </is>
      </c>
      <c r="I134" s="6" t="inlineStr">
        <is>
          <t>Plant-based non-core</t>
        </is>
      </c>
      <c r="J134" s="6" t="inlineStr">
        <is>
          <t>A</t>
        </is>
      </c>
      <c r="K134" s="6" t="inlineStr">
        <is>
          <t>All ingredients on one side</t>
        </is>
      </c>
      <c r="L134" s="6" t="n">
        <v>0</v>
      </c>
      <c r="M134" s="6" t="inlineStr">
        <is>
          <t>Median of the family</t>
        </is>
      </c>
      <c r="N134" s="6" t="n">
        <v>0</v>
      </c>
      <c r="O134" s="6" t="n">
        <v>0</v>
      </c>
      <c r="P134" s="6" t="inlineStr">
        <is>
          <t>no</t>
        </is>
      </c>
      <c r="Q134" s="6" t="n"/>
      <c r="R134" s="6" t="n"/>
      <c r="S134" s="6" t="n"/>
      <c r="T134" s="6" t="n"/>
      <c r="U134" s="6" t="n"/>
      <c r="V134" s="6" t="inlineStr">
        <is>
          <t>beverage</t>
        </is>
      </c>
      <c r="W134" s="6" t="n">
        <v>1</v>
      </c>
      <c r="X134" s="6" t="n">
        <v>1.5</v>
      </c>
      <c r="Y134" s="6" t="inlineStr">
        <is>
          <t>declared</t>
        </is>
      </c>
      <c r="Z134" s="8" t="n">
        <v>5601</v>
      </c>
      <c r="AA134" s="9">
        <f>IF(H134="yes",Z134*X134,0)</f>
        <v/>
      </c>
      <c r="AB134" s="9">
        <f>IF(H134="yes",AA134*N(L134)/100,0)</f>
        <v/>
      </c>
      <c r="AC134" s="9">
        <f>IF(H134="yes",AA134*N(N134)/100,0)</f>
        <v/>
      </c>
      <c r="AD134" s="9">
        <f>IF(H134="yes",AA134*N(O134)/100,0)</f>
        <v/>
      </c>
      <c r="AE134" s="10">
        <f>IF(P134="yes",AA134/1000,0)</f>
        <v/>
      </c>
      <c r="AF134" s="10">
        <f>IF(R134="FG2",AE134*W134,AE134)</f>
        <v/>
      </c>
    </row>
    <row r="135">
      <c r="A135" s="6" t="inlineStr">
        <is>
          <t>HM00133</t>
        </is>
      </c>
      <c r="B135" s="7" t="inlineStr">
        <is>
          <t>3012345098021</t>
        </is>
      </c>
      <c r="C135" s="6" t="inlineStr">
        <is>
          <t>HM CUCUMBER 1KG</t>
        </is>
      </c>
      <c r="D135" s="6" t="inlineStr">
        <is>
          <t>Cucumber, 1kg</t>
        </is>
      </c>
      <c r="E135" s="6" t="inlineStr">
        <is>
          <t>Harbour Market</t>
        </is>
      </c>
      <c r="F135" s="6" t="inlineStr">
        <is>
          <t>Fruit &amp; Vegetables</t>
        </is>
      </c>
      <c r="G135" s="6" t="inlineStr">
        <is>
          <t>Vegetables</t>
        </is>
      </c>
      <c r="H135" s="6" t="inlineStr">
        <is>
          <t>yes</t>
        </is>
      </c>
      <c r="I135" s="6" t="inlineStr">
        <is>
          <t>Plant-based non-core</t>
        </is>
      </c>
      <c r="J135" s="6" t="inlineStr">
        <is>
          <t>B</t>
        </is>
      </c>
      <c r="K135" s="6" t="inlineStr">
        <is>
          <t>Follows the class</t>
        </is>
      </c>
      <c r="L135" s="6" t="n">
        <v>0.58</v>
      </c>
      <c r="M135" s="6" t="inlineStr">
        <is>
          <t>Declared by the retailer</t>
        </is>
      </c>
      <c r="N135" s="6" t="n">
        <v>0.58</v>
      </c>
      <c r="O135" s="6" t="n">
        <v>0</v>
      </c>
      <c r="P135" s="6" t="inlineStr">
        <is>
          <t>yes</t>
        </is>
      </c>
      <c r="Q135" s="6" t="inlineStr">
        <is>
          <t>whole</t>
        </is>
      </c>
      <c r="R135" s="6" t="inlineStr">
        <is>
          <t>FG4</t>
        </is>
      </c>
      <c r="S135" s="6" t="n"/>
      <c r="T135" s="6" t="inlineStr">
        <is>
          <t>plant</t>
        </is>
      </c>
      <c r="U135" s="6" t="n"/>
      <c r="V135" s="6" t="n"/>
      <c r="W135" s="6" t="n">
        <v>1</v>
      </c>
      <c r="X135" s="6" t="n">
        <v>1</v>
      </c>
      <c r="Y135" s="6" t="inlineStr">
        <is>
          <t>declared</t>
        </is>
      </c>
      <c r="Z135" s="8" t="n">
        <v>42170</v>
      </c>
      <c r="AA135" s="9">
        <f>IF(H135="yes",Z135*X135,0)</f>
        <v/>
      </c>
      <c r="AB135" s="9">
        <f>IF(H135="yes",AA135*N(L135)/100,0)</f>
        <v/>
      </c>
      <c r="AC135" s="9">
        <f>IF(H135="yes",AA135*N(N135)/100,0)</f>
        <v/>
      </c>
      <c r="AD135" s="9">
        <f>IF(H135="yes",AA135*N(O135)/100,0)</f>
        <v/>
      </c>
      <c r="AE135" s="10">
        <f>IF(P135="yes",AA135/1000,0)</f>
        <v/>
      </c>
      <c r="AF135" s="10">
        <f>IF(R135="FG2",AE135*W135,AE135)</f>
        <v/>
      </c>
    </row>
    <row r="136">
      <c r="A136" s="6" t="inlineStr">
        <is>
          <t>HM00134</t>
        </is>
      </c>
      <c r="B136" s="7" t="inlineStr">
        <is>
          <t>8712345835583</t>
        </is>
      </c>
      <c r="C136" s="6" t="inlineStr">
        <is>
          <t>PIZZA HAM MUSHROOM 335G QUILLAN</t>
        </is>
      </c>
      <c r="D136" s="6" t="inlineStr">
        <is>
          <t>Ham &amp; mushroom pizza, 335g</t>
        </is>
      </c>
      <c r="E136" s="6" t="inlineStr">
        <is>
          <t>Quillan</t>
        </is>
      </c>
      <c r="F136" s="6" t="inlineStr">
        <is>
          <t>Frozen</t>
        </is>
      </c>
      <c r="G136" s="6" t="inlineStr">
        <is>
          <t>Pizza</t>
        </is>
      </c>
      <c r="H136" s="6" t="inlineStr">
        <is>
          <t>yes</t>
        </is>
      </c>
      <c r="I136" s="6" t="inlineStr">
        <is>
          <t>Animal &amp; plant composite</t>
        </is>
      </c>
      <c r="J136" s="6" t="inlineStr">
        <is>
          <t>B</t>
        </is>
      </c>
      <c r="K136" s="6" t="inlineStr">
        <is>
          <t>50/50 convention</t>
        </is>
      </c>
      <c r="L136" s="6" t="n">
        <v>10.4</v>
      </c>
      <c r="M136" s="6" t="inlineStr">
        <is>
          <t>Declared by the retailer</t>
        </is>
      </c>
      <c r="N136" s="6" t="n">
        <v>5.2</v>
      </c>
      <c r="O136" s="6" t="n">
        <v>5.2</v>
      </c>
      <c r="P136" s="6" t="inlineStr">
        <is>
          <t>yes</t>
        </is>
      </c>
      <c r="Q136" s="6" t="inlineStr">
        <is>
          <t>composite</t>
        </is>
      </c>
      <c r="R136" s="6" t="n"/>
      <c r="S136" s="6" t="n"/>
      <c r="T136" s="6" t="n"/>
      <c r="U136" s="6" t="inlineStr">
        <is>
          <t>meat-based</t>
        </is>
      </c>
      <c r="V136" s="6" t="n"/>
      <c r="W136" s="6" t="n">
        <v>1</v>
      </c>
      <c r="X136" s="6" t="n">
        <v>0.335</v>
      </c>
      <c r="Y136" s="6" t="inlineStr">
        <is>
          <t>declared</t>
        </is>
      </c>
      <c r="Z136" s="8" t="n">
        <v>125109</v>
      </c>
      <c r="AA136" s="9">
        <f>IF(H136="yes",Z136*X136,0)</f>
        <v/>
      </c>
      <c r="AB136" s="9">
        <f>IF(H136="yes",AA136*N(L136)/100,0)</f>
        <v/>
      </c>
      <c r="AC136" s="9">
        <f>IF(H136="yes",AA136*N(N136)/100,0)</f>
        <v/>
      </c>
      <c r="AD136" s="9">
        <f>IF(H136="yes",AA136*N(O136)/100,0)</f>
        <v/>
      </c>
      <c r="AE136" s="10">
        <f>IF(P136="yes",AA136/1000,0)</f>
        <v/>
      </c>
      <c r="AF136" s="10">
        <f>IF(R136="FG2",AE136*W136,AE136)</f>
        <v/>
      </c>
    </row>
    <row r="137">
      <c r="A137" s="6" t="inlineStr">
        <is>
          <t>HM00135</t>
        </is>
      </c>
      <c r="B137" s="7" t="inlineStr">
        <is>
          <t>8712345785680</t>
        </is>
      </c>
      <c r="C137" s="6" t="inlineStr">
        <is>
          <t>CASTELNA MIXED DRIED HERBS 100G</t>
        </is>
      </c>
      <c r="D137" s="6" t="inlineStr">
        <is>
          <t>Mixed dried herbs, 100g</t>
        </is>
      </c>
      <c r="E137" s="6" t="inlineStr">
        <is>
          <t>Castelna</t>
        </is>
      </c>
      <c r="F137" s="6" t="inlineStr">
        <is>
          <t>Grocery</t>
        </is>
      </c>
      <c r="G137" s="6" t="inlineStr">
        <is>
          <t>Herbs &amp; Spices</t>
        </is>
      </c>
      <c r="H137" s="6" t="inlineStr">
        <is>
          <t>yes</t>
        </is>
      </c>
      <c r="I137" s="6" t="inlineStr">
        <is>
          <t>Plant-based non-core</t>
        </is>
      </c>
      <c r="J137" s="6" t="inlineStr">
        <is>
          <t>A</t>
        </is>
      </c>
      <c r="K137" s="6" t="inlineStr">
        <is>
          <t>All ingredients on one side</t>
        </is>
      </c>
      <c r="L137" s="6" t="n">
        <v>9.5</v>
      </c>
      <c r="M137" s="6" t="inlineStr">
        <is>
          <t>Declared by the retailer</t>
        </is>
      </c>
      <c r="N137" s="6" t="n">
        <v>9.5</v>
      </c>
      <c r="O137" s="6" t="n">
        <v>0</v>
      </c>
      <c r="P137" s="6" t="inlineStr">
        <is>
          <t>no</t>
        </is>
      </c>
      <c r="Q137" s="6" t="n"/>
      <c r="R137" s="6" t="n"/>
      <c r="S137" s="6" t="n"/>
      <c r="T137" s="6" t="n"/>
      <c r="U137" s="6" t="n"/>
      <c r="V137" s="6" t="inlineStr">
        <is>
          <t>herbs spices</t>
        </is>
      </c>
      <c r="W137" s="6" t="n">
        <v>1</v>
      </c>
      <c r="X137" s="6" t="n">
        <v>0.1</v>
      </c>
      <c r="Y137" s="6" t="inlineStr">
        <is>
          <t>declared</t>
        </is>
      </c>
      <c r="Z137" s="8" t="n">
        <v>1638</v>
      </c>
      <c r="AA137" s="9">
        <f>IF(H137="yes",Z137*X137,0)</f>
        <v/>
      </c>
      <c r="AB137" s="9">
        <f>IF(H137="yes",AA137*N(L137)/100,0)</f>
        <v/>
      </c>
      <c r="AC137" s="9">
        <f>IF(H137="yes",AA137*N(N137)/100,0)</f>
        <v/>
      </c>
      <c r="AD137" s="9">
        <f>IF(H137="yes",AA137*N(O137)/100,0)</f>
        <v/>
      </c>
      <c r="AE137" s="10">
        <f>IF(P137="yes",AA137/1000,0)</f>
        <v/>
      </c>
      <c r="AF137" s="10">
        <f>IF(R137="FG2",AE137*W137,AE137)</f>
        <v/>
      </c>
    </row>
    <row r="138">
      <c r="A138" s="6" t="inlineStr">
        <is>
          <t>HM00136</t>
        </is>
      </c>
      <c r="B138" s="7" t="inlineStr">
        <is>
          <t>2023214764290</t>
        </is>
      </c>
      <c r="C138" s="6" t="inlineStr">
        <is>
          <t>HM COURGETTES KG</t>
        </is>
      </c>
      <c r="D138" s="6" t="inlineStr">
        <is>
          <t>Courgettes</t>
        </is>
      </c>
      <c r="E138" s="6" t="inlineStr">
        <is>
          <t>Harbour Market</t>
        </is>
      </c>
      <c r="F138" s="6" t="inlineStr">
        <is>
          <t>Fruit &amp; Vegetables</t>
        </is>
      </c>
      <c r="G138" s="6" t="inlineStr">
        <is>
          <t>Vegetables</t>
        </is>
      </c>
      <c r="H138" s="6" t="inlineStr">
        <is>
          <t>yes</t>
        </is>
      </c>
      <c r="I138" s="6" t="inlineStr">
        <is>
          <t>Plant-based non-core</t>
        </is>
      </c>
      <c r="J138" s="6" t="inlineStr">
        <is>
          <t>B</t>
        </is>
      </c>
      <c r="K138" s="6" t="inlineStr">
        <is>
          <t>Follows the class</t>
        </is>
      </c>
      <c r="L138" s="6" t="n">
        <v>1.8</v>
      </c>
      <c r="M138" s="6" t="inlineStr">
        <is>
          <t>Declared by the retailer</t>
        </is>
      </c>
      <c r="N138" s="6" t="n">
        <v>1.8</v>
      </c>
      <c r="O138" s="6" t="n">
        <v>0</v>
      </c>
      <c r="P138" s="6" t="inlineStr">
        <is>
          <t>yes</t>
        </is>
      </c>
      <c r="Q138" s="6" t="inlineStr">
        <is>
          <t>whole</t>
        </is>
      </c>
      <c r="R138" s="6" t="inlineStr">
        <is>
          <t>FG4</t>
        </is>
      </c>
      <c r="S138" s="6" t="n"/>
      <c r="T138" s="6" t="inlineStr">
        <is>
          <t>plant</t>
        </is>
      </c>
      <c r="U138" s="6" t="n"/>
      <c r="V138" s="6" t="n"/>
      <c r="W138" s="6" t="n">
        <v>1</v>
      </c>
      <c r="X138" s="6" t="n">
        <v>1</v>
      </c>
      <c r="Y138" s="6" t="inlineStr">
        <is>
          <t>variable</t>
        </is>
      </c>
      <c r="Z138" s="8" t="n">
        <v>68286</v>
      </c>
      <c r="AA138" s="9">
        <f>IF(H138="yes",Z138*X138,0)</f>
        <v/>
      </c>
      <c r="AB138" s="9">
        <f>IF(H138="yes",AA138*N(L138)/100,0)</f>
        <v/>
      </c>
      <c r="AC138" s="9">
        <f>IF(H138="yes",AA138*N(N138)/100,0)</f>
        <v/>
      </c>
      <c r="AD138" s="9">
        <f>IF(H138="yes",AA138*N(O138)/100,0)</f>
        <v/>
      </c>
      <c r="AE138" s="10">
        <f>IF(P138="yes",AA138/1000,0)</f>
        <v/>
      </c>
      <c r="AF138" s="10">
        <f>IF(R138="FG2",AE138*W138,AE138)</f>
        <v/>
      </c>
    </row>
    <row r="139">
      <c r="A139" s="6" t="inlineStr">
        <is>
          <t>HM00137</t>
        </is>
      </c>
      <c r="B139" s="7" t="inlineStr">
        <is>
          <t>3012345832939</t>
        </is>
      </c>
      <c r="C139" s="6" t="inlineStr">
        <is>
          <t>HM PROSECCO 3X75CL</t>
        </is>
      </c>
      <c r="D139" s="6" t="inlineStr">
        <is>
          <t>Prosecco, 3x75cl</t>
        </is>
      </c>
      <c r="E139" s="6" t="inlineStr">
        <is>
          <t>Harbour Market</t>
        </is>
      </c>
      <c r="F139" s="6" t="inlineStr">
        <is>
          <t>Beer, Wine &amp; Spirits</t>
        </is>
      </c>
      <c r="G139" s="6" t="inlineStr">
        <is>
          <t>Wine</t>
        </is>
      </c>
      <c r="H139" s="6" t="inlineStr">
        <is>
          <t>yes</t>
        </is>
      </c>
      <c r="I139" s="6" t="inlineStr">
        <is>
          <t>Plant-based non-core</t>
        </is>
      </c>
      <c r="J139" s="6" t="inlineStr">
        <is>
          <t>A</t>
        </is>
      </c>
      <c r="K139" s="6" t="inlineStr">
        <is>
          <t>All ingredients on one side</t>
        </is>
      </c>
      <c r="L139" s="6" t="n">
        <v>0.1</v>
      </c>
      <c r="M139" s="6" t="inlineStr">
        <is>
          <t>Open Food Facts, by EAN</t>
        </is>
      </c>
      <c r="N139" s="6" t="n">
        <v>0.1</v>
      </c>
      <c r="O139" s="6" t="n">
        <v>0</v>
      </c>
      <c r="P139" s="6" t="inlineStr">
        <is>
          <t>no</t>
        </is>
      </c>
      <c r="Q139" s="6" t="n"/>
      <c r="R139" s="6" t="n"/>
      <c r="S139" s="6" t="n"/>
      <c r="T139" s="6" t="n"/>
      <c r="U139" s="6" t="n"/>
      <c r="V139" s="6" t="inlineStr">
        <is>
          <t>alcohol</t>
        </is>
      </c>
      <c r="W139" s="6" t="n">
        <v>1</v>
      </c>
      <c r="X139" s="6" t="n">
        <v>2.25</v>
      </c>
      <c r="Y139" s="6" t="inlineStr">
        <is>
          <t>declared</t>
        </is>
      </c>
      <c r="Z139" s="8" t="n">
        <v>25051</v>
      </c>
      <c r="AA139" s="9">
        <f>IF(H139="yes",Z139*X139,0)</f>
        <v/>
      </c>
      <c r="AB139" s="9">
        <f>IF(H139="yes",AA139*N(L139)/100,0)</f>
        <v/>
      </c>
      <c r="AC139" s="9">
        <f>IF(H139="yes",AA139*N(N139)/100,0)</f>
        <v/>
      </c>
      <c r="AD139" s="9">
        <f>IF(H139="yes",AA139*N(O139)/100,0)</f>
        <v/>
      </c>
      <c r="AE139" s="10">
        <f>IF(P139="yes",AA139/1000,0)</f>
        <v/>
      </c>
      <c r="AF139" s="10">
        <f>IF(R139="FG2",AE139*W139,AE139)</f>
        <v/>
      </c>
    </row>
    <row r="140">
      <c r="A140" s="6" t="inlineStr">
        <is>
          <t>HM00138</t>
        </is>
      </c>
      <c r="B140" s="7" t="inlineStr">
        <is>
          <t>4012345565492</t>
        </is>
      </c>
      <c r="C140" s="6" t="inlineStr">
        <is>
          <t>HM STRAWB MILKSHAKE 330ML</t>
        </is>
      </c>
      <c r="D140" s="6" t="inlineStr">
        <is>
          <t>Strawberry milkshake, 330ml</t>
        </is>
      </c>
      <c r="E140" s="6" t="inlineStr">
        <is>
          <t>Harbour Market</t>
        </is>
      </c>
      <c r="F140" s="6" t="inlineStr">
        <is>
          <t>Dairy &amp; Eggs</t>
        </is>
      </c>
      <c r="G140" s="6" t="inlineStr">
        <is>
          <t>Milk Drinks</t>
        </is>
      </c>
      <c r="H140" s="6" t="inlineStr">
        <is>
          <t>yes</t>
        </is>
      </c>
      <c r="I140" s="6" t="inlineStr">
        <is>
          <t>Animal core</t>
        </is>
      </c>
      <c r="J140" s="6" t="inlineStr">
        <is>
          <t>B</t>
        </is>
      </c>
      <c r="K140" s="6" t="inlineStr">
        <is>
          <t>First ingredient (step 4a)</t>
        </is>
      </c>
      <c r="L140" s="6" t="n">
        <v>3.4</v>
      </c>
      <c r="M140" s="6" t="inlineStr">
        <is>
          <t>Declared by the retailer</t>
        </is>
      </c>
      <c r="N140" s="6" t="n">
        <v>0</v>
      </c>
      <c r="O140" s="6" t="n">
        <v>3.4</v>
      </c>
      <c r="P140" s="6" t="inlineStr">
        <is>
          <t>yes</t>
        </is>
      </c>
      <c r="Q140" s="6" t="inlineStr">
        <is>
          <t>whole</t>
        </is>
      </c>
      <c r="R140" s="6" t="inlineStr">
        <is>
          <t>FG2</t>
        </is>
      </c>
      <c r="S140" s="6" t="inlineStr">
        <is>
          <t>dairy</t>
        </is>
      </c>
      <c r="T140" s="6" t="inlineStr">
        <is>
          <t>animal</t>
        </is>
      </c>
      <c r="U140" s="6" t="n"/>
      <c r="V140" s="6" t="n"/>
      <c r="W140" s="6" t="n">
        <v>1</v>
      </c>
      <c r="X140" s="6" t="n">
        <v>0.34</v>
      </c>
      <c r="Y140" s="6" t="inlineStr">
        <is>
          <t>declared</t>
        </is>
      </c>
      <c r="Z140" s="8" t="n">
        <v>27971</v>
      </c>
      <c r="AA140" s="9">
        <f>IF(H140="yes",Z140*X140,0)</f>
        <v/>
      </c>
      <c r="AB140" s="9">
        <f>IF(H140="yes",AA140*N(L140)/100,0)</f>
        <v/>
      </c>
      <c r="AC140" s="9">
        <f>IF(H140="yes",AA140*N(N140)/100,0)</f>
        <v/>
      </c>
      <c r="AD140" s="9">
        <f>IF(H140="yes",AA140*N(O140)/100,0)</f>
        <v/>
      </c>
      <c r="AE140" s="10">
        <f>IF(P140="yes",AA140/1000,0)</f>
        <v/>
      </c>
      <c r="AF140" s="10">
        <f>IF(R140="FG2",AE140*W140,AE140)</f>
        <v/>
      </c>
    </row>
    <row r="141">
      <c r="A141" s="6" t="inlineStr">
        <is>
          <t>HM00139</t>
        </is>
      </c>
      <c r="B141" s="7" t="inlineStr">
        <is>
          <t>0012345599200</t>
        </is>
      </c>
      <c r="C141" s="6" t="inlineStr">
        <is>
          <t>TARROW PORK MINCE 4PK 600G</t>
        </is>
      </c>
      <c r="D141" s="6" t="inlineStr">
        <is>
          <t>Pork mince, 4pk 600g</t>
        </is>
      </c>
      <c r="E141" s="6" t="inlineStr">
        <is>
          <t>Tarrow Farm</t>
        </is>
      </c>
      <c r="F141" s="6" t="inlineStr">
        <is>
          <t>Fresh Meat &amp; Poultry</t>
        </is>
      </c>
      <c r="G141" s="6" t="inlineStr">
        <is>
          <t>Pork</t>
        </is>
      </c>
      <c r="H141" s="6" t="inlineStr">
        <is>
          <t>yes</t>
        </is>
      </c>
      <c r="I141" s="6" t="inlineStr">
        <is>
          <t>Animal core</t>
        </is>
      </c>
      <c r="J141" s="6" t="inlineStr">
        <is>
          <t>B</t>
        </is>
      </c>
      <c r="K141" s="6" t="inlineStr">
        <is>
          <t>Follows the class</t>
        </is>
      </c>
      <c r="L141" s="6" t="n">
        <v>20.3</v>
      </c>
      <c r="M141" s="6" t="inlineStr">
        <is>
          <t>Declared by the retailer</t>
        </is>
      </c>
      <c r="N141" s="6" t="n">
        <v>0</v>
      </c>
      <c r="O141" s="6" t="n">
        <v>20.3</v>
      </c>
      <c r="P141" s="6" t="inlineStr">
        <is>
          <t>yes</t>
        </is>
      </c>
      <c r="Q141" s="6" t="inlineStr">
        <is>
          <t>whole</t>
        </is>
      </c>
      <c r="R141" s="6" t="inlineStr">
        <is>
          <t>FG1</t>
        </is>
      </c>
      <c r="S141" s="6" t="inlineStr">
        <is>
          <t>red meat</t>
        </is>
      </c>
      <c r="T141" s="6" t="inlineStr">
        <is>
          <t>animal</t>
        </is>
      </c>
      <c r="U141" s="6" t="n"/>
      <c r="V141" s="6" t="n"/>
      <c r="W141" s="6" t="n">
        <v>1</v>
      </c>
      <c r="X141" s="6" t="n">
        <v>0.6</v>
      </c>
      <c r="Y141" s="6" t="inlineStr">
        <is>
          <t>declared</t>
        </is>
      </c>
      <c r="Z141" s="8" t="n">
        <v>14614</v>
      </c>
      <c r="AA141" s="9">
        <f>IF(H141="yes",Z141*X141,0)</f>
        <v/>
      </c>
      <c r="AB141" s="9">
        <f>IF(H141="yes",AA141*N(L141)/100,0)</f>
        <v/>
      </c>
      <c r="AC141" s="9">
        <f>IF(H141="yes",AA141*N(N141)/100,0)</f>
        <v/>
      </c>
      <c r="AD141" s="9">
        <f>IF(H141="yes",AA141*N(O141)/100,0)</f>
        <v/>
      </c>
      <c r="AE141" s="10">
        <f>IF(P141="yes",AA141/1000,0)</f>
        <v/>
      </c>
      <c r="AF141" s="10">
        <f>IF(R141="FG2",AE141*W141,AE141)</f>
        <v/>
      </c>
    </row>
    <row r="142">
      <c r="A142" s="6" t="inlineStr">
        <is>
          <t>HM00140</t>
        </is>
      </c>
      <c r="B142" s="7" t="inlineStr">
        <is>
          <t>8712345003319</t>
        </is>
      </c>
      <c r="C142" s="6" t="inlineStr">
        <is>
          <t>HM CHEESE ONION CRISPS 6PK 150G</t>
        </is>
      </c>
      <c r="D142" s="6" t="inlineStr">
        <is>
          <t>Cheese &amp; onion crisps, 6pk 150g</t>
        </is>
      </c>
      <c r="E142" s="6" t="inlineStr">
        <is>
          <t>Harbour Market</t>
        </is>
      </c>
      <c r="F142" s="6" t="inlineStr">
        <is>
          <t>Breakfast &amp; Snacks</t>
        </is>
      </c>
      <c r="G142" s="6" t="inlineStr">
        <is>
          <t>Crisps</t>
        </is>
      </c>
      <c r="H142" s="6" t="inlineStr">
        <is>
          <t>yes</t>
        </is>
      </c>
      <c r="I142" s="6" t="inlineStr">
        <is>
          <t>Animal &amp; plant composite</t>
        </is>
      </c>
      <c r="J142" s="6" t="inlineStr">
        <is>
          <t>A</t>
        </is>
      </c>
      <c r="K142" s="6" t="inlineStr">
        <is>
          <t>NEVO food table (ratio only)</t>
        </is>
      </c>
      <c r="L142" s="6" t="n">
        <v>5.8</v>
      </c>
      <c r="M142" s="6" t="inlineStr">
        <is>
          <t>Median of the family</t>
        </is>
      </c>
      <c r="N142" s="6" t="n">
        <v>5.39</v>
      </c>
      <c r="O142" s="6" t="n">
        <v>0.41</v>
      </c>
      <c r="P142" s="6" t="inlineStr">
        <is>
          <t>yes</t>
        </is>
      </c>
      <c r="Q142" s="6" t="inlineStr">
        <is>
          <t>whole</t>
        </is>
      </c>
      <c r="R142" s="6" t="inlineStr">
        <is>
          <t>FG7</t>
        </is>
      </c>
      <c r="S142" s="6" t="n"/>
      <c r="T142" s="6" t="inlineStr">
        <is>
          <t>animal</t>
        </is>
      </c>
      <c r="U142" s="6" t="n"/>
      <c r="V142" s="6" t="n"/>
      <c r="W142" s="6" t="n">
        <v>1</v>
      </c>
      <c r="X142" s="6" t="n">
        <v>0.15</v>
      </c>
      <c r="Y142" s="6" t="inlineStr">
        <is>
          <t>declared</t>
        </is>
      </c>
      <c r="Z142" s="8" t="n">
        <v>39178</v>
      </c>
      <c r="AA142" s="9">
        <f>IF(H142="yes",Z142*X142,0)</f>
        <v/>
      </c>
      <c r="AB142" s="9">
        <f>IF(H142="yes",AA142*N(L142)/100,0)</f>
        <v/>
      </c>
      <c r="AC142" s="9">
        <f>IF(H142="yes",AA142*N(N142)/100,0)</f>
        <v/>
      </c>
      <c r="AD142" s="9">
        <f>IF(H142="yes",AA142*N(O142)/100,0)</f>
        <v/>
      </c>
      <c r="AE142" s="10">
        <f>IF(P142="yes",AA142/1000,0)</f>
        <v/>
      </c>
      <c r="AF142" s="10">
        <f>IF(R142="FG2",AE142*W142,AE142)</f>
        <v/>
      </c>
    </row>
    <row r="143">
      <c r="A143" s="6" t="inlineStr">
        <is>
          <t>HM00141</t>
        </is>
      </c>
      <c r="B143" s="7" t="inlineStr">
        <is>
          <t>3012345277471</t>
        </is>
      </c>
      <c r="C143" s="6" t="inlineStr">
        <is>
          <t>BLENDED WHISKY 1L PENWARD</t>
        </is>
      </c>
      <c r="D143" s="6" t="inlineStr">
        <is>
          <t>Blended whisky, 1l</t>
        </is>
      </c>
      <c r="E143" s="6" t="inlineStr">
        <is>
          <t>Penward</t>
        </is>
      </c>
      <c r="F143" s="6" t="inlineStr">
        <is>
          <t>Beer, Wine &amp; Spirits</t>
        </is>
      </c>
      <c r="G143" s="6" t="inlineStr">
        <is>
          <t>Spirits</t>
        </is>
      </c>
      <c r="H143" s="6" t="inlineStr">
        <is>
          <t>yes</t>
        </is>
      </c>
      <c r="I143" s="6" t="inlineStr">
        <is>
          <t>Plant-based non-core</t>
        </is>
      </c>
      <c r="J143" s="6" t="inlineStr">
        <is>
          <t>B</t>
        </is>
      </c>
      <c r="K143" s="6" t="inlineStr">
        <is>
          <t>Follows the class</t>
        </is>
      </c>
      <c r="L143" s="6" t="n">
        <v>0</v>
      </c>
      <c r="M143" s="6" t="inlineStr">
        <is>
          <t>Altera reference base</t>
        </is>
      </c>
      <c r="N143" s="6" t="n">
        <v>0</v>
      </c>
      <c r="O143" s="6" t="n">
        <v>0</v>
      </c>
      <c r="P143" s="6" t="inlineStr">
        <is>
          <t>no</t>
        </is>
      </c>
      <c r="Q143" s="6" t="n"/>
      <c r="R143" s="6" t="n"/>
      <c r="S143" s="6" t="n"/>
      <c r="T143" s="6" t="n"/>
      <c r="U143" s="6" t="n"/>
      <c r="V143" s="6" t="inlineStr">
        <is>
          <t>alcohol</t>
        </is>
      </c>
      <c r="W143" s="6" t="n">
        <v>1</v>
      </c>
      <c r="X143" s="6" t="n">
        <v>1</v>
      </c>
      <c r="Y143" s="6" t="inlineStr">
        <is>
          <t>declared</t>
        </is>
      </c>
      <c r="Z143" s="8" t="n">
        <v>40079</v>
      </c>
      <c r="AA143" s="9">
        <f>IF(H143="yes",Z143*X143,0)</f>
        <v/>
      </c>
      <c r="AB143" s="9">
        <f>IF(H143="yes",AA143*N(L143)/100,0)</f>
        <v/>
      </c>
      <c r="AC143" s="9">
        <f>IF(H143="yes",AA143*N(N143)/100,0)</f>
        <v/>
      </c>
      <c r="AD143" s="9">
        <f>IF(H143="yes",AA143*N(O143)/100,0)</f>
        <v/>
      </c>
      <c r="AE143" s="10">
        <f>IF(P143="yes",AA143/1000,0)</f>
        <v/>
      </c>
      <c r="AF143" s="10">
        <f>IF(R143="FG2",AE143*W143,AE143)</f>
        <v/>
      </c>
    </row>
    <row r="144">
      <c r="A144" s="6" t="inlineStr">
        <is>
          <t>HM00142</t>
        </is>
      </c>
      <c r="B144" s="7" t="inlineStr">
        <is>
          <t>8712345780449</t>
        </is>
      </c>
      <c r="C144" s="6" t="inlineStr">
        <is>
          <t>HM LARGE EGGS 6PK</t>
        </is>
      </c>
      <c r="D144" s="6" t="inlineStr">
        <is>
          <t>Large eggs, 6pk</t>
        </is>
      </c>
      <c r="E144" s="6" t="inlineStr">
        <is>
          <t>Harbour Market</t>
        </is>
      </c>
      <c r="F144" s="6" t="inlineStr">
        <is>
          <t>Dairy &amp; Eggs</t>
        </is>
      </c>
      <c r="G144" s="6" t="inlineStr">
        <is>
          <t>Eggs</t>
        </is>
      </c>
      <c r="H144" s="6" t="inlineStr">
        <is>
          <t>yes</t>
        </is>
      </c>
      <c r="I144" s="6" t="inlineStr">
        <is>
          <t>Animal core</t>
        </is>
      </c>
      <c r="J144" s="6" t="inlineStr">
        <is>
          <t>B</t>
        </is>
      </c>
      <c r="K144" s="6" t="inlineStr">
        <is>
          <t>Follows the class</t>
        </is>
      </c>
      <c r="L144" s="6" t="n">
        <v>12.1</v>
      </c>
      <c r="M144" s="6" t="inlineStr">
        <is>
          <t>Declared by the retailer</t>
        </is>
      </c>
      <c r="N144" s="6" t="n">
        <v>0</v>
      </c>
      <c r="O144" s="6" t="n">
        <v>12.1</v>
      </c>
      <c r="P144" s="6" t="inlineStr">
        <is>
          <t>yes</t>
        </is>
      </c>
      <c r="Q144" s="6" t="inlineStr">
        <is>
          <t>whole</t>
        </is>
      </c>
      <c r="R144" s="6" t="inlineStr">
        <is>
          <t>FG1</t>
        </is>
      </c>
      <c r="S144" s="6" t="inlineStr">
        <is>
          <t>eggs</t>
        </is>
      </c>
      <c r="T144" s="6" t="inlineStr">
        <is>
          <t>animal</t>
        </is>
      </c>
      <c r="U144" s="6" t="n"/>
      <c r="V144" s="6" t="n"/>
      <c r="W144" s="6" t="n">
        <v>1</v>
      </c>
      <c r="X144" s="6" t="n">
        <v>0.36</v>
      </c>
      <c r="Y144" s="6" t="inlineStr">
        <is>
          <t>declared</t>
        </is>
      </c>
      <c r="Z144" s="8" t="n">
        <v>32854</v>
      </c>
      <c r="AA144" s="9">
        <f>IF(H144="yes",Z144*X144,0)</f>
        <v/>
      </c>
      <c r="AB144" s="9">
        <f>IF(H144="yes",AA144*N(L144)/100,0)</f>
        <v/>
      </c>
      <c r="AC144" s="9">
        <f>IF(H144="yes",AA144*N(N144)/100,0)</f>
        <v/>
      </c>
      <c r="AD144" s="9">
        <f>IF(H144="yes",AA144*N(O144)/100,0)</f>
        <v/>
      </c>
      <c r="AE144" s="10">
        <f>IF(P144="yes",AA144/1000,0)</f>
        <v/>
      </c>
      <c r="AF144" s="10">
        <f>IF(R144="FG2",AE144*W144,AE144)</f>
        <v/>
      </c>
    </row>
    <row r="145">
      <c r="A145" s="6" t="inlineStr">
        <is>
          <t>HM00143</t>
        </is>
      </c>
      <c r="B145" s="7" t="inlineStr">
        <is>
          <t>8712345525439</t>
        </is>
      </c>
      <c r="C145" s="6" t="inlineStr">
        <is>
          <t>PLAIN FLOUR 1.5KG BRAMBLECOTE</t>
        </is>
      </c>
      <c r="D145" s="6" t="inlineStr">
        <is>
          <t>Plain wheat flour, 1.5kg</t>
        </is>
      </c>
      <c r="E145" s="6" t="inlineStr">
        <is>
          <t>Bramblecote</t>
        </is>
      </c>
      <c r="F145" s="6" t="inlineStr">
        <is>
          <t>Grocery</t>
        </is>
      </c>
      <c r="G145" s="6" t="inlineStr">
        <is>
          <t>Baking</t>
        </is>
      </c>
      <c r="H145" s="6" t="inlineStr">
        <is>
          <t>yes</t>
        </is>
      </c>
      <c r="I145" s="6" t="inlineStr">
        <is>
          <t>Plant-based non-core</t>
        </is>
      </c>
      <c r="J145" s="6" t="inlineStr">
        <is>
          <t>A</t>
        </is>
      </c>
      <c r="K145" s="6" t="inlineStr">
        <is>
          <t>All ingredients on one side</t>
        </is>
      </c>
      <c r="L145" s="6" t="n">
        <v>9.6</v>
      </c>
      <c r="M145" s="6" t="inlineStr">
        <is>
          <t>Median of the family</t>
        </is>
      </c>
      <c r="N145" s="6" t="n">
        <v>9.6</v>
      </c>
      <c r="O145" s="6" t="n">
        <v>0</v>
      </c>
      <c r="P145" s="6" t="inlineStr">
        <is>
          <t>yes</t>
        </is>
      </c>
      <c r="Q145" s="6" t="inlineStr">
        <is>
          <t>whole</t>
        </is>
      </c>
      <c r="R145" s="6" t="inlineStr">
        <is>
          <t>FG5</t>
        </is>
      </c>
      <c r="S145" s="6" t="inlineStr">
        <is>
          <t>refined grain</t>
        </is>
      </c>
      <c r="T145" s="6" t="inlineStr">
        <is>
          <t>plant</t>
        </is>
      </c>
      <c r="U145" s="6" t="n"/>
      <c r="V145" s="6" t="n"/>
      <c r="W145" s="6" t="n">
        <v>1</v>
      </c>
      <c r="X145" s="6" t="n">
        <v>1.5</v>
      </c>
      <c r="Y145" s="6" t="inlineStr">
        <is>
          <t>declared</t>
        </is>
      </c>
      <c r="Z145" s="8" t="n">
        <v>12648</v>
      </c>
      <c r="AA145" s="9">
        <f>IF(H145="yes",Z145*X145,0)</f>
        <v/>
      </c>
      <c r="AB145" s="9">
        <f>IF(H145="yes",AA145*N(L145)/100,0)</f>
        <v/>
      </c>
      <c r="AC145" s="9">
        <f>IF(H145="yes",AA145*N(N145)/100,0)</f>
        <v/>
      </c>
      <c r="AD145" s="9">
        <f>IF(H145="yes",AA145*N(O145)/100,0)</f>
        <v/>
      </c>
      <c r="AE145" s="10">
        <f>IF(P145="yes",AA145/1000,0)</f>
        <v/>
      </c>
      <c r="AF145" s="10">
        <f>IF(R145="FG2",AE145*W145,AE145)</f>
        <v/>
      </c>
    </row>
    <row r="146">
      <c r="A146" s="6" t="inlineStr">
        <is>
          <t>HM00144</t>
        </is>
      </c>
      <c r="B146" s="7" t="inlineStr">
        <is>
          <t>5012345657288</t>
        </is>
      </c>
      <c r="C146" s="6" t="inlineStr">
        <is>
          <t>HM ALUMINIUM FOIL EACH</t>
        </is>
      </c>
      <c r="D146" s="6" t="inlineStr">
        <is>
          <t>Aluminium foil</t>
        </is>
      </c>
      <c r="E146" s="6" t="inlineStr">
        <is>
          <t>Harbour Market</t>
        </is>
      </c>
      <c r="F146" s="6" t="inlineStr">
        <is>
          <t>Household</t>
        </is>
      </c>
      <c r="G146" s="6" t="inlineStr">
        <is>
          <t>Household</t>
        </is>
      </c>
      <c r="H146" s="6" t="inlineStr">
        <is>
          <t>no</t>
        </is>
      </c>
      <c r="I146" s="6" t="n"/>
      <c r="J146" s="6" t="n"/>
      <c r="K146" s="6" t="n"/>
      <c r="L146" s="6" t="n"/>
      <c r="M146" s="6" t="n"/>
      <c r="N146" s="6" t="n"/>
      <c r="O146" s="6" t="n"/>
      <c r="P146" s="6" t="inlineStr">
        <is>
          <t>no</t>
        </is>
      </c>
      <c r="Q146" s="6" t="n"/>
      <c r="R146" s="6" t="n"/>
      <c r="S146" s="6" t="n"/>
      <c r="T146" s="6" t="n"/>
      <c r="U146" s="6" t="n"/>
      <c r="V146" s="6" t="n"/>
      <c r="W146" s="6" t="n">
        <v>1</v>
      </c>
      <c r="X146" s="6" t="n">
        <v>0.2</v>
      </c>
      <c r="Y146" s="6" t="inlineStr">
        <is>
          <t>declared</t>
        </is>
      </c>
      <c r="Z146" s="8" t="n">
        <v>4594</v>
      </c>
      <c r="AA146" s="9">
        <f>IF(H146="yes",Z146*X146,0)</f>
        <v/>
      </c>
      <c r="AB146" s="9">
        <f>IF(H146="yes",AA146*N(L146)/100,0)</f>
        <v/>
      </c>
      <c r="AC146" s="9">
        <f>IF(H146="yes",AA146*N(N146)/100,0)</f>
        <v/>
      </c>
      <c r="AD146" s="9">
        <f>IF(H146="yes",AA146*N(O146)/100,0)</f>
        <v/>
      </c>
      <c r="AE146" s="10">
        <f>IF(P146="yes",AA146/1000,0)</f>
        <v/>
      </c>
      <c r="AF146" s="10">
        <f>IF(R146="FG2",AE146*W146,AE146)</f>
        <v/>
      </c>
    </row>
    <row r="147">
      <c r="A147" s="6" t="inlineStr">
        <is>
          <t>HM00145</t>
        </is>
      </c>
      <c r="B147" s="7" t="inlineStr">
        <is>
          <t>8712345587581</t>
        </is>
      </c>
      <c r="C147" s="6" t="inlineStr">
        <is>
          <t>TARROW ROAST CHKN SLICES 100G</t>
        </is>
      </c>
      <c r="D147" s="6" t="inlineStr">
        <is>
          <t>Roast chicken slices, 100g</t>
        </is>
      </c>
      <c r="E147" s="6" t="inlineStr">
        <is>
          <t>Tarrow Farm</t>
        </is>
      </c>
      <c r="F147" s="6" t="inlineStr">
        <is>
          <t>Deli</t>
        </is>
      </c>
      <c r="G147" s="6" t="inlineStr">
        <is>
          <t>Cooked Meats</t>
        </is>
      </c>
      <c r="H147" s="6" t="inlineStr">
        <is>
          <t>yes</t>
        </is>
      </c>
      <c r="I147" s="6" t="inlineStr">
        <is>
          <t>Animal core</t>
        </is>
      </c>
      <c r="J147" s="6" t="inlineStr">
        <is>
          <t>A</t>
        </is>
      </c>
      <c r="K147" s="6" t="inlineStr">
        <is>
          <t>All ingredients on one side</t>
        </is>
      </c>
      <c r="L147" s="6" t="n">
        <v>22.5</v>
      </c>
      <c r="M147" s="6" t="inlineStr">
        <is>
          <t>Altera reference base</t>
        </is>
      </c>
      <c r="N147" s="6" t="n">
        <v>0</v>
      </c>
      <c r="O147" s="6" t="n">
        <v>22.5</v>
      </c>
      <c r="P147" s="6" t="inlineStr">
        <is>
          <t>yes</t>
        </is>
      </c>
      <c r="Q147" s="6" t="inlineStr">
        <is>
          <t>whole</t>
        </is>
      </c>
      <c r="R147" s="6" t="inlineStr">
        <is>
          <t>FG1</t>
        </is>
      </c>
      <c r="S147" s="6" t="inlineStr">
        <is>
          <t>poultry</t>
        </is>
      </c>
      <c r="T147" s="6" t="inlineStr">
        <is>
          <t>animal</t>
        </is>
      </c>
      <c r="U147" s="6" t="n"/>
      <c r="V147" s="6" t="n"/>
      <c r="W147" s="6" t="n">
        <v>1</v>
      </c>
      <c r="X147" s="6" t="n">
        <v>0.1</v>
      </c>
      <c r="Y147" s="6" t="inlineStr">
        <is>
          <t>declared</t>
        </is>
      </c>
      <c r="Z147" s="8" t="n">
        <v>104692</v>
      </c>
      <c r="AA147" s="9">
        <f>IF(H147="yes",Z147*X147,0)</f>
        <v/>
      </c>
      <c r="AB147" s="9">
        <f>IF(H147="yes",AA147*N(L147)/100,0)</f>
        <v/>
      </c>
      <c r="AC147" s="9">
        <f>IF(H147="yes",AA147*N(N147)/100,0)</f>
        <v/>
      </c>
      <c r="AD147" s="9">
        <f>IF(H147="yes",AA147*N(O147)/100,0)</f>
        <v/>
      </c>
      <c r="AE147" s="10">
        <f>IF(P147="yes",AA147/1000,0)</f>
        <v/>
      </c>
      <c r="AF147" s="10">
        <f>IF(R147="FG2",AE147*W147,AE147)</f>
        <v/>
      </c>
    </row>
    <row r="148">
      <c r="A148" s="6" t="inlineStr">
        <is>
          <t>HM00146</t>
        </is>
      </c>
      <c r="B148" s="7" t="inlineStr">
        <is>
          <t>8712345385811</t>
        </is>
      </c>
      <c r="C148" s="6" t="inlineStr">
        <is>
          <t>STRAWB MILKSHAKE 6X200ML FJELDA</t>
        </is>
      </c>
      <c r="D148" s="6" t="inlineStr">
        <is>
          <t>Strawberry milkshake, 6x200ml</t>
        </is>
      </c>
      <c r="E148" s="6" t="inlineStr">
        <is>
          <t>Fjelda</t>
        </is>
      </c>
      <c r="F148" s="6" t="inlineStr">
        <is>
          <t>Dairy &amp; Eggs</t>
        </is>
      </c>
      <c r="G148" s="6" t="inlineStr">
        <is>
          <t>Milk Drinks</t>
        </is>
      </c>
      <c r="H148" s="6" t="inlineStr">
        <is>
          <t>yes</t>
        </is>
      </c>
      <c r="I148" s="6" t="inlineStr">
        <is>
          <t>Animal core</t>
        </is>
      </c>
      <c r="J148" s="6" t="inlineStr">
        <is>
          <t>B</t>
        </is>
      </c>
      <c r="K148" s="6" t="inlineStr">
        <is>
          <t>First ingredient (step 4a)</t>
        </is>
      </c>
      <c r="L148" s="6" t="n">
        <v>3.3</v>
      </c>
      <c r="M148" s="6" t="inlineStr">
        <is>
          <t>Declared by the retailer</t>
        </is>
      </c>
      <c r="N148" s="6" t="n">
        <v>0</v>
      </c>
      <c r="O148" s="6" t="n">
        <v>3.3</v>
      </c>
      <c r="P148" s="6" t="inlineStr">
        <is>
          <t>yes</t>
        </is>
      </c>
      <c r="Q148" s="6" t="inlineStr">
        <is>
          <t>whole</t>
        </is>
      </c>
      <c r="R148" s="6" t="inlineStr">
        <is>
          <t>FG2</t>
        </is>
      </c>
      <c r="S148" s="6" t="inlineStr">
        <is>
          <t>dairy</t>
        </is>
      </c>
      <c r="T148" s="6" t="inlineStr">
        <is>
          <t>animal</t>
        </is>
      </c>
      <c r="U148" s="6" t="n"/>
      <c r="V148" s="6" t="n"/>
      <c r="W148" s="6" t="n">
        <v>1</v>
      </c>
      <c r="X148" s="6" t="n">
        <v>1.24</v>
      </c>
      <c r="Y148" s="6" t="inlineStr">
        <is>
          <t>declared</t>
        </is>
      </c>
      <c r="Z148" s="8" t="n">
        <v>8946</v>
      </c>
      <c r="AA148" s="9">
        <f>IF(H148="yes",Z148*X148,0)</f>
        <v/>
      </c>
      <c r="AB148" s="9">
        <f>IF(H148="yes",AA148*N(L148)/100,0)</f>
        <v/>
      </c>
      <c r="AC148" s="9">
        <f>IF(H148="yes",AA148*N(N148)/100,0)</f>
        <v/>
      </c>
      <c r="AD148" s="9">
        <f>IF(H148="yes",AA148*N(O148)/100,0)</f>
        <v/>
      </c>
      <c r="AE148" s="10">
        <f>IF(P148="yes",AA148/1000,0)</f>
        <v/>
      </c>
      <c r="AF148" s="10">
        <f>IF(R148="FG2",AE148*W148,AE148)</f>
        <v/>
      </c>
    </row>
    <row r="149">
      <c r="A149" s="6" t="inlineStr">
        <is>
          <t>HM00147</t>
        </is>
      </c>
      <c r="B149" s="7" t="inlineStr">
        <is>
          <t>8712345436384</t>
        </is>
      </c>
      <c r="C149" s="6" t="inlineStr">
        <is>
          <t>HM QUARK 180G</t>
        </is>
      </c>
      <c r="D149" s="6" t="inlineStr">
        <is>
          <t>Quark, 180g</t>
        </is>
      </c>
      <c r="E149" s="6" t="inlineStr">
        <is>
          <t>Harbour Market</t>
        </is>
      </c>
      <c r="F149" s="6" t="inlineStr">
        <is>
          <t>Cheese</t>
        </is>
      </c>
      <c r="G149" s="6" t="inlineStr">
        <is>
          <t>Fresh Cheese</t>
        </is>
      </c>
      <c r="H149" s="6" t="inlineStr">
        <is>
          <t>yes</t>
        </is>
      </c>
      <c r="I149" s="6" t="inlineStr">
        <is>
          <t>Animal core</t>
        </is>
      </c>
      <c r="J149" s="6" t="inlineStr">
        <is>
          <t>A</t>
        </is>
      </c>
      <c r="K149" s="6" t="inlineStr">
        <is>
          <t>All ingredients on one side</t>
        </is>
      </c>
      <c r="L149" s="6" t="n">
        <v>12.7</v>
      </c>
      <c r="M149" s="6" t="inlineStr">
        <is>
          <t>Open Food Facts, by EAN</t>
        </is>
      </c>
      <c r="N149" s="6" t="n">
        <v>0</v>
      </c>
      <c r="O149" s="6" t="n">
        <v>12.7</v>
      </c>
      <c r="P149" s="6" t="inlineStr">
        <is>
          <t>yes</t>
        </is>
      </c>
      <c r="Q149" s="6" t="inlineStr">
        <is>
          <t>whole</t>
        </is>
      </c>
      <c r="R149" s="6" t="inlineStr">
        <is>
          <t>FG2</t>
        </is>
      </c>
      <c r="S149" s="6" t="inlineStr">
        <is>
          <t>dairy</t>
        </is>
      </c>
      <c r="T149" s="6" t="inlineStr">
        <is>
          <t>animal</t>
        </is>
      </c>
      <c r="U149" s="6" t="n"/>
      <c r="V149" s="6" t="n"/>
      <c r="W149" s="6" t="n">
        <v>1</v>
      </c>
      <c r="X149" s="6" t="n">
        <v>0.18</v>
      </c>
      <c r="Y149" s="6" t="inlineStr">
        <is>
          <t>declared</t>
        </is>
      </c>
      <c r="Z149" s="8" t="n">
        <v>15847</v>
      </c>
      <c r="AA149" s="9">
        <f>IF(H149="yes",Z149*X149,0)</f>
        <v/>
      </c>
      <c r="AB149" s="9">
        <f>IF(H149="yes",AA149*N(L149)/100,0)</f>
        <v/>
      </c>
      <c r="AC149" s="9">
        <f>IF(H149="yes",AA149*N(N149)/100,0)</f>
        <v/>
      </c>
      <c r="AD149" s="9">
        <f>IF(H149="yes",AA149*N(O149)/100,0)</f>
        <v/>
      </c>
      <c r="AE149" s="10">
        <f>IF(P149="yes",AA149/1000,0)</f>
        <v/>
      </c>
      <c r="AF149" s="10">
        <f>IF(R149="FG2",AE149*W149,AE149)</f>
        <v/>
      </c>
    </row>
    <row r="150">
      <c r="A150" s="6" t="inlineStr">
        <is>
          <t>HM00148</t>
        </is>
      </c>
      <c r="B150" s="7" t="inlineStr">
        <is>
          <t>8712345697280</t>
        </is>
      </c>
      <c r="C150" s="6" t="inlineStr">
        <is>
          <t>FREE RANGE EGGS 6PK TARROW</t>
        </is>
      </c>
      <c r="D150" s="6" t="inlineStr">
        <is>
          <t>Free-range eggs, 6pk</t>
        </is>
      </c>
      <c r="E150" s="6" t="inlineStr">
        <is>
          <t>Tarrow Farm</t>
        </is>
      </c>
      <c r="F150" s="6" t="inlineStr">
        <is>
          <t>Dairy &amp; Eggs</t>
        </is>
      </c>
      <c r="G150" s="6" t="inlineStr">
        <is>
          <t>Eggs</t>
        </is>
      </c>
      <c r="H150" s="6" t="inlineStr">
        <is>
          <t>yes</t>
        </is>
      </c>
      <c r="I150" s="6" t="inlineStr">
        <is>
          <t>Animal core</t>
        </is>
      </c>
      <c r="J150" s="6" t="inlineStr">
        <is>
          <t>B</t>
        </is>
      </c>
      <c r="K150" s="6" t="inlineStr">
        <is>
          <t>Follows the class</t>
        </is>
      </c>
      <c r="L150" s="6" t="n">
        <v>12.9</v>
      </c>
      <c r="M150" s="6" t="inlineStr">
        <is>
          <t>Median of the family</t>
        </is>
      </c>
      <c r="N150" s="6" t="n">
        <v>0</v>
      </c>
      <c r="O150" s="6" t="n">
        <v>12.9</v>
      </c>
      <c r="P150" s="6" t="inlineStr">
        <is>
          <t>yes</t>
        </is>
      </c>
      <c r="Q150" s="6" t="inlineStr">
        <is>
          <t>whole</t>
        </is>
      </c>
      <c r="R150" s="6" t="inlineStr">
        <is>
          <t>FG1</t>
        </is>
      </c>
      <c r="S150" s="6" t="inlineStr">
        <is>
          <t>eggs</t>
        </is>
      </c>
      <c r="T150" s="6" t="inlineStr">
        <is>
          <t>animal</t>
        </is>
      </c>
      <c r="U150" s="6" t="n"/>
      <c r="V150" s="6" t="n"/>
      <c r="W150" s="6" t="n">
        <v>1</v>
      </c>
      <c r="X150" s="6" t="n">
        <v>0.36</v>
      </c>
      <c r="Y150" s="6" t="inlineStr">
        <is>
          <t>declared</t>
        </is>
      </c>
      <c r="Z150" s="8" t="n">
        <v>36450</v>
      </c>
      <c r="AA150" s="9">
        <f>IF(H150="yes",Z150*X150,0)</f>
        <v/>
      </c>
      <c r="AB150" s="9">
        <f>IF(H150="yes",AA150*N(L150)/100,0)</f>
        <v/>
      </c>
      <c r="AC150" s="9">
        <f>IF(H150="yes",AA150*N(N150)/100,0)</f>
        <v/>
      </c>
      <c r="AD150" s="9">
        <f>IF(H150="yes",AA150*N(O150)/100,0)</f>
        <v/>
      </c>
      <c r="AE150" s="10">
        <f>IF(P150="yes",AA150/1000,0)</f>
        <v/>
      </c>
      <c r="AF150" s="10">
        <f>IF(R150="FG2",AE150*W150,AE150)</f>
        <v/>
      </c>
    </row>
    <row r="151">
      <c r="A151" s="6" t="inlineStr">
        <is>
          <t>HM00149</t>
        </is>
      </c>
      <c r="B151" s="7" t="inlineStr">
        <is>
          <t>3012345410786</t>
        </is>
      </c>
      <c r="C151" s="6" t="inlineStr">
        <is>
          <t>WHITE BLOOMER 250G BRAMBLECOTE</t>
        </is>
      </c>
      <c r="D151" s="6" t="inlineStr">
        <is>
          <t>White bloomer, 250g</t>
        </is>
      </c>
      <c r="E151" s="6" t="inlineStr">
        <is>
          <t>Bramblecote</t>
        </is>
      </c>
      <c r="F151" s="6" t="inlineStr">
        <is>
          <t>Bakery</t>
        </is>
      </c>
      <c r="G151" s="6" t="inlineStr">
        <is>
          <t>Bread</t>
        </is>
      </c>
      <c r="H151" s="6" t="inlineStr">
        <is>
          <t>yes</t>
        </is>
      </c>
      <c r="I151" s="6" t="inlineStr">
        <is>
          <t>Plant-based non-core</t>
        </is>
      </c>
      <c r="J151" s="6" t="inlineStr">
        <is>
          <t>B</t>
        </is>
      </c>
      <c r="K151" s="6" t="inlineStr">
        <is>
          <t>Follows the class</t>
        </is>
      </c>
      <c r="L151" s="6" t="n">
        <v>8.800000000000001</v>
      </c>
      <c r="M151" s="6" t="inlineStr">
        <is>
          <t>Declared by the retailer</t>
        </is>
      </c>
      <c r="N151" s="6" t="n">
        <v>8.800000000000001</v>
      </c>
      <c r="O151" s="6" t="n">
        <v>0</v>
      </c>
      <c r="P151" s="6" t="inlineStr">
        <is>
          <t>yes</t>
        </is>
      </c>
      <c r="Q151" s="6" t="inlineStr">
        <is>
          <t>whole</t>
        </is>
      </c>
      <c r="R151" s="6" t="inlineStr">
        <is>
          <t>FG5</t>
        </is>
      </c>
      <c r="S151" s="6" t="inlineStr">
        <is>
          <t>refined grain</t>
        </is>
      </c>
      <c r="T151" s="6" t="inlineStr">
        <is>
          <t>plant</t>
        </is>
      </c>
      <c r="U151" s="6" t="n"/>
      <c r="V151" s="6" t="n"/>
      <c r="W151" s="6" t="n">
        <v>1</v>
      </c>
      <c r="X151" s="6" t="n">
        <v>0.25</v>
      </c>
      <c r="Y151" s="6" t="inlineStr">
        <is>
          <t>declared</t>
        </is>
      </c>
      <c r="Z151" s="8" t="n">
        <v>16703</v>
      </c>
      <c r="AA151" s="9">
        <f>IF(H151="yes",Z151*X151,0)</f>
        <v/>
      </c>
      <c r="AB151" s="9">
        <f>IF(H151="yes",AA151*N(L151)/100,0)</f>
        <v/>
      </c>
      <c r="AC151" s="9">
        <f>IF(H151="yes",AA151*N(N151)/100,0)</f>
        <v/>
      </c>
      <c r="AD151" s="9">
        <f>IF(H151="yes",AA151*N(O151)/100,0)</f>
        <v/>
      </c>
      <c r="AE151" s="10">
        <f>IF(P151="yes",AA151/1000,0)</f>
        <v/>
      </c>
      <c r="AF151" s="10">
        <f>IF(R151="FG2",AE151*W151,AE151)</f>
        <v/>
      </c>
    </row>
    <row r="152">
      <c r="A152" s="6" t="inlineStr">
        <is>
          <t>HM00150</t>
        </is>
      </c>
      <c r="B152" s="7" t="inlineStr">
        <is>
          <t>3012345156455</t>
        </is>
      </c>
      <c r="C152" s="6" t="inlineStr">
        <is>
          <t>HM CHICKPEAS IN WATER 4X400G</t>
        </is>
      </c>
      <c r="D152" s="6" t="inlineStr">
        <is>
          <t>Chickpeas in water, 4x400g</t>
        </is>
      </c>
      <c r="E152" s="6" t="inlineStr">
        <is>
          <t>Harbour Market</t>
        </is>
      </c>
      <c r="F152" s="6" t="inlineStr">
        <is>
          <t>Grocery</t>
        </is>
      </c>
      <c r="G152" s="6" t="inlineStr">
        <is>
          <t>Pulses</t>
        </is>
      </c>
      <c r="H152" s="6" t="inlineStr">
        <is>
          <t>yes</t>
        </is>
      </c>
      <c r="I152" s="6" t="inlineStr">
        <is>
          <t>Plant-based core</t>
        </is>
      </c>
      <c r="J152" s="6" t="inlineStr">
        <is>
          <t>A</t>
        </is>
      </c>
      <c r="K152" s="6" t="inlineStr">
        <is>
          <t>All ingredients on one side</t>
        </is>
      </c>
      <c r="L152" s="6" t="n">
        <v>7.3</v>
      </c>
      <c r="M152" s="6" t="inlineStr">
        <is>
          <t>Declared by the retailer</t>
        </is>
      </c>
      <c r="N152" s="6" t="n">
        <v>7.3</v>
      </c>
      <c r="O152" s="6" t="n">
        <v>0</v>
      </c>
      <c r="P152" s="6" t="inlineStr">
        <is>
          <t>yes</t>
        </is>
      </c>
      <c r="Q152" s="6" t="inlineStr">
        <is>
          <t>whole</t>
        </is>
      </c>
      <c r="R152" s="6" t="inlineStr">
        <is>
          <t>FG1</t>
        </is>
      </c>
      <c r="S152" s="6" t="inlineStr">
        <is>
          <t>pulses</t>
        </is>
      </c>
      <c r="T152" s="6" t="inlineStr">
        <is>
          <t>plant</t>
        </is>
      </c>
      <c r="U152" s="6" t="n"/>
      <c r="V152" s="6" t="n"/>
      <c r="W152" s="6" t="n">
        <v>1</v>
      </c>
      <c r="X152" s="6" t="n">
        <v>1.6</v>
      </c>
      <c r="Y152" s="6" t="inlineStr">
        <is>
          <t>declared</t>
        </is>
      </c>
      <c r="Z152" s="8" t="n">
        <v>21512</v>
      </c>
      <c r="AA152" s="9">
        <f>IF(H152="yes",Z152*X152,0)</f>
        <v/>
      </c>
      <c r="AB152" s="9">
        <f>IF(H152="yes",AA152*N(L152)/100,0)</f>
        <v/>
      </c>
      <c r="AC152" s="9">
        <f>IF(H152="yes",AA152*N(N152)/100,0)</f>
        <v/>
      </c>
      <c r="AD152" s="9">
        <f>IF(H152="yes",AA152*N(O152)/100,0)</f>
        <v/>
      </c>
      <c r="AE152" s="10">
        <f>IF(P152="yes",AA152/1000,0)</f>
        <v/>
      </c>
      <c r="AF152" s="10">
        <f>IF(R152="FG2",AE152*W152,AE152)</f>
        <v/>
      </c>
    </row>
    <row r="153">
      <c r="A153" s="6" t="inlineStr">
        <is>
          <t>HM00151</t>
        </is>
      </c>
      <c r="B153" s="7" t="inlineStr">
        <is>
          <t>8712345953577</t>
        </is>
      </c>
      <c r="C153" s="6" t="inlineStr">
        <is>
          <t>HM BROCCOLI FLORETS 1KG</t>
        </is>
      </c>
      <c r="D153" s="6" t="inlineStr">
        <is>
          <t>Broccoli florets, 1kg</t>
        </is>
      </c>
      <c r="E153" s="6" t="inlineStr">
        <is>
          <t>Harbour Market</t>
        </is>
      </c>
      <c r="F153" s="6" t="inlineStr">
        <is>
          <t>Frozen</t>
        </is>
      </c>
      <c r="G153" s="6" t="inlineStr">
        <is>
          <t>Frozen Vegetables</t>
        </is>
      </c>
      <c r="H153" s="6" t="inlineStr">
        <is>
          <t>yes</t>
        </is>
      </c>
      <c r="I153" s="6" t="inlineStr">
        <is>
          <t>Plant-based non-core</t>
        </is>
      </c>
      <c r="J153" s="6" t="inlineStr">
        <is>
          <t>A</t>
        </is>
      </c>
      <c r="K153" s="6" t="inlineStr">
        <is>
          <t>All ingredients on one side</t>
        </is>
      </c>
      <c r="L153" s="6" t="n">
        <v>2.8</v>
      </c>
      <c r="M153" s="6" t="inlineStr">
        <is>
          <t>Altera reference base</t>
        </is>
      </c>
      <c r="N153" s="6" t="n">
        <v>2.8</v>
      </c>
      <c r="O153" s="6" t="n">
        <v>0</v>
      </c>
      <c r="P153" s="6" t="inlineStr">
        <is>
          <t>yes</t>
        </is>
      </c>
      <c r="Q153" s="6" t="inlineStr">
        <is>
          <t>whole</t>
        </is>
      </c>
      <c r="R153" s="6" t="inlineStr">
        <is>
          <t>FG4</t>
        </is>
      </c>
      <c r="S153" s="6" t="n"/>
      <c r="T153" s="6" t="inlineStr">
        <is>
          <t>plant</t>
        </is>
      </c>
      <c r="U153" s="6" t="n"/>
      <c r="V153" s="6" t="n"/>
      <c r="W153" s="6" t="n">
        <v>1</v>
      </c>
      <c r="X153" s="6" t="n">
        <v>1</v>
      </c>
      <c r="Y153" s="6" t="inlineStr">
        <is>
          <t>declared</t>
        </is>
      </c>
      <c r="Z153" s="8" t="n">
        <v>29548</v>
      </c>
      <c r="AA153" s="9">
        <f>IF(H153="yes",Z153*X153,0)</f>
        <v/>
      </c>
      <c r="AB153" s="9">
        <f>IF(H153="yes",AA153*N(L153)/100,0)</f>
        <v/>
      </c>
      <c r="AC153" s="9">
        <f>IF(H153="yes",AA153*N(N153)/100,0)</f>
        <v/>
      </c>
      <c r="AD153" s="9">
        <f>IF(H153="yes",AA153*N(O153)/100,0)</f>
        <v/>
      </c>
      <c r="AE153" s="10">
        <f>IF(P153="yes",AA153/1000,0)</f>
        <v/>
      </c>
      <c r="AF153" s="10">
        <f>IF(R153="FG2",AE153*W153,AE153)</f>
        <v/>
      </c>
    </row>
    <row r="154">
      <c r="A154" s="6" t="inlineStr">
        <is>
          <t>HM00152</t>
        </is>
      </c>
      <c r="B154" s="7" t="inlineStr">
        <is>
          <t>3012345808125</t>
        </is>
      </c>
      <c r="C154" s="6" t="inlineStr">
        <is>
          <t>HM CAMEMBERT 250G</t>
        </is>
      </c>
      <c r="D154" s="6" t="inlineStr">
        <is>
          <t>Camembert, 250g</t>
        </is>
      </c>
      <c r="E154" s="6" t="inlineStr">
        <is>
          <t>Harbour Market</t>
        </is>
      </c>
      <c r="F154" s="6" t="inlineStr">
        <is>
          <t>Cheese</t>
        </is>
      </c>
      <c r="G154" s="6" t="inlineStr">
        <is>
          <t>Soft Cheese</t>
        </is>
      </c>
      <c r="H154" s="6" t="inlineStr">
        <is>
          <t>yes</t>
        </is>
      </c>
      <c r="I154" s="6" t="inlineStr">
        <is>
          <t>Animal core</t>
        </is>
      </c>
      <c r="J154" s="6" t="inlineStr">
        <is>
          <t>A</t>
        </is>
      </c>
      <c r="K154" s="6" t="inlineStr">
        <is>
          <t>All ingredients on one side</t>
        </is>
      </c>
      <c r="L154" s="6" t="n">
        <v>21.1</v>
      </c>
      <c r="M154" s="6" t="inlineStr">
        <is>
          <t>Declared by the retailer</t>
        </is>
      </c>
      <c r="N154" s="6" t="n">
        <v>0</v>
      </c>
      <c r="O154" s="6" t="n">
        <v>21.1</v>
      </c>
      <c r="P154" s="6" t="inlineStr">
        <is>
          <t>yes</t>
        </is>
      </c>
      <c r="Q154" s="6" t="inlineStr">
        <is>
          <t>whole</t>
        </is>
      </c>
      <c r="R154" s="6" t="inlineStr">
        <is>
          <t>FG2</t>
        </is>
      </c>
      <c r="S154" s="6" t="inlineStr">
        <is>
          <t>dairy</t>
        </is>
      </c>
      <c r="T154" s="6" t="inlineStr">
        <is>
          <t>animal</t>
        </is>
      </c>
      <c r="U154" s="6" t="n"/>
      <c r="V154" s="6" t="n"/>
      <c r="W154" s="6" t="n">
        <v>10</v>
      </c>
      <c r="X154" s="6" t="n">
        <v>0.25</v>
      </c>
      <c r="Y154" s="6" t="inlineStr">
        <is>
          <t>declared</t>
        </is>
      </c>
      <c r="Z154" s="8" t="n">
        <v>43400</v>
      </c>
      <c r="AA154" s="9">
        <f>IF(H154="yes",Z154*X154,0)</f>
        <v/>
      </c>
      <c r="AB154" s="9">
        <f>IF(H154="yes",AA154*N(L154)/100,0)</f>
        <v/>
      </c>
      <c r="AC154" s="9">
        <f>IF(H154="yes",AA154*N(N154)/100,0)</f>
        <v/>
      </c>
      <c r="AD154" s="9">
        <f>IF(H154="yes",AA154*N(O154)/100,0)</f>
        <v/>
      </c>
      <c r="AE154" s="10">
        <f>IF(P154="yes",AA154/1000,0)</f>
        <v/>
      </c>
      <c r="AF154" s="10">
        <f>IF(R154="FG2",AE154*W154,AE154)</f>
        <v/>
      </c>
    </row>
    <row r="155">
      <c r="A155" s="6" t="inlineStr">
        <is>
          <t>HM00153</t>
        </is>
      </c>
      <c r="B155" s="7" t="inlineStr">
        <is>
          <t>5012345432861</t>
        </is>
      </c>
      <c r="C155" s="6" t="inlineStr">
        <is>
          <t>HM MILK CHOC BUTTONS 4X40G</t>
        </is>
      </c>
      <c r="D155" s="6" t="inlineStr">
        <is>
          <t>Milk chocolate buttons, 4x40g</t>
        </is>
      </c>
      <c r="E155" s="6" t="inlineStr">
        <is>
          <t>Harbour Market</t>
        </is>
      </c>
      <c r="F155" s="6" t="inlineStr">
        <is>
          <t>Breakfast &amp; Snacks</t>
        </is>
      </c>
      <c r="G155" s="6" t="inlineStr">
        <is>
          <t>Chocolate</t>
        </is>
      </c>
      <c r="H155" s="6" t="inlineStr">
        <is>
          <t>yes</t>
        </is>
      </c>
      <c r="I155" s="6" t="inlineStr">
        <is>
          <t>Animal &amp; plant composite</t>
        </is>
      </c>
      <c r="J155" s="6" t="inlineStr">
        <is>
          <t>A</t>
        </is>
      </c>
      <c r="K155" s="6" t="inlineStr">
        <is>
          <t>Ingredient list</t>
        </is>
      </c>
      <c r="L155" s="6" t="n">
        <v>7.9</v>
      </c>
      <c r="M155" s="6" t="inlineStr">
        <is>
          <t>Declared by the retailer</t>
        </is>
      </c>
      <c r="N155" s="6" t="n">
        <v>3.63</v>
      </c>
      <c r="O155" s="6" t="n">
        <v>4.27</v>
      </c>
      <c r="P155" s="6" t="inlineStr">
        <is>
          <t>yes</t>
        </is>
      </c>
      <c r="Q155" s="6" t="inlineStr">
        <is>
          <t>whole</t>
        </is>
      </c>
      <c r="R155" s="6" t="inlineStr">
        <is>
          <t>FG7</t>
        </is>
      </c>
      <c r="S155" s="6" t="n"/>
      <c r="T155" s="6" t="inlineStr">
        <is>
          <t>plant</t>
        </is>
      </c>
      <c r="U155" s="6" t="n"/>
      <c r="V155" s="6" t="n"/>
      <c r="W155" s="6" t="n">
        <v>1</v>
      </c>
      <c r="X155" s="6" t="n">
        <v>0.16</v>
      </c>
      <c r="Y155" s="6" t="inlineStr">
        <is>
          <t>declared</t>
        </is>
      </c>
      <c r="Z155" s="8" t="n">
        <v>56926</v>
      </c>
      <c r="AA155" s="9">
        <f>IF(H155="yes",Z155*X155,0)</f>
        <v/>
      </c>
      <c r="AB155" s="9">
        <f>IF(H155="yes",AA155*N(L155)/100,0)</f>
        <v/>
      </c>
      <c r="AC155" s="9">
        <f>IF(H155="yes",AA155*N(N155)/100,0)</f>
        <v/>
      </c>
      <c r="AD155" s="9">
        <f>IF(H155="yes",AA155*N(O155)/100,0)</f>
        <v/>
      </c>
      <c r="AE155" s="10">
        <f>IF(P155="yes",AA155/1000,0)</f>
        <v/>
      </c>
      <c r="AF155" s="10">
        <f>IF(R155="FG2",AE155*W155,AE155)</f>
        <v/>
      </c>
    </row>
    <row r="156">
      <c r="A156" s="6" t="inlineStr">
        <is>
          <t>HM00154</t>
        </is>
      </c>
      <c r="B156" s="7" t="inlineStr">
        <is>
          <t>4012345242898</t>
        </is>
      </c>
      <c r="C156" s="6" t="inlineStr">
        <is>
          <t>HM APPLE JUICE 6X200ML</t>
        </is>
      </c>
      <c r="D156" s="6" t="inlineStr">
        <is>
          <t>Pressed apple juice, 6x200ml</t>
        </is>
      </c>
      <c r="E156" s="6" t="inlineStr">
        <is>
          <t>Harbour Market</t>
        </is>
      </c>
      <c r="F156" s="6" t="inlineStr">
        <is>
          <t>Soft Drinks &amp; Water</t>
        </is>
      </c>
      <c r="G156" s="6" t="inlineStr">
        <is>
          <t>Juice</t>
        </is>
      </c>
      <c r="H156" s="6" t="inlineStr">
        <is>
          <t>yes</t>
        </is>
      </c>
      <c r="I156" s="6" t="inlineStr">
        <is>
          <t>Plant-based non-core</t>
        </is>
      </c>
      <c r="J156" s="6" t="inlineStr">
        <is>
          <t>A</t>
        </is>
      </c>
      <c r="K156" s="6" t="inlineStr">
        <is>
          <t>All ingredients on one side</t>
        </is>
      </c>
      <c r="L156" s="6" t="n">
        <v>0.1</v>
      </c>
      <c r="M156" s="6" t="inlineStr">
        <is>
          <t>Declared by the retailer</t>
        </is>
      </c>
      <c r="N156" s="6" t="n">
        <v>0.1</v>
      </c>
      <c r="O156" s="6" t="n">
        <v>0</v>
      </c>
      <c r="P156" s="6" t="inlineStr">
        <is>
          <t>no</t>
        </is>
      </c>
      <c r="Q156" s="6" t="n"/>
      <c r="R156" s="6" t="n"/>
      <c r="S156" s="6" t="n"/>
      <c r="T156" s="6" t="n"/>
      <c r="U156" s="6" t="n"/>
      <c r="V156" s="6" t="inlineStr">
        <is>
          <t>beverage</t>
        </is>
      </c>
      <c r="W156" s="6" t="n">
        <v>1</v>
      </c>
      <c r="X156" s="6" t="n">
        <v>1.25</v>
      </c>
      <c r="Y156" s="6" t="inlineStr">
        <is>
          <t>declared</t>
        </is>
      </c>
      <c r="Z156" s="8" t="n">
        <v>13340</v>
      </c>
      <c r="AA156" s="9">
        <f>IF(H156="yes",Z156*X156,0)</f>
        <v/>
      </c>
      <c r="AB156" s="9">
        <f>IF(H156="yes",AA156*N(L156)/100,0)</f>
        <v/>
      </c>
      <c r="AC156" s="9">
        <f>IF(H156="yes",AA156*N(N156)/100,0)</f>
        <v/>
      </c>
      <c r="AD156" s="9">
        <f>IF(H156="yes",AA156*N(O156)/100,0)</f>
        <v/>
      </c>
      <c r="AE156" s="10">
        <f>IF(P156="yes",AA156/1000,0)</f>
        <v/>
      </c>
      <c r="AF156" s="10">
        <f>IF(R156="FG2",AE156*W156,AE156)</f>
        <v/>
      </c>
    </row>
    <row r="157">
      <c r="A157" s="6" t="inlineStr">
        <is>
          <t>HM00155</t>
        </is>
      </c>
      <c r="B157" s="7" t="inlineStr">
        <is>
          <t>5012345383439</t>
        </is>
      </c>
      <c r="C157" s="6" t="inlineStr">
        <is>
          <t>PENROCK CRINKLE CUT CHIPS 750G</t>
        </is>
      </c>
      <c r="D157" s="6" t="inlineStr">
        <is>
          <t>Crinkle-cut chips, 750g</t>
        </is>
      </c>
      <c r="E157" s="6" t="inlineStr">
        <is>
          <t>Penrock</t>
        </is>
      </c>
      <c r="F157" s="6" t="inlineStr">
        <is>
          <t>Frozen</t>
        </is>
      </c>
      <c r="G157" s="6" t="inlineStr">
        <is>
          <t>Frozen Potatoes</t>
        </is>
      </c>
      <c r="H157" s="6" t="inlineStr">
        <is>
          <t>yes</t>
        </is>
      </c>
      <c r="I157" s="6" t="inlineStr">
        <is>
          <t>Plant-based non-core</t>
        </is>
      </c>
      <c r="J157" s="6" t="inlineStr">
        <is>
          <t>A</t>
        </is>
      </c>
      <c r="K157" s="6" t="inlineStr">
        <is>
          <t>All ingredients on one side</t>
        </is>
      </c>
      <c r="L157" s="6" t="n">
        <v>2.5</v>
      </c>
      <c r="M157" s="6" t="inlineStr">
        <is>
          <t>Declared by the retailer</t>
        </is>
      </c>
      <c r="N157" s="6" t="n">
        <v>2.5</v>
      </c>
      <c r="O157" s="6" t="n">
        <v>0</v>
      </c>
      <c r="P157" s="6" t="inlineStr">
        <is>
          <t>yes</t>
        </is>
      </c>
      <c r="Q157" s="6" t="inlineStr">
        <is>
          <t>whole</t>
        </is>
      </c>
      <c r="R157" s="6" t="inlineStr">
        <is>
          <t>FG7</t>
        </is>
      </c>
      <c r="S157" s="6" t="n"/>
      <c r="T157" s="6" t="inlineStr">
        <is>
          <t>plant</t>
        </is>
      </c>
      <c r="U157" s="6" t="n"/>
      <c r="V157" s="6" t="n"/>
      <c r="W157" s="6" t="n">
        <v>1</v>
      </c>
      <c r="X157" s="6" t="n">
        <v>0.75</v>
      </c>
      <c r="Y157" s="6" t="inlineStr">
        <is>
          <t>declared</t>
        </is>
      </c>
      <c r="Z157" s="8" t="n">
        <v>12552</v>
      </c>
      <c r="AA157" s="9">
        <f>IF(H157="yes",Z157*X157,0)</f>
        <v/>
      </c>
      <c r="AB157" s="9">
        <f>IF(H157="yes",AA157*N(L157)/100,0)</f>
        <v/>
      </c>
      <c r="AC157" s="9">
        <f>IF(H157="yes",AA157*N(N157)/100,0)</f>
        <v/>
      </c>
      <c r="AD157" s="9">
        <f>IF(H157="yes",AA157*N(O157)/100,0)</f>
        <v/>
      </c>
      <c r="AE157" s="10">
        <f>IF(P157="yes",AA157/1000,0)</f>
        <v/>
      </c>
      <c r="AF157" s="10">
        <f>IF(R157="FG2",AE157*W157,AE157)</f>
        <v/>
      </c>
    </row>
    <row r="158">
      <c r="A158" s="6" t="inlineStr">
        <is>
          <t>HM00156</t>
        </is>
      </c>
      <c r="B158" s="7" t="inlineStr">
        <is>
          <t>8712345676889</t>
        </is>
      </c>
      <c r="C158" s="6" t="inlineStr">
        <is>
          <t>HM ORANGE JUICE SMOOTH 6X200ML</t>
        </is>
      </c>
      <c r="D158" s="6" t="inlineStr">
        <is>
          <t>Smooth orange juice, 6x200ml</t>
        </is>
      </c>
      <c r="E158" s="6" t="inlineStr">
        <is>
          <t>Harbour Market</t>
        </is>
      </c>
      <c r="F158" s="6" t="inlineStr">
        <is>
          <t>Soft Drinks &amp; Water</t>
        </is>
      </c>
      <c r="G158" s="6" t="inlineStr">
        <is>
          <t>Juice</t>
        </is>
      </c>
      <c r="H158" s="6" t="inlineStr">
        <is>
          <t>yes</t>
        </is>
      </c>
      <c r="I158" s="6" t="inlineStr">
        <is>
          <t>Plant-based non-core</t>
        </is>
      </c>
      <c r="J158" s="6" t="inlineStr">
        <is>
          <t>A</t>
        </is>
      </c>
      <c r="K158" s="6" t="inlineStr">
        <is>
          <t>All ingredients on one side</t>
        </is>
      </c>
      <c r="L158" s="6" t="n">
        <v>0.66</v>
      </c>
      <c r="M158" s="6" t="inlineStr">
        <is>
          <t>Median of the family</t>
        </is>
      </c>
      <c r="N158" s="6" t="n">
        <v>0.66</v>
      </c>
      <c r="O158" s="6" t="n">
        <v>0</v>
      </c>
      <c r="P158" s="6" t="inlineStr">
        <is>
          <t>no</t>
        </is>
      </c>
      <c r="Q158" s="6" t="n"/>
      <c r="R158" s="6" t="n"/>
      <c r="S158" s="6" t="n"/>
      <c r="T158" s="6" t="n"/>
      <c r="U158" s="6" t="n"/>
      <c r="V158" s="6" t="inlineStr">
        <is>
          <t>beverage</t>
        </is>
      </c>
      <c r="W158" s="6" t="n">
        <v>1</v>
      </c>
      <c r="X158" s="6" t="n">
        <v>1.25</v>
      </c>
      <c r="Y158" s="6" t="inlineStr">
        <is>
          <t>declared</t>
        </is>
      </c>
      <c r="Z158" s="8" t="n">
        <v>14842</v>
      </c>
      <c r="AA158" s="9">
        <f>IF(H158="yes",Z158*X158,0)</f>
        <v/>
      </c>
      <c r="AB158" s="9">
        <f>IF(H158="yes",AA158*N(L158)/100,0)</f>
        <v/>
      </c>
      <c r="AC158" s="9">
        <f>IF(H158="yes",AA158*N(N158)/100,0)</f>
        <v/>
      </c>
      <c r="AD158" s="9">
        <f>IF(H158="yes",AA158*N(O158)/100,0)</f>
        <v/>
      </c>
      <c r="AE158" s="10">
        <f>IF(P158="yes",AA158/1000,0)</f>
        <v/>
      </c>
      <c r="AF158" s="10">
        <f>IF(R158="FG2",AE158*W158,AE158)</f>
        <v/>
      </c>
    </row>
    <row r="159">
      <c r="A159" s="6" t="inlineStr">
        <is>
          <t>HM00157</t>
        </is>
      </c>
      <c r="B159" s="7" t="inlineStr">
        <is>
          <t>5012345839301</t>
        </is>
      </c>
      <c r="C159" s="6" t="inlineStr">
        <is>
          <t>HM COOKED HAM 8SL 200G</t>
        </is>
      </c>
      <c r="D159" s="6" t="inlineStr">
        <is>
          <t>Cooked ham, 8sl 200g</t>
        </is>
      </c>
      <c r="E159" s="6" t="inlineStr">
        <is>
          <t>Harbour Market</t>
        </is>
      </c>
      <c r="F159" s="6" t="inlineStr">
        <is>
          <t>Deli</t>
        </is>
      </c>
      <c r="G159" s="6" t="inlineStr">
        <is>
          <t>Cooked Meats</t>
        </is>
      </c>
      <c r="H159" s="6" t="inlineStr">
        <is>
          <t>yes</t>
        </is>
      </c>
      <c r="I159" s="6" t="inlineStr">
        <is>
          <t>Animal core</t>
        </is>
      </c>
      <c r="J159" s="6" t="inlineStr">
        <is>
          <t>A</t>
        </is>
      </c>
      <c r="K159" s="6" t="inlineStr">
        <is>
          <t>All ingredients on one side</t>
        </is>
      </c>
      <c r="L159" s="6" t="n">
        <v>17.4</v>
      </c>
      <c r="M159" s="6" t="inlineStr">
        <is>
          <t>Declared by the retailer</t>
        </is>
      </c>
      <c r="N159" s="6" t="n">
        <v>0</v>
      </c>
      <c r="O159" s="6" t="n">
        <v>17.4</v>
      </c>
      <c r="P159" s="6" t="inlineStr">
        <is>
          <t>yes</t>
        </is>
      </c>
      <c r="Q159" s="6" t="inlineStr">
        <is>
          <t>whole</t>
        </is>
      </c>
      <c r="R159" s="6" t="inlineStr">
        <is>
          <t>FG1</t>
        </is>
      </c>
      <c r="S159" s="6" t="inlineStr">
        <is>
          <t>red meat</t>
        </is>
      </c>
      <c r="T159" s="6" t="inlineStr">
        <is>
          <t>animal</t>
        </is>
      </c>
      <c r="U159" s="6" t="n"/>
      <c r="V159" s="6" t="n"/>
      <c r="W159" s="6" t="n">
        <v>1</v>
      </c>
      <c r="X159" s="6" t="n">
        <v>0.2</v>
      </c>
      <c r="Y159" s="6" t="inlineStr">
        <is>
          <t>declared</t>
        </is>
      </c>
      <c r="Z159" s="8" t="n">
        <v>40324</v>
      </c>
      <c r="AA159" s="9">
        <f>IF(H159="yes",Z159*X159,0)</f>
        <v/>
      </c>
      <c r="AB159" s="9">
        <f>IF(H159="yes",AA159*N(L159)/100,0)</f>
        <v/>
      </c>
      <c r="AC159" s="9">
        <f>IF(H159="yes",AA159*N(N159)/100,0)</f>
        <v/>
      </c>
      <c r="AD159" s="9">
        <f>IF(H159="yes",AA159*N(O159)/100,0)</f>
        <v/>
      </c>
      <c r="AE159" s="10">
        <f>IF(P159="yes",AA159/1000,0)</f>
        <v/>
      </c>
      <c r="AF159" s="10">
        <f>IF(R159="FG2",AE159*W159,AE159)</f>
        <v/>
      </c>
    </row>
    <row r="160">
      <c r="A160" s="6" t="inlineStr">
        <is>
          <t>HM00158</t>
        </is>
      </c>
      <c r="B160" s="7" t="inlineStr">
        <is>
          <t>8712345751968</t>
        </is>
      </c>
      <c r="C160" s="6" t="inlineStr">
        <is>
          <t>HM CHEESE PICKLE SANDWICH EACH</t>
        </is>
      </c>
      <c r="D160" s="6" t="inlineStr">
        <is>
          <t>Cheese &amp; pickle sandwich</t>
        </is>
      </c>
      <c r="E160" s="6" t="inlineStr">
        <is>
          <t>Harbour Market</t>
        </is>
      </c>
      <c r="F160" s="6" t="inlineStr">
        <is>
          <t>Ready Meals</t>
        </is>
      </c>
      <c r="G160" s="6" t="inlineStr">
        <is>
          <t>Sandwiches</t>
        </is>
      </c>
      <c r="H160" s="6" t="inlineStr">
        <is>
          <t>yes</t>
        </is>
      </c>
      <c r="I160" s="6" t="inlineStr">
        <is>
          <t>Animal &amp; plant composite</t>
        </is>
      </c>
      <c r="J160" s="6" t="inlineStr">
        <is>
          <t>B</t>
        </is>
      </c>
      <c r="K160" s="6" t="inlineStr">
        <is>
          <t>50/50 convention</t>
        </is>
      </c>
      <c r="L160" s="6" t="n">
        <v>10.4</v>
      </c>
      <c r="M160" s="6" t="inlineStr">
        <is>
          <t>Declared by the retailer</t>
        </is>
      </c>
      <c r="N160" s="6" t="n">
        <v>5.2</v>
      </c>
      <c r="O160" s="6" t="n">
        <v>5.2</v>
      </c>
      <c r="P160" s="6" t="inlineStr">
        <is>
          <t>yes</t>
        </is>
      </c>
      <c r="Q160" s="6" t="inlineStr">
        <is>
          <t>composite</t>
        </is>
      </c>
      <c r="R160" s="6" t="n"/>
      <c r="S160" s="6" t="n"/>
      <c r="T160" s="6" t="n"/>
      <c r="U160" s="6" t="inlineStr">
        <is>
          <t>vegetarian</t>
        </is>
      </c>
      <c r="V160" s="6" t="n"/>
      <c r="W160" s="6" t="n">
        <v>1</v>
      </c>
      <c r="X160" s="6" t="n">
        <v>0.18</v>
      </c>
      <c r="Y160" s="6" t="inlineStr">
        <is>
          <t>declared</t>
        </is>
      </c>
      <c r="Z160" s="8" t="n">
        <v>14717</v>
      </c>
      <c r="AA160" s="9">
        <f>IF(H160="yes",Z160*X160,0)</f>
        <v/>
      </c>
      <c r="AB160" s="9">
        <f>IF(H160="yes",AA160*N(L160)/100,0)</f>
        <v/>
      </c>
      <c r="AC160" s="9">
        <f>IF(H160="yes",AA160*N(N160)/100,0)</f>
        <v/>
      </c>
      <c r="AD160" s="9">
        <f>IF(H160="yes",AA160*N(O160)/100,0)</f>
        <v/>
      </c>
      <c r="AE160" s="10">
        <f>IF(P160="yes",AA160/1000,0)</f>
        <v/>
      </c>
      <c r="AF160" s="10">
        <f>IF(R160="FG2",AE160*W160,AE160)</f>
        <v/>
      </c>
    </row>
    <row r="161">
      <c r="A161" s="6" t="inlineStr">
        <is>
          <t>HM00159</t>
        </is>
      </c>
      <c r="B161" s="7" t="inlineStr">
        <is>
          <t>5012345509075</t>
        </is>
      </c>
      <c r="C161" s="6" t="inlineStr">
        <is>
          <t>HM WALNUT HALVES 100G</t>
        </is>
      </c>
      <c r="D161" s="6" t="inlineStr">
        <is>
          <t>Walnut halves, 100g</t>
        </is>
      </c>
      <c r="E161" s="6" t="inlineStr">
        <is>
          <t>Harbour Market</t>
        </is>
      </c>
      <c r="F161" s="6" t="inlineStr">
        <is>
          <t>Grocery</t>
        </is>
      </c>
      <c r="G161" s="6" t="inlineStr">
        <is>
          <t>Nuts &amp; Seeds</t>
        </is>
      </c>
      <c r="H161" s="6" t="inlineStr">
        <is>
          <t>yes</t>
        </is>
      </c>
      <c r="I161" s="6" t="inlineStr">
        <is>
          <t>Plant-based core</t>
        </is>
      </c>
      <c r="J161" s="6" t="inlineStr">
        <is>
          <t>A</t>
        </is>
      </c>
      <c r="K161" s="6" t="inlineStr">
        <is>
          <t>All ingredients on one side</t>
        </is>
      </c>
      <c r="L161" s="6" t="n">
        <v>14.5</v>
      </c>
      <c r="M161" s="6" t="inlineStr">
        <is>
          <t>Declared by the retailer</t>
        </is>
      </c>
      <c r="N161" s="6" t="n">
        <v>14.5</v>
      </c>
      <c r="O161" s="6" t="n">
        <v>0</v>
      </c>
      <c r="P161" s="6" t="inlineStr">
        <is>
          <t>yes</t>
        </is>
      </c>
      <c r="Q161" s="6" t="inlineStr">
        <is>
          <t>whole</t>
        </is>
      </c>
      <c r="R161" s="6" t="inlineStr">
        <is>
          <t>FG1</t>
        </is>
      </c>
      <c r="S161" s="6" t="inlineStr">
        <is>
          <t>nuts</t>
        </is>
      </c>
      <c r="T161" s="6" t="inlineStr">
        <is>
          <t>plant</t>
        </is>
      </c>
      <c r="U161" s="6" t="n"/>
      <c r="V161" s="6" t="n"/>
      <c r="W161" s="6" t="n">
        <v>1</v>
      </c>
      <c r="X161" s="6" t="n">
        <v>0.1</v>
      </c>
      <c r="Y161" s="6" t="inlineStr">
        <is>
          <t>declared</t>
        </is>
      </c>
      <c r="Z161" s="8" t="n">
        <v>142063</v>
      </c>
      <c r="AA161" s="9">
        <f>IF(H161="yes",Z161*X161,0)</f>
        <v/>
      </c>
      <c r="AB161" s="9">
        <f>IF(H161="yes",AA161*N(L161)/100,0)</f>
        <v/>
      </c>
      <c r="AC161" s="9">
        <f>IF(H161="yes",AA161*N(N161)/100,0)</f>
        <v/>
      </c>
      <c r="AD161" s="9">
        <f>IF(H161="yes",AA161*N(O161)/100,0)</f>
        <v/>
      </c>
      <c r="AE161" s="10">
        <f>IF(P161="yes",AA161/1000,0)</f>
        <v/>
      </c>
      <c r="AF161" s="10">
        <f>IF(R161="FG2",AE161*W161,AE161)</f>
        <v/>
      </c>
    </row>
    <row r="162">
      <c r="A162" s="6" t="inlineStr">
        <is>
          <t>HM00160</t>
        </is>
      </c>
      <c r="B162" s="7" t="inlineStr">
        <is>
          <t>3012345876629</t>
        </is>
      </c>
      <c r="C162" s="6" t="inlineStr">
        <is>
          <t>KING PRAWNS COOKED 225G KESTREL</t>
        </is>
      </c>
      <c r="D162" s="6" t="inlineStr">
        <is>
          <t>Cooked king prawns, 225g</t>
        </is>
      </c>
      <c r="E162" s="6" t="inlineStr">
        <is>
          <t>Kestrel Bay</t>
        </is>
      </c>
      <c r="F162" s="6" t="inlineStr">
        <is>
          <t>Fish &amp; Seafood</t>
        </is>
      </c>
      <c r="G162" s="6" t="inlineStr">
        <is>
          <t>Shellfish</t>
        </is>
      </c>
      <c r="H162" s="6" t="inlineStr">
        <is>
          <t>yes</t>
        </is>
      </c>
      <c r="I162" s="6" t="inlineStr">
        <is>
          <t>Animal core</t>
        </is>
      </c>
      <c r="J162" s="6" t="inlineStr">
        <is>
          <t>B</t>
        </is>
      </c>
      <c r="K162" s="6" t="inlineStr">
        <is>
          <t>Follows the class</t>
        </is>
      </c>
      <c r="L162" s="6" t="n">
        <v>17.5</v>
      </c>
      <c r="M162" s="6" t="inlineStr">
        <is>
          <t>Declared by the retailer</t>
        </is>
      </c>
      <c r="N162" s="6" t="n">
        <v>0</v>
      </c>
      <c r="O162" s="6" t="n">
        <v>17.5</v>
      </c>
      <c r="P162" s="6" t="inlineStr">
        <is>
          <t>yes</t>
        </is>
      </c>
      <c r="Q162" s="6" t="inlineStr">
        <is>
          <t>whole</t>
        </is>
      </c>
      <c r="R162" s="6" t="inlineStr">
        <is>
          <t>FG1</t>
        </is>
      </c>
      <c r="S162" s="6" t="inlineStr">
        <is>
          <t>fish shellfish</t>
        </is>
      </c>
      <c r="T162" s="6" t="inlineStr">
        <is>
          <t>animal</t>
        </is>
      </c>
      <c r="U162" s="6" t="n"/>
      <c r="V162" s="6" t="n"/>
      <c r="W162" s="6" t="n">
        <v>1</v>
      </c>
      <c r="X162" s="6" t="n">
        <v>0.225</v>
      </c>
      <c r="Y162" s="6" t="inlineStr">
        <is>
          <t>declared</t>
        </is>
      </c>
      <c r="Z162" s="8" t="n">
        <v>16266</v>
      </c>
      <c r="AA162" s="9">
        <f>IF(H162="yes",Z162*X162,0)</f>
        <v/>
      </c>
      <c r="AB162" s="9">
        <f>IF(H162="yes",AA162*N(L162)/100,0)</f>
        <v/>
      </c>
      <c r="AC162" s="9">
        <f>IF(H162="yes",AA162*N(N162)/100,0)</f>
        <v/>
      </c>
      <c r="AD162" s="9">
        <f>IF(H162="yes",AA162*N(O162)/100,0)</f>
        <v/>
      </c>
      <c r="AE162" s="10">
        <f>IF(P162="yes",AA162/1000,0)</f>
        <v/>
      </c>
      <c r="AF162" s="10">
        <f>IF(R162="FG2",AE162*W162,AE162)</f>
        <v/>
      </c>
    </row>
    <row r="163">
      <c r="A163" s="6" t="inlineStr">
        <is>
          <t>HM00161</t>
        </is>
      </c>
      <c r="B163" s="7" t="inlineStr">
        <is>
          <t>5012345680170</t>
        </is>
      </c>
      <c r="C163" s="6" t="inlineStr">
        <is>
          <t>HM GINGER NUTS 400G</t>
        </is>
      </c>
      <c r="D163" s="6" t="inlineStr">
        <is>
          <t>Ginger nut biscuits, 400g</t>
        </is>
      </c>
      <c r="E163" s="6" t="inlineStr">
        <is>
          <t>Harbour Market</t>
        </is>
      </c>
      <c r="F163" s="6" t="inlineStr">
        <is>
          <t>Breakfast &amp; Snacks</t>
        </is>
      </c>
      <c r="G163" s="6" t="inlineStr">
        <is>
          <t>Biscuits</t>
        </is>
      </c>
      <c r="H163" s="6" t="inlineStr">
        <is>
          <t>yes</t>
        </is>
      </c>
      <c r="I163" s="6" t="inlineStr">
        <is>
          <t>Plant-based non-core</t>
        </is>
      </c>
      <c r="J163" s="6" t="inlineStr">
        <is>
          <t>A</t>
        </is>
      </c>
      <c r="K163" s="6" t="inlineStr">
        <is>
          <t>All ingredients on one side</t>
        </is>
      </c>
      <c r="L163" s="6" t="n">
        <v>6.7</v>
      </c>
      <c r="M163" s="6" t="inlineStr">
        <is>
          <t>Median of the family</t>
        </is>
      </c>
      <c r="N163" s="6" t="n">
        <v>6.7</v>
      </c>
      <c r="O163" s="6" t="n">
        <v>0</v>
      </c>
      <c r="P163" s="6" t="inlineStr">
        <is>
          <t>yes</t>
        </is>
      </c>
      <c r="Q163" s="6" t="inlineStr">
        <is>
          <t>whole</t>
        </is>
      </c>
      <c r="R163" s="6" t="inlineStr">
        <is>
          <t>FG7</t>
        </is>
      </c>
      <c r="S163" s="6" t="n"/>
      <c r="T163" s="6" t="inlineStr">
        <is>
          <t>plant</t>
        </is>
      </c>
      <c r="U163" s="6" t="n"/>
      <c r="V163" s="6" t="n"/>
      <c r="W163" s="6" t="n">
        <v>1</v>
      </c>
      <c r="X163" s="6" t="n">
        <v>0.4</v>
      </c>
      <c r="Y163" s="6" t="inlineStr">
        <is>
          <t>declared</t>
        </is>
      </c>
      <c r="Z163" s="8" t="n">
        <v>6267</v>
      </c>
      <c r="AA163" s="9">
        <f>IF(H163="yes",Z163*X163,0)</f>
        <v/>
      </c>
      <c r="AB163" s="9">
        <f>IF(H163="yes",AA163*N(L163)/100,0)</f>
        <v/>
      </c>
      <c r="AC163" s="9">
        <f>IF(H163="yes",AA163*N(N163)/100,0)</f>
        <v/>
      </c>
      <c r="AD163" s="9">
        <f>IF(H163="yes",AA163*N(O163)/100,0)</f>
        <v/>
      </c>
      <c r="AE163" s="10">
        <f>IF(P163="yes",AA163/1000,0)</f>
        <v/>
      </c>
      <c r="AF163" s="10">
        <f>IF(R163="FG2",AE163*W163,AE163)</f>
        <v/>
      </c>
    </row>
    <row r="164">
      <c r="A164" s="6" t="inlineStr">
        <is>
          <t>HM00162</t>
        </is>
      </c>
      <c r="B164" s="7" t="inlineStr">
        <is>
          <t>3012345425421</t>
        </is>
      </c>
      <c r="C164" s="6" t="inlineStr">
        <is>
          <t>YOG CEREAL MIX 4X115G FJELDA</t>
        </is>
      </c>
      <c r="D164" s="6" t="inlineStr">
        <is>
          <t>Yoghurt with cereal topping, 4x115g</t>
        </is>
      </c>
      <c r="E164" s="6" t="inlineStr">
        <is>
          <t>Fjelda</t>
        </is>
      </c>
      <c r="F164" s="6" t="inlineStr">
        <is>
          <t>Dairy &amp; Eggs</t>
        </is>
      </c>
      <c r="G164" s="6" t="inlineStr">
        <is>
          <t>Yoghurt</t>
        </is>
      </c>
      <c r="H164" s="6" t="inlineStr">
        <is>
          <t>yes</t>
        </is>
      </c>
      <c r="I164" s="6" t="inlineStr">
        <is>
          <t>Animal &amp; plant composite</t>
        </is>
      </c>
      <c r="J164" s="6" t="inlineStr">
        <is>
          <t>A</t>
        </is>
      </c>
      <c r="K164" s="6" t="inlineStr">
        <is>
          <t>Ingredient list</t>
        </is>
      </c>
      <c r="L164" s="6" t="n">
        <v>4.1</v>
      </c>
      <c r="M164" s="6" t="inlineStr">
        <is>
          <t>Declared by the retailer</t>
        </is>
      </c>
      <c r="N164" s="6" t="n">
        <v>0.45</v>
      </c>
      <c r="O164" s="6" t="n">
        <v>3.65</v>
      </c>
      <c r="P164" s="6" t="inlineStr">
        <is>
          <t>yes</t>
        </is>
      </c>
      <c r="Q164" s="6" t="inlineStr">
        <is>
          <t>composite</t>
        </is>
      </c>
      <c r="R164" s="6" t="n"/>
      <c r="S164" s="6" t="n"/>
      <c r="T164" s="6" t="n"/>
      <c r="U164" s="6" t="inlineStr">
        <is>
          <t>vegetarian</t>
        </is>
      </c>
      <c r="V164" s="6" t="n"/>
      <c r="W164" s="6" t="n">
        <v>1</v>
      </c>
      <c r="X164" s="6" t="n">
        <v>0.46</v>
      </c>
      <c r="Y164" s="6" t="inlineStr">
        <is>
          <t>declared</t>
        </is>
      </c>
      <c r="Z164" s="8" t="n">
        <v>13383</v>
      </c>
      <c r="AA164" s="9">
        <f>IF(H164="yes",Z164*X164,0)</f>
        <v/>
      </c>
      <c r="AB164" s="9">
        <f>IF(H164="yes",AA164*N(L164)/100,0)</f>
        <v/>
      </c>
      <c r="AC164" s="9">
        <f>IF(H164="yes",AA164*N(N164)/100,0)</f>
        <v/>
      </c>
      <c r="AD164" s="9">
        <f>IF(H164="yes",AA164*N(O164)/100,0)</f>
        <v/>
      </c>
      <c r="AE164" s="10">
        <f>IF(P164="yes",AA164/1000,0)</f>
        <v/>
      </c>
      <c r="AF164" s="10">
        <f>IF(R164="FG2",AE164*W164,AE164)</f>
        <v/>
      </c>
    </row>
    <row r="165">
      <c r="A165" s="6" t="inlineStr">
        <is>
          <t>HM00163</t>
        </is>
      </c>
      <c r="B165" s="7" t="inlineStr">
        <is>
          <t>4012345887655</t>
        </is>
      </c>
      <c r="C165" s="6" t="inlineStr">
        <is>
          <t>ORVALIS COUSCOUS 500G</t>
        </is>
      </c>
      <c r="D165" s="6" t="inlineStr">
        <is>
          <t>Couscous, 500g</t>
        </is>
      </c>
      <c r="E165" s="6" t="inlineStr">
        <is>
          <t>Orvalis</t>
        </is>
      </c>
      <c r="F165" s="6" t="inlineStr">
        <is>
          <t>Grocery</t>
        </is>
      </c>
      <c r="G165" s="6" t="inlineStr">
        <is>
          <t>Rice &amp; Grains</t>
        </is>
      </c>
      <c r="H165" s="6" t="inlineStr">
        <is>
          <t>yes</t>
        </is>
      </c>
      <c r="I165" s="6" t="inlineStr">
        <is>
          <t>Plant-based non-core</t>
        </is>
      </c>
      <c r="J165" s="6" t="inlineStr">
        <is>
          <t>A</t>
        </is>
      </c>
      <c r="K165" s="6" t="inlineStr">
        <is>
          <t>All ingredients on one side</t>
        </is>
      </c>
      <c r="L165" s="6" t="n">
        <v>7.7</v>
      </c>
      <c r="M165" s="6" t="inlineStr">
        <is>
          <t>Altera reference base</t>
        </is>
      </c>
      <c r="N165" s="6" t="n">
        <v>7.7</v>
      </c>
      <c r="O165" s="6" t="n">
        <v>0</v>
      </c>
      <c r="P165" s="6" t="inlineStr">
        <is>
          <t>yes</t>
        </is>
      </c>
      <c r="Q165" s="6" t="inlineStr">
        <is>
          <t>whole</t>
        </is>
      </c>
      <c r="R165" s="6" t="inlineStr">
        <is>
          <t>FG5</t>
        </is>
      </c>
      <c r="S165" s="6" t="inlineStr">
        <is>
          <t>refined grain</t>
        </is>
      </c>
      <c r="T165" s="6" t="inlineStr">
        <is>
          <t>plant</t>
        </is>
      </c>
      <c r="U165" s="6" t="n"/>
      <c r="V165" s="6" t="n"/>
      <c r="W165" s="6" t="n">
        <v>1</v>
      </c>
      <c r="X165" s="6" t="n">
        <v>0.5</v>
      </c>
      <c r="Y165" s="6" t="inlineStr">
        <is>
          <t>declared</t>
        </is>
      </c>
      <c r="Z165" s="8" t="n">
        <v>19246</v>
      </c>
      <c r="AA165" s="9">
        <f>IF(H165="yes",Z165*X165,0)</f>
        <v/>
      </c>
      <c r="AB165" s="9">
        <f>IF(H165="yes",AA165*N(L165)/100,0)</f>
        <v/>
      </c>
      <c r="AC165" s="9">
        <f>IF(H165="yes",AA165*N(N165)/100,0)</f>
        <v/>
      </c>
      <c r="AD165" s="9">
        <f>IF(H165="yes",AA165*N(O165)/100,0)</f>
        <v/>
      </c>
      <c r="AE165" s="10">
        <f>IF(P165="yes",AA165/1000,0)</f>
        <v/>
      </c>
      <c r="AF165" s="10">
        <f>IF(R165="FG2",AE165*W165,AE165)</f>
        <v/>
      </c>
    </row>
    <row r="166">
      <c r="A166" s="6" t="inlineStr">
        <is>
          <t>HM00164</t>
        </is>
      </c>
      <c r="B166" s="7" t="inlineStr">
        <is>
          <t>5012345358345</t>
        </is>
      </c>
      <c r="C166" s="6" t="inlineStr">
        <is>
          <t>HM OLIVE SPREAD 1KG</t>
        </is>
      </c>
      <c r="D166" s="6" t="inlineStr">
        <is>
          <t>Olive oil spread, 1kg</t>
        </is>
      </c>
      <c r="E166" s="6" t="inlineStr">
        <is>
          <t>Harbour Market</t>
        </is>
      </c>
      <c r="F166" s="6" t="inlineStr">
        <is>
          <t>Dairy &amp; Eggs</t>
        </is>
      </c>
      <c r="G166" s="6" t="inlineStr">
        <is>
          <t>Butter &amp; Spreads</t>
        </is>
      </c>
      <c r="H166" s="6" t="inlineStr">
        <is>
          <t>yes</t>
        </is>
      </c>
      <c r="I166" s="6" t="inlineStr">
        <is>
          <t>Plant-based non-core</t>
        </is>
      </c>
      <c r="J166" s="6" t="inlineStr">
        <is>
          <t>A</t>
        </is>
      </c>
      <c r="K166" s="6" t="inlineStr">
        <is>
          <t>All ingredients on one side</t>
        </is>
      </c>
      <c r="L166" s="6" t="n">
        <v>0.1</v>
      </c>
      <c r="M166" s="6" t="inlineStr">
        <is>
          <t>Altera reference base</t>
        </is>
      </c>
      <c r="N166" s="6" t="n">
        <v>0.1</v>
      </c>
      <c r="O166" s="6" t="n">
        <v>0</v>
      </c>
      <c r="P166" s="6" t="inlineStr">
        <is>
          <t>yes</t>
        </is>
      </c>
      <c r="Q166" s="6" t="inlineStr">
        <is>
          <t>whole</t>
        </is>
      </c>
      <c r="R166" s="6" t="inlineStr">
        <is>
          <t>FG3</t>
        </is>
      </c>
      <c r="S166" s="6" t="inlineStr">
        <is>
          <t>plant fat</t>
        </is>
      </c>
      <c r="T166" s="6" t="inlineStr">
        <is>
          <t>plant</t>
        </is>
      </c>
      <c r="U166" s="6" t="n"/>
      <c r="V166" s="6" t="n"/>
      <c r="W166" s="6" t="n">
        <v>1</v>
      </c>
      <c r="X166" s="6" t="n">
        <v>1</v>
      </c>
      <c r="Y166" s="6" t="inlineStr">
        <is>
          <t>declared</t>
        </is>
      </c>
      <c r="Z166" s="8" t="n">
        <v>3726</v>
      </c>
      <c r="AA166" s="9">
        <f>IF(H166="yes",Z166*X166,0)</f>
        <v/>
      </c>
      <c r="AB166" s="9">
        <f>IF(H166="yes",AA166*N(L166)/100,0)</f>
        <v/>
      </c>
      <c r="AC166" s="9">
        <f>IF(H166="yes",AA166*N(N166)/100,0)</f>
        <v/>
      </c>
      <c r="AD166" s="9">
        <f>IF(H166="yes",AA166*N(O166)/100,0)</f>
        <v/>
      </c>
      <c r="AE166" s="10">
        <f>IF(P166="yes",AA166/1000,0)</f>
        <v/>
      </c>
      <c r="AF166" s="10">
        <f>IF(R166="FG2",AE166*W166,AE166)</f>
        <v/>
      </c>
    </row>
    <row r="167">
      <c r="A167" s="6" t="inlineStr">
        <is>
          <t>HM00165</t>
        </is>
      </c>
      <c r="B167" s="7" t="inlineStr">
        <is>
          <t>3012345334464</t>
        </is>
      </c>
      <c r="C167" s="6" t="inlineStr">
        <is>
          <t>HM DUCK PATE ORANGE 170G</t>
        </is>
      </c>
      <c r="D167" s="6" t="inlineStr">
        <is>
          <t>Duck pâté with orange, 170g</t>
        </is>
      </c>
      <c r="E167" s="6" t="inlineStr">
        <is>
          <t>Harbour Market</t>
        </is>
      </c>
      <c r="F167" s="6" t="inlineStr">
        <is>
          <t>Deli</t>
        </is>
      </c>
      <c r="G167" s="6" t="inlineStr">
        <is>
          <t>Pâté</t>
        </is>
      </c>
      <c r="H167" s="6" t="inlineStr">
        <is>
          <t>yes</t>
        </is>
      </c>
      <c r="I167" s="6" t="inlineStr">
        <is>
          <t>Animal core</t>
        </is>
      </c>
      <c r="J167" s="6" t="inlineStr">
        <is>
          <t>B</t>
        </is>
      </c>
      <c r="K167" s="6" t="inlineStr">
        <is>
          <t>Follows the class</t>
        </is>
      </c>
      <c r="L167" s="6" t="n">
        <v>12.1</v>
      </c>
      <c r="M167" s="6" t="inlineStr">
        <is>
          <t>Declared by the retailer</t>
        </is>
      </c>
      <c r="N167" s="6" t="n">
        <v>0</v>
      </c>
      <c r="O167" s="6" t="n">
        <v>12.1</v>
      </c>
      <c r="P167" s="6" t="inlineStr">
        <is>
          <t>yes</t>
        </is>
      </c>
      <c r="Q167" s="6" t="inlineStr">
        <is>
          <t>whole</t>
        </is>
      </c>
      <c r="R167" s="6" t="inlineStr">
        <is>
          <t>FG1</t>
        </is>
      </c>
      <c r="S167" s="6" t="inlineStr">
        <is>
          <t>poultry</t>
        </is>
      </c>
      <c r="T167" s="6" t="inlineStr">
        <is>
          <t>animal</t>
        </is>
      </c>
      <c r="U167" s="6" t="n"/>
      <c r="V167" s="6" t="n"/>
      <c r="W167" s="6" t="n">
        <v>1</v>
      </c>
      <c r="X167" s="6" t="n">
        <v>0.17</v>
      </c>
      <c r="Y167" s="6" t="inlineStr">
        <is>
          <t>declared</t>
        </is>
      </c>
      <c r="Z167" s="8" t="n">
        <v>3100</v>
      </c>
      <c r="AA167" s="9">
        <f>IF(H167="yes",Z167*X167,0)</f>
        <v/>
      </c>
      <c r="AB167" s="9">
        <f>IF(H167="yes",AA167*N(L167)/100,0)</f>
        <v/>
      </c>
      <c r="AC167" s="9">
        <f>IF(H167="yes",AA167*N(N167)/100,0)</f>
        <v/>
      </c>
      <c r="AD167" s="9">
        <f>IF(H167="yes",AA167*N(O167)/100,0)</f>
        <v/>
      </c>
      <c r="AE167" s="10">
        <f>IF(P167="yes",AA167/1000,0)</f>
        <v/>
      </c>
      <c r="AF167" s="10">
        <f>IF(R167="FG2",AE167*W167,AE167)</f>
        <v/>
      </c>
    </row>
    <row r="168">
      <c r="A168" s="6" t="inlineStr">
        <is>
          <t>HM00166</t>
        </is>
      </c>
      <c r="B168" s="7" t="inlineStr">
        <is>
          <t>3012345498791</t>
        </is>
      </c>
      <c r="C168" s="6" t="inlineStr">
        <is>
          <t>CHKN STOCK CUBES 12PK 120G CASTELNA</t>
        </is>
      </c>
      <c r="D168" s="6" t="inlineStr">
        <is>
          <t>Chicken stock cubes, 12pk 120g</t>
        </is>
      </c>
      <c r="E168" s="6" t="inlineStr">
        <is>
          <t>Castelna</t>
        </is>
      </c>
      <c r="F168" s="6" t="inlineStr">
        <is>
          <t>Grocery</t>
        </is>
      </c>
      <c r="G168" s="6" t="inlineStr">
        <is>
          <t>Stock &amp; Gravy</t>
        </is>
      </c>
      <c r="H168" s="6" t="inlineStr">
        <is>
          <t>yes</t>
        </is>
      </c>
      <c r="I168" s="6" t="inlineStr">
        <is>
          <t>Animal &amp; plant composite</t>
        </is>
      </c>
      <c r="J168" s="6" t="inlineStr">
        <is>
          <t>B</t>
        </is>
      </c>
      <c r="K168" s="6" t="inlineStr">
        <is>
          <t>50/50 convention</t>
        </is>
      </c>
      <c r="L168" s="6" t="n">
        <v>8.300000000000001</v>
      </c>
      <c r="M168" s="6" t="inlineStr">
        <is>
          <t>Open Food Facts, by EAN</t>
        </is>
      </c>
      <c r="N168" s="6" t="n">
        <v>4.15</v>
      </c>
      <c r="O168" s="6" t="n">
        <v>4.15</v>
      </c>
      <c r="P168" s="6" t="inlineStr">
        <is>
          <t>no</t>
        </is>
      </c>
      <c r="Q168" s="6" t="n"/>
      <c r="R168" s="6" t="n"/>
      <c r="S168" s="6" t="n"/>
      <c r="T168" s="6" t="n"/>
      <c r="U168" s="6" t="n"/>
      <c r="V168" s="6" t="inlineStr">
        <is>
          <t>stock</t>
        </is>
      </c>
      <c r="W168" s="6" t="n">
        <v>1</v>
      </c>
      <c r="X168" s="6" t="n">
        <v>0.12</v>
      </c>
      <c r="Y168" s="6" t="inlineStr">
        <is>
          <t>declared</t>
        </is>
      </c>
      <c r="Z168" s="8" t="n">
        <v>7919</v>
      </c>
      <c r="AA168" s="9">
        <f>IF(H168="yes",Z168*X168,0)</f>
        <v/>
      </c>
      <c r="AB168" s="9">
        <f>IF(H168="yes",AA168*N(L168)/100,0)</f>
        <v/>
      </c>
      <c r="AC168" s="9">
        <f>IF(H168="yes",AA168*N(N168)/100,0)</f>
        <v/>
      </c>
      <c r="AD168" s="9">
        <f>IF(H168="yes",AA168*N(O168)/100,0)</f>
        <v/>
      </c>
      <c r="AE168" s="10">
        <f>IF(P168="yes",AA168/1000,0)</f>
        <v/>
      </c>
      <c r="AF168" s="10">
        <f>IF(R168="FG2",AE168*W168,AE168)</f>
        <v/>
      </c>
    </row>
    <row r="169">
      <c r="A169" s="6" t="inlineStr">
        <is>
          <t>HM00167</t>
        </is>
      </c>
      <c r="B169" s="7" t="inlineStr">
        <is>
          <t>5012345519098</t>
        </is>
      </c>
      <c r="C169" s="6" t="inlineStr">
        <is>
          <t>HM CHERRY YOG 4X125G</t>
        </is>
      </c>
      <c r="D169" s="6" t="inlineStr">
        <is>
          <t>Cherry yoghurt, 4x125g</t>
        </is>
      </c>
      <c r="E169" s="6" t="inlineStr">
        <is>
          <t>Harbour Market</t>
        </is>
      </c>
      <c r="F169" s="6" t="inlineStr">
        <is>
          <t>Dairy &amp; Eggs</t>
        </is>
      </c>
      <c r="G169" s="6" t="inlineStr">
        <is>
          <t>Yoghurt</t>
        </is>
      </c>
      <c r="H169" s="6" t="inlineStr">
        <is>
          <t>yes</t>
        </is>
      </c>
      <c r="I169" s="6" t="inlineStr">
        <is>
          <t>Animal core</t>
        </is>
      </c>
      <c r="J169" s="6" t="inlineStr">
        <is>
          <t>B</t>
        </is>
      </c>
      <c r="K169" s="6" t="inlineStr">
        <is>
          <t>First ingredient (step 4a)</t>
        </is>
      </c>
      <c r="L169" s="6" t="n">
        <v>3.8</v>
      </c>
      <c r="M169" s="6" t="inlineStr">
        <is>
          <t>Declared by the retailer</t>
        </is>
      </c>
      <c r="N169" s="6" t="n">
        <v>0</v>
      </c>
      <c r="O169" s="6" t="n">
        <v>3.8</v>
      </c>
      <c r="P169" s="6" t="inlineStr">
        <is>
          <t>yes</t>
        </is>
      </c>
      <c r="Q169" s="6" t="inlineStr">
        <is>
          <t>whole</t>
        </is>
      </c>
      <c r="R169" s="6" t="inlineStr">
        <is>
          <t>FG2</t>
        </is>
      </c>
      <c r="S169" s="6" t="inlineStr">
        <is>
          <t>dairy</t>
        </is>
      </c>
      <c r="T169" s="6" t="inlineStr">
        <is>
          <t>animal</t>
        </is>
      </c>
      <c r="U169" s="6" t="n"/>
      <c r="V169" s="6" t="n"/>
      <c r="W169" s="6" t="n">
        <v>1</v>
      </c>
      <c r="X169" s="6" t="n">
        <v>0.5</v>
      </c>
      <c r="Y169" s="6" t="inlineStr">
        <is>
          <t>declared</t>
        </is>
      </c>
      <c r="Z169" s="8" t="n">
        <v>12368</v>
      </c>
      <c r="AA169" s="9">
        <f>IF(H169="yes",Z169*X169,0)</f>
        <v/>
      </c>
      <c r="AB169" s="9">
        <f>IF(H169="yes",AA169*N(L169)/100,0)</f>
        <v/>
      </c>
      <c r="AC169" s="9">
        <f>IF(H169="yes",AA169*N(N169)/100,0)</f>
        <v/>
      </c>
      <c r="AD169" s="9">
        <f>IF(H169="yes",AA169*N(O169)/100,0)</f>
        <v/>
      </c>
      <c r="AE169" s="10">
        <f>IF(P169="yes",AA169/1000,0)</f>
        <v/>
      </c>
      <c r="AF169" s="10">
        <f>IF(R169="FG2",AE169*W169,AE169)</f>
        <v/>
      </c>
    </row>
    <row r="170">
      <c r="A170" s="6" t="inlineStr">
        <is>
          <t>HM00168</t>
        </is>
      </c>
      <c r="B170" s="7" t="inlineStr">
        <is>
          <t>4012345067194</t>
        </is>
      </c>
      <c r="C170" s="6" t="inlineStr">
        <is>
          <t>COTTAGE PIE 2X400G QUILLAN</t>
        </is>
      </c>
      <c r="D170" s="6" t="inlineStr">
        <is>
          <t>Cottage pie, 2x400g</t>
        </is>
      </c>
      <c r="E170" s="6" t="inlineStr">
        <is>
          <t>Quillan</t>
        </is>
      </c>
      <c r="F170" s="6" t="inlineStr">
        <is>
          <t>Ready Meals</t>
        </is>
      </c>
      <c r="G170" s="6" t="inlineStr">
        <is>
          <t>Ready Meals</t>
        </is>
      </c>
      <c r="H170" s="6" t="inlineStr">
        <is>
          <t>yes</t>
        </is>
      </c>
      <c r="I170" s="6" t="inlineStr">
        <is>
          <t>Animal &amp; plant composite</t>
        </is>
      </c>
      <c r="J170" s="6" t="inlineStr">
        <is>
          <t>B</t>
        </is>
      </c>
      <c r="K170" s="6" t="inlineStr">
        <is>
          <t>50/50 convention</t>
        </is>
      </c>
      <c r="L170" s="6" t="n">
        <v>6.7</v>
      </c>
      <c r="M170" s="6" t="inlineStr">
        <is>
          <t>Median of the family</t>
        </is>
      </c>
      <c r="N170" s="6" t="n">
        <v>3.35</v>
      </c>
      <c r="O170" s="6" t="n">
        <v>3.35</v>
      </c>
      <c r="P170" s="6" t="inlineStr">
        <is>
          <t>yes</t>
        </is>
      </c>
      <c r="Q170" s="6" t="inlineStr">
        <is>
          <t>composite</t>
        </is>
      </c>
      <c r="R170" s="6" t="n"/>
      <c r="S170" s="6" t="n"/>
      <c r="T170" s="6" t="n"/>
      <c r="U170" s="6" t="inlineStr">
        <is>
          <t>meat-based</t>
        </is>
      </c>
      <c r="V170" s="6" t="n"/>
      <c r="W170" s="6" t="n">
        <v>1</v>
      </c>
      <c r="X170" s="6" t="n">
        <v>0.8</v>
      </c>
      <c r="Y170" s="6" t="inlineStr">
        <is>
          <t>declared</t>
        </is>
      </c>
      <c r="Z170" s="8" t="n">
        <v>6453</v>
      </c>
      <c r="AA170" s="9">
        <f>IF(H170="yes",Z170*X170,0)</f>
        <v/>
      </c>
      <c r="AB170" s="9">
        <f>IF(H170="yes",AA170*N(L170)/100,0)</f>
        <v/>
      </c>
      <c r="AC170" s="9">
        <f>IF(H170="yes",AA170*N(N170)/100,0)</f>
        <v/>
      </c>
      <c r="AD170" s="9">
        <f>IF(H170="yes",AA170*N(O170)/100,0)</f>
        <v/>
      </c>
      <c r="AE170" s="10">
        <f>IF(P170="yes",AA170/1000,0)</f>
        <v/>
      </c>
      <c r="AF170" s="10">
        <f>IF(R170="FG2",AE170*W170,AE170)</f>
        <v/>
      </c>
    </row>
    <row r="171">
      <c r="A171" s="6" t="inlineStr">
        <is>
          <t>HM00169</t>
        </is>
      </c>
      <c r="B171" s="7" t="inlineStr">
        <is>
          <t>4012345004939</t>
        </is>
      </c>
      <c r="C171" s="6" t="inlineStr">
        <is>
          <t>PENROCK TORTILLA CHIPS 150G</t>
        </is>
      </c>
      <c r="D171" s="6" t="inlineStr">
        <is>
          <t>Tortilla chips, 150g</t>
        </is>
      </c>
      <c r="E171" s="6" t="inlineStr">
        <is>
          <t>Penrock</t>
        </is>
      </c>
      <c r="F171" s="6" t="inlineStr">
        <is>
          <t>Breakfast &amp; Snacks</t>
        </is>
      </c>
      <c r="G171" s="6" t="inlineStr">
        <is>
          <t>Crisps</t>
        </is>
      </c>
      <c r="H171" s="6" t="inlineStr">
        <is>
          <t>yes</t>
        </is>
      </c>
      <c r="I171" s="6" t="inlineStr">
        <is>
          <t>Plant-based non-core</t>
        </is>
      </c>
      <c r="J171" s="6" t="inlineStr">
        <is>
          <t>A</t>
        </is>
      </c>
      <c r="K171" s="6" t="inlineStr">
        <is>
          <t>All ingredients on one side</t>
        </is>
      </c>
      <c r="L171" s="6" t="n">
        <v>7.1</v>
      </c>
      <c r="M171" s="6" t="inlineStr">
        <is>
          <t>Altera reference base</t>
        </is>
      </c>
      <c r="N171" s="6" t="n">
        <v>7.1</v>
      </c>
      <c r="O171" s="6" t="n">
        <v>0</v>
      </c>
      <c r="P171" s="6" t="inlineStr">
        <is>
          <t>yes</t>
        </is>
      </c>
      <c r="Q171" s="6" t="inlineStr">
        <is>
          <t>whole</t>
        </is>
      </c>
      <c r="R171" s="6" t="inlineStr">
        <is>
          <t>FG7</t>
        </is>
      </c>
      <c r="S171" s="6" t="n"/>
      <c r="T171" s="6" t="inlineStr">
        <is>
          <t>plant</t>
        </is>
      </c>
      <c r="U171" s="6" t="n"/>
      <c r="V171" s="6" t="n"/>
      <c r="W171" s="6" t="n">
        <v>1</v>
      </c>
      <c r="X171" s="6" t="n">
        <v>0.15</v>
      </c>
      <c r="Y171" s="6" t="inlineStr">
        <is>
          <t>declared</t>
        </is>
      </c>
      <c r="Z171" s="8" t="n">
        <v>192043</v>
      </c>
      <c r="AA171" s="9">
        <f>IF(H171="yes",Z171*X171,0)</f>
        <v/>
      </c>
      <c r="AB171" s="9">
        <f>IF(H171="yes",AA171*N(L171)/100,0)</f>
        <v/>
      </c>
      <c r="AC171" s="9">
        <f>IF(H171="yes",AA171*N(N171)/100,0)</f>
        <v/>
      </c>
      <c r="AD171" s="9">
        <f>IF(H171="yes",AA171*N(O171)/100,0)</f>
        <v/>
      </c>
      <c r="AE171" s="10">
        <f>IF(P171="yes",AA171/1000,0)</f>
        <v/>
      </c>
      <c r="AF171" s="10">
        <f>IF(R171="FG2",AE171*W171,AE171)</f>
        <v/>
      </c>
    </row>
    <row r="172">
      <c r="A172" s="6" t="inlineStr">
        <is>
          <t>HM00170</t>
        </is>
      </c>
      <c r="B172" s="7" t="inlineStr">
        <is>
          <t>4012345903157</t>
        </is>
      </c>
      <c r="C172" s="6" t="inlineStr">
        <is>
          <t>HM BABY POTATOES 2.5KG</t>
        </is>
      </c>
      <c r="D172" s="6" t="inlineStr">
        <is>
          <t>Baby potatoes, 2.5kg</t>
        </is>
      </c>
      <c r="E172" s="6" t="inlineStr">
        <is>
          <t>Harbour Market</t>
        </is>
      </c>
      <c r="F172" s="6" t="inlineStr">
        <is>
          <t>Fruit &amp; Vegetables</t>
        </is>
      </c>
      <c r="G172" s="6" t="inlineStr">
        <is>
          <t>Potatoes</t>
        </is>
      </c>
      <c r="H172" s="6" t="inlineStr">
        <is>
          <t>yes</t>
        </is>
      </c>
      <c r="I172" s="6" t="inlineStr">
        <is>
          <t>Plant-based non-core</t>
        </is>
      </c>
      <c r="J172" s="6" t="inlineStr">
        <is>
          <t>B</t>
        </is>
      </c>
      <c r="K172" s="6" t="inlineStr">
        <is>
          <t>Follows the class</t>
        </is>
      </c>
      <c r="L172" s="6" t="n">
        <v>2.1</v>
      </c>
      <c r="M172" s="6" t="inlineStr">
        <is>
          <t>Altera reference base</t>
        </is>
      </c>
      <c r="N172" s="6" t="n">
        <v>2.1</v>
      </c>
      <c r="O172" s="6" t="n">
        <v>0</v>
      </c>
      <c r="P172" s="6" t="inlineStr">
        <is>
          <t>yes</t>
        </is>
      </c>
      <c r="Q172" s="6" t="inlineStr">
        <is>
          <t>whole</t>
        </is>
      </c>
      <c r="R172" s="6" t="inlineStr">
        <is>
          <t>FG6</t>
        </is>
      </c>
      <c r="S172" s="6" t="n"/>
      <c r="T172" s="6" t="inlineStr">
        <is>
          <t>plant</t>
        </is>
      </c>
      <c r="U172" s="6" t="n"/>
      <c r="V172" s="6" t="n"/>
      <c r="W172" s="6" t="n">
        <v>1</v>
      </c>
      <c r="X172" s="6" t="n">
        <v>2.5</v>
      </c>
      <c r="Y172" s="6" t="inlineStr">
        <is>
          <t>declared</t>
        </is>
      </c>
      <c r="Z172" s="8" t="n">
        <v>75337</v>
      </c>
      <c r="AA172" s="9">
        <f>IF(H172="yes",Z172*X172,0)</f>
        <v/>
      </c>
      <c r="AB172" s="9">
        <f>IF(H172="yes",AA172*N(L172)/100,0)</f>
        <v/>
      </c>
      <c r="AC172" s="9">
        <f>IF(H172="yes",AA172*N(N172)/100,0)</f>
        <v/>
      </c>
      <c r="AD172" s="9">
        <f>IF(H172="yes",AA172*N(O172)/100,0)</f>
        <v/>
      </c>
      <c r="AE172" s="10">
        <f>IF(P172="yes",AA172/1000,0)</f>
        <v/>
      </c>
      <c r="AF172" s="10">
        <f>IF(R172="FG2",AE172*W172,AE172)</f>
        <v/>
      </c>
    </row>
    <row r="173">
      <c r="A173" s="6" t="inlineStr">
        <is>
          <t>HM00171</t>
        </is>
      </c>
      <c r="B173" s="7" t="inlineStr">
        <is>
          <t>4012345397901</t>
        </is>
      </c>
      <c r="C173" s="6" t="inlineStr">
        <is>
          <t>HM APPLE JUICE 1L</t>
        </is>
      </c>
      <c r="D173" s="6" t="inlineStr">
        <is>
          <t>Pressed apple juice, 1l</t>
        </is>
      </c>
      <c r="E173" s="6" t="inlineStr">
        <is>
          <t>Harbour Market</t>
        </is>
      </c>
      <c r="F173" s="6" t="inlineStr">
        <is>
          <t>Soft Drinks &amp; Water</t>
        </is>
      </c>
      <c r="G173" s="6" t="inlineStr">
        <is>
          <t>Juice</t>
        </is>
      </c>
      <c r="H173" s="6" t="inlineStr">
        <is>
          <t>yes</t>
        </is>
      </c>
      <c r="I173" s="6" t="inlineStr">
        <is>
          <t>Plant-based non-core</t>
        </is>
      </c>
      <c r="J173" s="6" t="inlineStr">
        <is>
          <t>A</t>
        </is>
      </c>
      <c r="K173" s="6" t="inlineStr">
        <is>
          <t>All ingredients on one side</t>
        </is>
      </c>
      <c r="L173" s="6" t="n">
        <v>0.1</v>
      </c>
      <c r="M173" s="6" t="inlineStr">
        <is>
          <t>Median of the family</t>
        </is>
      </c>
      <c r="N173" s="6" t="n">
        <v>0.1</v>
      </c>
      <c r="O173" s="6" t="n">
        <v>0</v>
      </c>
      <c r="P173" s="6" t="inlineStr">
        <is>
          <t>no</t>
        </is>
      </c>
      <c r="Q173" s="6" t="n"/>
      <c r="R173" s="6" t="n"/>
      <c r="S173" s="6" t="n"/>
      <c r="T173" s="6" t="n"/>
      <c r="U173" s="6" t="n"/>
      <c r="V173" s="6" t="inlineStr">
        <is>
          <t>beverage</t>
        </is>
      </c>
      <c r="W173" s="6" t="n">
        <v>1</v>
      </c>
      <c r="X173" s="6" t="n">
        <v>1.04</v>
      </c>
      <c r="Y173" s="6" t="inlineStr">
        <is>
          <t>declared</t>
        </is>
      </c>
      <c r="Z173" s="8" t="n">
        <v>44865</v>
      </c>
      <c r="AA173" s="9">
        <f>IF(H173="yes",Z173*X173,0)</f>
        <v/>
      </c>
      <c r="AB173" s="9">
        <f>IF(H173="yes",AA173*N(L173)/100,0)</f>
        <v/>
      </c>
      <c r="AC173" s="9">
        <f>IF(H173="yes",AA173*N(N173)/100,0)</f>
        <v/>
      </c>
      <c r="AD173" s="9">
        <f>IF(H173="yes",AA173*N(O173)/100,0)</f>
        <v/>
      </c>
      <c r="AE173" s="10">
        <f>IF(P173="yes",AA173/1000,0)</f>
        <v/>
      </c>
      <c r="AF173" s="10">
        <f>IF(R173="FG2",AE173*W173,AE173)</f>
        <v/>
      </c>
    </row>
    <row r="174">
      <c r="A174" s="6" t="inlineStr">
        <is>
          <t>HM00172</t>
        </is>
      </c>
      <c r="B174" s="7" t="inlineStr">
        <is>
          <t>8712345557928</t>
        </is>
      </c>
      <c r="C174" s="6" t="inlineStr">
        <is>
          <t>HM PEPPERONI SLICES 70G</t>
        </is>
      </c>
      <c r="D174" s="6" t="inlineStr">
        <is>
          <t>Pepperoni slices, 70g</t>
        </is>
      </c>
      <c r="E174" s="6" t="inlineStr">
        <is>
          <t>Harbour Market</t>
        </is>
      </c>
      <c r="F174" s="6" t="inlineStr">
        <is>
          <t>Deli</t>
        </is>
      </c>
      <c r="G174" s="6" t="inlineStr">
        <is>
          <t>Cured Meats</t>
        </is>
      </c>
      <c r="H174" s="6" t="inlineStr">
        <is>
          <t>yes</t>
        </is>
      </c>
      <c r="I174" s="6" t="inlineStr">
        <is>
          <t>Animal core</t>
        </is>
      </c>
      <c r="J174" s="6" t="inlineStr">
        <is>
          <t>A</t>
        </is>
      </c>
      <c r="K174" s="6" t="inlineStr">
        <is>
          <t>All ingredients on one side</t>
        </is>
      </c>
      <c r="L174" s="6" t="n">
        <v>23.4</v>
      </c>
      <c r="M174" s="6" t="inlineStr">
        <is>
          <t>Open Food Facts, by EAN</t>
        </is>
      </c>
      <c r="N174" s="6" t="n">
        <v>0</v>
      </c>
      <c r="O174" s="6" t="n">
        <v>23.4</v>
      </c>
      <c r="P174" s="6" t="inlineStr">
        <is>
          <t>yes</t>
        </is>
      </c>
      <c r="Q174" s="6" t="inlineStr">
        <is>
          <t>whole</t>
        </is>
      </c>
      <c r="R174" s="6" t="inlineStr">
        <is>
          <t>FG1</t>
        </is>
      </c>
      <c r="S174" s="6" t="inlineStr">
        <is>
          <t>red meat</t>
        </is>
      </c>
      <c r="T174" s="6" t="inlineStr">
        <is>
          <t>animal</t>
        </is>
      </c>
      <c r="U174" s="6" t="n"/>
      <c r="V174" s="6" t="n"/>
      <c r="W174" s="6" t="n">
        <v>1</v>
      </c>
      <c r="X174" s="6" t="n">
        <v>0.07000000000000001</v>
      </c>
      <c r="Y174" s="6" t="inlineStr">
        <is>
          <t>declared</t>
        </is>
      </c>
      <c r="Z174" s="8" t="n">
        <v>25079</v>
      </c>
      <c r="AA174" s="9">
        <f>IF(H174="yes",Z174*X174,0)</f>
        <v/>
      </c>
      <c r="AB174" s="9">
        <f>IF(H174="yes",AA174*N(L174)/100,0)</f>
        <v/>
      </c>
      <c r="AC174" s="9">
        <f>IF(H174="yes",AA174*N(N174)/100,0)</f>
        <v/>
      </c>
      <c r="AD174" s="9">
        <f>IF(H174="yes",AA174*N(O174)/100,0)</f>
        <v/>
      </c>
      <c r="AE174" s="10">
        <f>IF(P174="yes",AA174/1000,0)</f>
        <v/>
      </c>
      <c r="AF174" s="10">
        <f>IF(R174="FG2",AE174*W174,AE174)</f>
        <v/>
      </c>
    </row>
    <row r="175">
      <c r="A175" s="6" t="inlineStr">
        <is>
          <t>HM00173</t>
        </is>
      </c>
      <c r="B175" s="7" t="inlineStr">
        <is>
          <t>3012345264785</t>
        </is>
      </c>
      <c r="C175" s="6" t="inlineStr">
        <is>
          <t>HM ICEBERG LETTUCE 300G</t>
        </is>
      </c>
      <c r="D175" s="6" t="inlineStr">
        <is>
          <t>Iceberg lettuce, 300g</t>
        </is>
      </c>
      <c r="E175" s="6" t="inlineStr">
        <is>
          <t>Harbour Market</t>
        </is>
      </c>
      <c r="F175" s="6" t="inlineStr">
        <is>
          <t>Fruit &amp; Vegetables</t>
        </is>
      </c>
      <c r="G175" s="6" t="inlineStr">
        <is>
          <t>Vegetables</t>
        </is>
      </c>
      <c r="H175" s="6" t="inlineStr">
        <is>
          <t>yes</t>
        </is>
      </c>
      <c r="I175" s="6" t="inlineStr">
        <is>
          <t>Plant-based non-core</t>
        </is>
      </c>
      <c r="J175" s="6" t="inlineStr">
        <is>
          <t>B</t>
        </is>
      </c>
      <c r="K175" s="6" t="inlineStr">
        <is>
          <t>Follows the class</t>
        </is>
      </c>
      <c r="L175" s="6" t="n">
        <v>0.95</v>
      </c>
      <c r="M175" s="6" t="inlineStr">
        <is>
          <t>Name match (CIQUAL / NEVO)</t>
        </is>
      </c>
      <c r="N175" s="6" t="n">
        <v>0.95</v>
      </c>
      <c r="O175" s="6" t="n">
        <v>0</v>
      </c>
      <c r="P175" s="6" t="inlineStr">
        <is>
          <t>yes</t>
        </is>
      </c>
      <c r="Q175" s="6" t="inlineStr">
        <is>
          <t>whole</t>
        </is>
      </c>
      <c r="R175" s="6" t="inlineStr">
        <is>
          <t>FG4</t>
        </is>
      </c>
      <c r="S175" s="6" t="n"/>
      <c r="T175" s="6" t="inlineStr">
        <is>
          <t>plant</t>
        </is>
      </c>
      <c r="U175" s="6" t="n"/>
      <c r="V175" s="6" t="n"/>
      <c r="W175" s="6" t="n">
        <v>1</v>
      </c>
      <c r="X175" s="6" t="n">
        <v>0.3</v>
      </c>
      <c r="Y175" s="6" t="inlineStr">
        <is>
          <t>declared</t>
        </is>
      </c>
      <c r="Z175" s="8" t="n">
        <v>229181</v>
      </c>
      <c r="AA175" s="9">
        <f>IF(H175="yes",Z175*X175,0)</f>
        <v/>
      </c>
      <c r="AB175" s="9">
        <f>IF(H175="yes",AA175*N(L175)/100,0)</f>
        <v/>
      </c>
      <c r="AC175" s="9">
        <f>IF(H175="yes",AA175*N(N175)/100,0)</f>
        <v/>
      </c>
      <c r="AD175" s="9">
        <f>IF(H175="yes",AA175*N(O175)/100,0)</f>
        <v/>
      </c>
      <c r="AE175" s="10">
        <f>IF(P175="yes",AA175/1000,0)</f>
        <v/>
      </c>
      <c r="AF175" s="10">
        <f>IF(R175="FG2",AE175*W175,AE175)</f>
        <v/>
      </c>
    </row>
    <row r="176">
      <c r="A176" s="6" t="inlineStr">
        <is>
          <t>HM00174</t>
        </is>
      </c>
      <c r="B176" s="7" t="inlineStr">
        <is>
          <t>5012345426143</t>
        </is>
      </c>
      <c r="C176" s="6" t="inlineStr">
        <is>
          <t>HM APPLES GALA 250G</t>
        </is>
      </c>
      <c r="D176" s="6" t="inlineStr">
        <is>
          <t>Gala apples, 250g</t>
        </is>
      </c>
      <c r="E176" s="6" t="inlineStr">
        <is>
          <t>Harbour Market</t>
        </is>
      </c>
      <c r="F176" s="6" t="inlineStr">
        <is>
          <t>Fruit &amp; Vegetables</t>
        </is>
      </c>
      <c r="G176" s="6" t="inlineStr">
        <is>
          <t>Fruit</t>
        </is>
      </c>
      <c r="H176" s="6" t="inlineStr">
        <is>
          <t>yes</t>
        </is>
      </c>
      <c r="I176" s="6" t="inlineStr">
        <is>
          <t>Plant-based non-core</t>
        </is>
      </c>
      <c r="J176" s="6" t="inlineStr">
        <is>
          <t>B</t>
        </is>
      </c>
      <c r="K176" s="6" t="inlineStr">
        <is>
          <t>Follows the class</t>
        </is>
      </c>
      <c r="L176" s="6" t="n">
        <v>0.3</v>
      </c>
      <c r="M176" s="6" t="inlineStr">
        <is>
          <t>Declared by the retailer</t>
        </is>
      </c>
      <c r="N176" s="6" t="n">
        <v>0.3</v>
      </c>
      <c r="O176" s="6" t="n">
        <v>0</v>
      </c>
      <c r="P176" s="6" t="inlineStr">
        <is>
          <t>yes</t>
        </is>
      </c>
      <c r="Q176" s="6" t="inlineStr">
        <is>
          <t>whole</t>
        </is>
      </c>
      <c r="R176" s="6" t="inlineStr">
        <is>
          <t>FG4</t>
        </is>
      </c>
      <c r="S176" s="6" t="n"/>
      <c r="T176" s="6" t="inlineStr">
        <is>
          <t>plant</t>
        </is>
      </c>
      <c r="U176" s="6" t="n"/>
      <c r="V176" s="6" t="n"/>
      <c r="W176" s="6" t="n">
        <v>1</v>
      </c>
      <c r="X176" s="6" t="n">
        <v>0.25</v>
      </c>
      <c r="Y176" s="6" t="inlineStr">
        <is>
          <t>declared</t>
        </is>
      </c>
      <c r="Z176" s="8" t="n">
        <v>69931</v>
      </c>
      <c r="AA176" s="9">
        <f>IF(H176="yes",Z176*X176,0)</f>
        <v/>
      </c>
      <c r="AB176" s="9">
        <f>IF(H176="yes",AA176*N(L176)/100,0)</f>
        <v/>
      </c>
      <c r="AC176" s="9">
        <f>IF(H176="yes",AA176*N(N176)/100,0)</f>
        <v/>
      </c>
      <c r="AD176" s="9">
        <f>IF(H176="yes",AA176*N(O176)/100,0)</f>
        <v/>
      </c>
      <c r="AE176" s="10">
        <f>IF(P176="yes",AA176/1000,0)</f>
        <v/>
      </c>
      <c r="AF176" s="10">
        <f>IF(R176="FG2",AE176*W176,AE176)</f>
        <v/>
      </c>
    </row>
    <row r="177">
      <c r="A177" s="6" t="inlineStr">
        <is>
          <t>HM00175</t>
        </is>
      </c>
      <c r="B177" s="7" t="inlineStr">
        <is>
          <t>5012345198972</t>
        </is>
      </c>
      <c r="C177" s="6" t="inlineStr">
        <is>
          <t>HM MILD CHEDDAR 200G</t>
        </is>
      </c>
      <c r="D177" s="6" t="inlineStr">
        <is>
          <t>Mild cheddar, 200g</t>
        </is>
      </c>
      <c r="E177" s="6" t="inlineStr">
        <is>
          <t>Harbour Market</t>
        </is>
      </c>
      <c r="F177" s="6" t="inlineStr">
        <is>
          <t>Cheese</t>
        </is>
      </c>
      <c r="G177" s="6" t="inlineStr">
        <is>
          <t>Hard Cheese</t>
        </is>
      </c>
      <c r="H177" s="6" t="inlineStr">
        <is>
          <t>yes</t>
        </is>
      </c>
      <c r="I177" s="6" t="inlineStr">
        <is>
          <t>Animal core</t>
        </is>
      </c>
      <c r="J177" s="6" t="inlineStr">
        <is>
          <t>B</t>
        </is>
      </c>
      <c r="K177" s="6" t="inlineStr">
        <is>
          <t>Follows the class</t>
        </is>
      </c>
      <c r="L177" s="6" t="n">
        <v>24.6</v>
      </c>
      <c r="M177" s="6" t="inlineStr">
        <is>
          <t>Declared by the retailer</t>
        </is>
      </c>
      <c r="N177" s="6" t="n">
        <v>0</v>
      </c>
      <c r="O177" s="6" t="n">
        <v>24.6</v>
      </c>
      <c r="P177" s="6" t="inlineStr">
        <is>
          <t>yes</t>
        </is>
      </c>
      <c r="Q177" s="6" t="inlineStr">
        <is>
          <t>whole</t>
        </is>
      </c>
      <c r="R177" s="6" t="inlineStr">
        <is>
          <t>FG2</t>
        </is>
      </c>
      <c r="S177" s="6" t="inlineStr">
        <is>
          <t>dairy</t>
        </is>
      </c>
      <c r="T177" s="6" t="inlineStr">
        <is>
          <t>animal</t>
        </is>
      </c>
      <c r="U177" s="6" t="n"/>
      <c r="V177" s="6" t="n"/>
      <c r="W177" s="6" t="n">
        <v>10</v>
      </c>
      <c r="X177" s="6" t="n">
        <v>0.2</v>
      </c>
      <c r="Y177" s="6" t="inlineStr">
        <is>
          <t>label</t>
        </is>
      </c>
      <c r="Z177" s="8" t="n">
        <v>8110</v>
      </c>
      <c r="AA177" s="9">
        <f>IF(H177="yes",Z177*X177,0)</f>
        <v/>
      </c>
      <c r="AB177" s="9">
        <f>IF(H177="yes",AA177*N(L177)/100,0)</f>
        <v/>
      </c>
      <c r="AC177" s="9">
        <f>IF(H177="yes",AA177*N(N177)/100,0)</f>
        <v/>
      </c>
      <c r="AD177" s="9">
        <f>IF(H177="yes",AA177*N(O177)/100,0)</f>
        <v/>
      </c>
      <c r="AE177" s="10">
        <f>IF(P177="yes",AA177/1000,0)</f>
        <v/>
      </c>
      <c r="AF177" s="10">
        <f>IF(R177="FG2",AE177*W177,AE177)</f>
        <v/>
      </c>
    </row>
    <row r="178">
      <c r="A178" s="6" t="inlineStr">
        <is>
          <t>HM00176</t>
        </is>
      </c>
      <c r="B178" s="7" t="inlineStr">
        <is>
          <t>4012345855173</t>
        </is>
      </c>
      <c r="C178" s="6" t="inlineStr">
        <is>
          <t>BRIOCHE ROLLS 4PK 180G BRAMBLECOTE</t>
        </is>
      </c>
      <c r="D178" s="6" t="inlineStr">
        <is>
          <t>Brioche rolls, 4pk 180g</t>
        </is>
      </c>
      <c r="E178" s="6" t="inlineStr">
        <is>
          <t>Bramblecote</t>
        </is>
      </c>
      <c r="F178" s="6" t="inlineStr">
        <is>
          <t>Bakery</t>
        </is>
      </c>
      <c r="G178" s="6" t="inlineStr">
        <is>
          <t>Pastries</t>
        </is>
      </c>
      <c r="H178" s="6" t="inlineStr">
        <is>
          <t>yes</t>
        </is>
      </c>
      <c r="I178" s="6" t="inlineStr">
        <is>
          <t>Animal &amp; plant composite</t>
        </is>
      </c>
      <c r="J178" s="6" t="inlineStr">
        <is>
          <t>A</t>
        </is>
      </c>
      <c r="K178" s="6" t="inlineStr">
        <is>
          <t>NEVO food table (ratio only)</t>
        </is>
      </c>
      <c r="L178" s="6" t="n">
        <v>8.300000000000001</v>
      </c>
      <c r="M178" s="6" t="inlineStr">
        <is>
          <t>Declared by the retailer</t>
        </is>
      </c>
      <c r="N178" s="6" t="n">
        <v>4.57</v>
      </c>
      <c r="O178" s="6" t="n">
        <v>3.73</v>
      </c>
      <c r="P178" s="6" t="inlineStr">
        <is>
          <t>yes</t>
        </is>
      </c>
      <c r="Q178" s="6" t="inlineStr">
        <is>
          <t>whole</t>
        </is>
      </c>
      <c r="R178" s="6" t="inlineStr">
        <is>
          <t>FG7</t>
        </is>
      </c>
      <c r="S178" s="6" t="n"/>
      <c r="T178" s="6" t="inlineStr">
        <is>
          <t>plant</t>
        </is>
      </c>
      <c r="U178" s="6" t="n"/>
      <c r="V178" s="6" t="n"/>
      <c r="W178" s="6" t="n">
        <v>1</v>
      </c>
      <c r="X178" s="6" t="n">
        <v>0.18</v>
      </c>
      <c r="Y178" s="6" t="inlineStr">
        <is>
          <t>label</t>
        </is>
      </c>
      <c r="Z178" s="8" t="n">
        <v>63258</v>
      </c>
      <c r="AA178" s="9">
        <f>IF(H178="yes",Z178*X178,0)</f>
        <v/>
      </c>
      <c r="AB178" s="9">
        <f>IF(H178="yes",AA178*N(L178)/100,0)</f>
        <v/>
      </c>
      <c r="AC178" s="9">
        <f>IF(H178="yes",AA178*N(N178)/100,0)</f>
        <v/>
      </c>
      <c r="AD178" s="9">
        <f>IF(H178="yes",AA178*N(O178)/100,0)</f>
        <v/>
      </c>
      <c r="AE178" s="10">
        <f>IF(P178="yes",AA178/1000,0)</f>
        <v/>
      </c>
      <c r="AF178" s="10">
        <f>IF(R178="FG2",AE178*W178,AE178)</f>
        <v/>
      </c>
    </row>
    <row r="179">
      <c r="A179" s="6" t="inlineStr">
        <is>
          <t>HM00177</t>
        </is>
      </c>
      <c r="B179" s="7" t="inlineStr">
        <is>
          <t>5012345808246</t>
        </is>
      </c>
      <c r="C179" s="6" t="inlineStr">
        <is>
          <t>RED KIDNEY BEANS 400G ORVALIS</t>
        </is>
      </c>
      <c r="D179" s="6" t="inlineStr">
        <is>
          <t>Red kidney beans in water, 400g</t>
        </is>
      </c>
      <c r="E179" s="6" t="inlineStr">
        <is>
          <t>Orvalis</t>
        </is>
      </c>
      <c r="F179" s="6" t="inlineStr">
        <is>
          <t>Grocery</t>
        </is>
      </c>
      <c r="G179" s="6" t="inlineStr">
        <is>
          <t>Pulses</t>
        </is>
      </c>
      <c r="H179" s="6" t="inlineStr">
        <is>
          <t>yes</t>
        </is>
      </c>
      <c r="I179" s="6" t="inlineStr">
        <is>
          <t>Plant-based core</t>
        </is>
      </c>
      <c r="J179" s="6" t="inlineStr">
        <is>
          <t>B</t>
        </is>
      </c>
      <c r="K179" s="6" t="inlineStr">
        <is>
          <t>Follows the class</t>
        </is>
      </c>
      <c r="L179" s="6" t="n">
        <v>6.6</v>
      </c>
      <c r="M179" s="6" t="inlineStr">
        <is>
          <t>Declared by the retailer</t>
        </is>
      </c>
      <c r="N179" s="6" t="n">
        <v>6.6</v>
      </c>
      <c r="O179" s="6" t="n">
        <v>0</v>
      </c>
      <c r="P179" s="6" t="inlineStr">
        <is>
          <t>yes</t>
        </is>
      </c>
      <c r="Q179" s="6" t="inlineStr">
        <is>
          <t>whole</t>
        </is>
      </c>
      <c r="R179" s="6" t="inlineStr">
        <is>
          <t>FG1</t>
        </is>
      </c>
      <c r="S179" s="6" t="inlineStr">
        <is>
          <t>pulses</t>
        </is>
      </c>
      <c r="T179" s="6" t="inlineStr">
        <is>
          <t>plant</t>
        </is>
      </c>
      <c r="U179" s="6" t="n"/>
      <c r="V179" s="6" t="n"/>
      <c r="W179" s="6" t="n">
        <v>1</v>
      </c>
      <c r="X179" s="6" t="n">
        <v>0.4</v>
      </c>
      <c r="Y179" s="6" t="inlineStr">
        <is>
          <t>declared</t>
        </is>
      </c>
      <c r="Z179" s="8" t="n">
        <v>25870</v>
      </c>
      <c r="AA179" s="9">
        <f>IF(H179="yes",Z179*X179,0)</f>
        <v/>
      </c>
      <c r="AB179" s="9">
        <f>IF(H179="yes",AA179*N(L179)/100,0)</f>
        <v/>
      </c>
      <c r="AC179" s="9">
        <f>IF(H179="yes",AA179*N(N179)/100,0)</f>
        <v/>
      </c>
      <c r="AD179" s="9">
        <f>IF(H179="yes",AA179*N(O179)/100,0)</f>
        <v/>
      </c>
      <c r="AE179" s="10">
        <f>IF(P179="yes",AA179/1000,0)</f>
        <v/>
      </c>
      <c r="AF179" s="10">
        <f>IF(R179="FG2",AE179*W179,AE179)</f>
        <v/>
      </c>
    </row>
    <row r="180">
      <c r="A180" s="6" t="inlineStr">
        <is>
          <t>HM00178</t>
        </is>
      </c>
      <c r="B180" s="7" t="inlineStr">
        <is>
          <t>3012345053969</t>
        </is>
      </c>
      <c r="C180" s="6" t="inlineStr">
        <is>
          <t>QUILLAN COTTAGE PIE 450G</t>
        </is>
      </c>
      <c r="D180" s="6" t="inlineStr">
        <is>
          <t>Cottage pie, 450g</t>
        </is>
      </c>
      <c r="E180" s="6" t="inlineStr">
        <is>
          <t>Quillan</t>
        </is>
      </c>
      <c r="F180" s="6" t="inlineStr">
        <is>
          <t>Ready Meals</t>
        </is>
      </c>
      <c r="G180" s="6" t="inlineStr">
        <is>
          <t>Ready Meals</t>
        </is>
      </c>
      <c r="H180" s="6" t="inlineStr">
        <is>
          <t>yes</t>
        </is>
      </c>
      <c r="I180" s="6" t="inlineStr">
        <is>
          <t>Animal &amp; plant composite</t>
        </is>
      </c>
      <c r="J180" s="6" t="inlineStr">
        <is>
          <t>B</t>
        </is>
      </c>
      <c r="K180" s="6" t="inlineStr">
        <is>
          <t>50/50 convention</t>
        </is>
      </c>
      <c r="L180" s="6" t="n">
        <v>6.8</v>
      </c>
      <c r="M180" s="6" t="inlineStr">
        <is>
          <t>Altera reference base</t>
        </is>
      </c>
      <c r="N180" s="6" t="n">
        <v>3.4</v>
      </c>
      <c r="O180" s="6" t="n">
        <v>3.4</v>
      </c>
      <c r="P180" s="6" t="inlineStr">
        <is>
          <t>yes</t>
        </is>
      </c>
      <c r="Q180" s="6" t="inlineStr">
        <is>
          <t>composite</t>
        </is>
      </c>
      <c r="R180" s="6" t="n"/>
      <c r="S180" s="6" t="n"/>
      <c r="T180" s="6" t="n"/>
      <c r="U180" s="6" t="inlineStr">
        <is>
          <t>meat-based</t>
        </is>
      </c>
      <c r="V180" s="6" t="n"/>
      <c r="W180" s="6" t="n">
        <v>1</v>
      </c>
      <c r="X180" s="6" t="n">
        <v>0.45</v>
      </c>
      <c r="Y180" s="6" t="inlineStr">
        <is>
          <t>declared</t>
        </is>
      </c>
      <c r="Z180" s="8" t="n">
        <v>36534</v>
      </c>
      <c r="AA180" s="9">
        <f>IF(H180="yes",Z180*X180,0)</f>
        <v/>
      </c>
      <c r="AB180" s="9">
        <f>IF(H180="yes",AA180*N(L180)/100,0)</f>
        <v/>
      </c>
      <c r="AC180" s="9">
        <f>IF(H180="yes",AA180*N(N180)/100,0)</f>
        <v/>
      </c>
      <c r="AD180" s="9">
        <f>IF(H180="yes",AA180*N(O180)/100,0)</f>
        <v/>
      </c>
      <c r="AE180" s="10">
        <f>IF(P180="yes",AA180/1000,0)</f>
        <v/>
      </c>
      <c r="AF180" s="10">
        <f>IF(R180="FG2",AE180*W180,AE180)</f>
        <v/>
      </c>
    </row>
    <row r="181">
      <c r="A181" s="6" t="inlineStr">
        <is>
          <t>HM00179</t>
        </is>
      </c>
      <c r="B181" s="7" t="inlineStr">
        <is>
          <t>3012345367073</t>
        </is>
      </c>
      <c r="C181" s="6" t="inlineStr">
        <is>
          <t>HM PLANT CHKN PIECES 400G</t>
        </is>
      </c>
      <c r="D181" s="6" t="inlineStr">
        <is>
          <t>Plant-based chicken-style pieces, 400g</t>
        </is>
      </c>
      <c r="E181" s="6" t="inlineStr">
        <is>
          <t>Harbour Market</t>
        </is>
      </c>
      <c r="F181" s="6" t="inlineStr">
        <is>
          <t>Plant-Based</t>
        </is>
      </c>
      <c r="G181" s="6" t="inlineStr">
        <is>
          <t>Meat Alternatives</t>
        </is>
      </c>
      <c r="H181" s="6" t="inlineStr">
        <is>
          <t>yes</t>
        </is>
      </c>
      <c r="I181" s="6" t="inlineStr">
        <is>
          <t>Plant-based core</t>
        </is>
      </c>
      <c r="J181" s="6" t="inlineStr">
        <is>
          <t>B</t>
        </is>
      </c>
      <c r="K181" s="6" t="inlineStr">
        <is>
          <t>Follows the class</t>
        </is>
      </c>
      <c r="L181" s="6" t="n">
        <v>18.3</v>
      </c>
      <c r="M181" s="6" t="inlineStr">
        <is>
          <t>Declared by the retailer</t>
        </is>
      </c>
      <c r="N181" s="6" t="n">
        <v>18.3</v>
      </c>
      <c r="O181" s="6" t="n">
        <v>0</v>
      </c>
      <c r="P181" s="6" t="inlineStr">
        <is>
          <t>yes</t>
        </is>
      </c>
      <c r="Q181" s="6" t="inlineStr">
        <is>
          <t>whole</t>
        </is>
      </c>
      <c r="R181" s="6" t="inlineStr">
        <is>
          <t>FG1</t>
        </is>
      </c>
      <c r="S181" s="6" t="inlineStr">
        <is>
          <t>alternative products</t>
        </is>
      </c>
      <c r="T181" s="6" t="inlineStr">
        <is>
          <t>plant</t>
        </is>
      </c>
      <c r="U181" s="6" t="n"/>
      <c r="V181" s="6" t="n"/>
      <c r="W181" s="6" t="n">
        <v>1</v>
      </c>
      <c r="X181" s="6" t="n">
        <v>0.4</v>
      </c>
      <c r="Y181" s="6" t="inlineStr">
        <is>
          <t>declared</t>
        </is>
      </c>
      <c r="Z181" s="8" t="n">
        <v>13129</v>
      </c>
      <c r="AA181" s="9">
        <f>IF(H181="yes",Z181*X181,0)</f>
        <v/>
      </c>
      <c r="AB181" s="9">
        <f>IF(H181="yes",AA181*N(L181)/100,0)</f>
        <v/>
      </c>
      <c r="AC181" s="9">
        <f>IF(H181="yes",AA181*N(N181)/100,0)</f>
        <v/>
      </c>
      <c r="AD181" s="9">
        <f>IF(H181="yes",AA181*N(O181)/100,0)</f>
        <v/>
      </c>
      <c r="AE181" s="10">
        <f>IF(P181="yes",AA181/1000,0)</f>
        <v/>
      </c>
      <c r="AF181" s="10">
        <f>IF(R181="FG2",AE181*W181,AE181)</f>
        <v/>
      </c>
    </row>
    <row r="182">
      <c r="A182" s="6" t="inlineStr">
        <is>
          <t>HM00180</t>
        </is>
      </c>
      <c r="B182" s="7" t="inlineStr">
        <is>
          <t>8712345606770</t>
        </is>
      </c>
      <c r="C182" s="6" t="inlineStr">
        <is>
          <t>CHKN BREAST FLT 300G TARROW</t>
        </is>
      </c>
      <c r="D182" s="6" t="inlineStr">
        <is>
          <t>Chicken breast fillets, 300g</t>
        </is>
      </c>
      <c r="E182" s="6" t="inlineStr">
        <is>
          <t>Tarrow Farm</t>
        </is>
      </c>
      <c r="F182" s="6" t="inlineStr">
        <is>
          <t>Fresh Meat &amp; Poultry</t>
        </is>
      </c>
      <c r="G182" s="6" t="inlineStr">
        <is>
          <t>Poultry</t>
        </is>
      </c>
      <c r="H182" s="6" t="inlineStr">
        <is>
          <t>yes</t>
        </is>
      </c>
      <c r="I182" s="6" t="inlineStr">
        <is>
          <t>Animal core</t>
        </is>
      </c>
      <c r="J182" s="6" t="inlineStr">
        <is>
          <t>B</t>
        </is>
      </c>
      <c r="K182" s="6" t="inlineStr">
        <is>
          <t>Follows the class</t>
        </is>
      </c>
      <c r="L182" s="6" t="n">
        <v>23.2</v>
      </c>
      <c r="M182" s="6" t="inlineStr">
        <is>
          <t>Name match (CIQUAL / NEVO)</t>
        </is>
      </c>
      <c r="N182" s="6" t="n">
        <v>0</v>
      </c>
      <c r="O182" s="6" t="n">
        <v>23.2</v>
      </c>
      <c r="P182" s="6" t="inlineStr">
        <is>
          <t>yes</t>
        </is>
      </c>
      <c r="Q182" s="6" t="inlineStr">
        <is>
          <t>whole</t>
        </is>
      </c>
      <c r="R182" s="6" t="inlineStr">
        <is>
          <t>FG1</t>
        </is>
      </c>
      <c r="S182" s="6" t="inlineStr">
        <is>
          <t>poultry</t>
        </is>
      </c>
      <c r="T182" s="6" t="inlineStr">
        <is>
          <t>animal</t>
        </is>
      </c>
      <c r="U182" s="6" t="n"/>
      <c r="V182" s="6" t="n"/>
      <c r="W182" s="6" t="n">
        <v>1</v>
      </c>
      <c r="X182" s="6" t="n">
        <v>0.3</v>
      </c>
      <c r="Y182" s="6" t="inlineStr">
        <is>
          <t>declared</t>
        </is>
      </c>
      <c r="Z182" s="8" t="n">
        <v>167835</v>
      </c>
      <c r="AA182" s="9">
        <f>IF(H182="yes",Z182*X182,0)</f>
        <v/>
      </c>
      <c r="AB182" s="9">
        <f>IF(H182="yes",AA182*N(L182)/100,0)</f>
        <v/>
      </c>
      <c r="AC182" s="9">
        <f>IF(H182="yes",AA182*N(N182)/100,0)</f>
        <v/>
      </c>
      <c r="AD182" s="9">
        <f>IF(H182="yes",AA182*N(O182)/100,0)</f>
        <v/>
      </c>
      <c r="AE182" s="10">
        <f>IF(P182="yes",AA182/1000,0)</f>
        <v/>
      </c>
      <c r="AF182" s="10">
        <f>IF(R182="FG2",AE182*W182,AE182)</f>
        <v/>
      </c>
    </row>
    <row r="183">
      <c r="A183" s="6" t="inlineStr">
        <is>
          <t>HM00181</t>
        </is>
      </c>
      <c r="B183" s="7" t="inlineStr">
        <is>
          <t>8712345922603</t>
        </is>
      </c>
      <c r="C183" s="6" t="inlineStr">
        <is>
          <t>HM APPLES GALA 1KG</t>
        </is>
      </c>
      <c r="D183" s="6" t="inlineStr">
        <is>
          <t>Gala apples, 1kg</t>
        </is>
      </c>
      <c r="E183" s="6" t="inlineStr">
        <is>
          <t>Harbour Market</t>
        </is>
      </c>
      <c r="F183" s="6" t="inlineStr">
        <is>
          <t>Fruit &amp; Vegetables</t>
        </is>
      </c>
      <c r="G183" s="6" t="inlineStr">
        <is>
          <t>Fruit</t>
        </is>
      </c>
      <c r="H183" s="6" t="inlineStr">
        <is>
          <t>yes</t>
        </is>
      </c>
      <c r="I183" s="6" t="inlineStr">
        <is>
          <t>Plant-based non-core</t>
        </is>
      </c>
      <c r="J183" s="6" t="inlineStr">
        <is>
          <t>B</t>
        </is>
      </c>
      <c r="K183" s="6" t="inlineStr">
        <is>
          <t>Follows the class</t>
        </is>
      </c>
      <c r="L183" s="6" t="n">
        <v>0.29</v>
      </c>
      <c r="M183" s="6" t="inlineStr">
        <is>
          <t>Declared by the retailer</t>
        </is>
      </c>
      <c r="N183" s="6" t="n">
        <v>0.29</v>
      </c>
      <c r="O183" s="6" t="n">
        <v>0</v>
      </c>
      <c r="P183" s="6" t="inlineStr">
        <is>
          <t>yes</t>
        </is>
      </c>
      <c r="Q183" s="6" t="inlineStr">
        <is>
          <t>whole</t>
        </is>
      </c>
      <c r="R183" s="6" t="inlineStr">
        <is>
          <t>FG4</t>
        </is>
      </c>
      <c r="S183" s="6" t="n"/>
      <c r="T183" s="6" t="inlineStr">
        <is>
          <t>plant</t>
        </is>
      </c>
      <c r="U183" s="6" t="n"/>
      <c r="V183" s="6" t="n"/>
      <c r="W183" s="6" t="n">
        <v>1</v>
      </c>
      <c r="X183" s="6" t="n">
        <v>1</v>
      </c>
      <c r="Y183" s="6" t="inlineStr">
        <is>
          <t>declared</t>
        </is>
      </c>
      <c r="Z183" s="8" t="n">
        <v>115939</v>
      </c>
      <c r="AA183" s="9">
        <f>IF(H183="yes",Z183*X183,0)</f>
        <v/>
      </c>
      <c r="AB183" s="9">
        <f>IF(H183="yes",AA183*N(L183)/100,0)</f>
        <v/>
      </c>
      <c r="AC183" s="9">
        <f>IF(H183="yes",AA183*N(N183)/100,0)</f>
        <v/>
      </c>
      <c r="AD183" s="9">
        <f>IF(H183="yes",AA183*N(O183)/100,0)</f>
        <v/>
      </c>
      <c r="AE183" s="10">
        <f>IF(P183="yes",AA183/1000,0)</f>
        <v/>
      </c>
      <c r="AF183" s="10">
        <f>IF(R183="FG2",AE183*W183,AE183)</f>
        <v/>
      </c>
    </row>
    <row r="184">
      <c r="A184" s="6" t="inlineStr">
        <is>
          <t>HM00182</t>
        </is>
      </c>
      <c r="B184" s="7" t="inlineStr">
        <is>
          <t>0012345136047</t>
        </is>
      </c>
      <c r="C184" s="6" t="inlineStr">
        <is>
          <t>ALDERWICK CAMEMBERT 125G</t>
        </is>
      </c>
      <c r="D184" s="6" t="inlineStr">
        <is>
          <t>Camembert, 125g</t>
        </is>
      </c>
      <c r="E184" s="6" t="inlineStr">
        <is>
          <t>Alderwick</t>
        </is>
      </c>
      <c r="F184" s="6" t="inlineStr">
        <is>
          <t>Cheese</t>
        </is>
      </c>
      <c r="G184" s="6" t="inlineStr">
        <is>
          <t>Soft Cheese</t>
        </is>
      </c>
      <c r="H184" s="6" t="inlineStr">
        <is>
          <t>yes</t>
        </is>
      </c>
      <c r="I184" s="6" t="inlineStr">
        <is>
          <t>Animal core</t>
        </is>
      </c>
      <c r="J184" s="6" t="inlineStr">
        <is>
          <t>B</t>
        </is>
      </c>
      <c r="K184" s="6" t="inlineStr">
        <is>
          <t>Follows the class</t>
        </is>
      </c>
      <c r="L184" s="6" t="n">
        <v>20.5</v>
      </c>
      <c r="M184" s="6" t="inlineStr">
        <is>
          <t>Declared by the retailer</t>
        </is>
      </c>
      <c r="N184" s="6" t="n">
        <v>0</v>
      </c>
      <c r="O184" s="6" t="n">
        <v>20.5</v>
      </c>
      <c r="P184" s="6" t="inlineStr">
        <is>
          <t>yes</t>
        </is>
      </c>
      <c r="Q184" s="6" t="inlineStr">
        <is>
          <t>whole</t>
        </is>
      </c>
      <c r="R184" s="6" t="inlineStr">
        <is>
          <t>FG2</t>
        </is>
      </c>
      <c r="S184" s="6" t="inlineStr">
        <is>
          <t>dairy</t>
        </is>
      </c>
      <c r="T184" s="6" t="inlineStr">
        <is>
          <t>animal</t>
        </is>
      </c>
      <c r="U184" s="6" t="n"/>
      <c r="V184" s="6" t="n"/>
      <c r="W184" s="6" t="n">
        <v>10</v>
      </c>
      <c r="X184" s="6" t="n">
        <v>0.125</v>
      </c>
      <c r="Y184" s="6" t="inlineStr">
        <is>
          <t>declared</t>
        </is>
      </c>
      <c r="Z184" s="8" t="n">
        <v>28352</v>
      </c>
      <c r="AA184" s="9">
        <f>IF(H184="yes",Z184*X184,0)</f>
        <v/>
      </c>
      <c r="AB184" s="9">
        <f>IF(H184="yes",AA184*N(L184)/100,0)</f>
        <v/>
      </c>
      <c r="AC184" s="9">
        <f>IF(H184="yes",AA184*N(N184)/100,0)</f>
        <v/>
      </c>
      <c r="AD184" s="9">
        <f>IF(H184="yes",AA184*N(O184)/100,0)</f>
        <v/>
      </c>
      <c r="AE184" s="10">
        <f>IF(P184="yes",AA184/1000,0)</f>
        <v/>
      </c>
      <c r="AF184" s="10">
        <f>IF(R184="FG2",AE184*W184,AE184)</f>
        <v/>
      </c>
    </row>
    <row r="185">
      <c r="A185" s="6" t="inlineStr">
        <is>
          <t>HM00183</t>
        </is>
      </c>
      <c r="B185" s="7" t="inlineStr">
        <is>
          <t>3012345694865</t>
        </is>
      </c>
      <c r="C185" s="6" t="inlineStr">
        <is>
          <t>HM WHOLE CHKN 1KG</t>
        </is>
      </c>
      <c r="D185" s="6" t="inlineStr">
        <is>
          <t>Whole chicken, 1kg</t>
        </is>
      </c>
      <c r="E185" s="6" t="inlineStr">
        <is>
          <t>Harbour Market</t>
        </is>
      </c>
      <c r="F185" s="6" t="inlineStr">
        <is>
          <t>Fresh Meat &amp; Poultry</t>
        </is>
      </c>
      <c r="G185" s="6" t="inlineStr">
        <is>
          <t>Poultry</t>
        </is>
      </c>
      <c r="H185" s="6" t="inlineStr">
        <is>
          <t>yes</t>
        </is>
      </c>
      <c r="I185" s="6" t="inlineStr">
        <is>
          <t>Animal core</t>
        </is>
      </c>
      <c r="J185" s="6" t="inlineStr">
        <is>
          <t>A</t>
        </is>
      </c>
      <c r="K185" s="6" t="inlineStr">
        <is>
          <t>All ingredients on one side</t>
        </is>
      </c>
      <c r="L185" s="6" t="n">
        <v>21.1</v>
      </c>
      <c r="M185" s="6" t="inlineStr">
        <is>
          <t>Declared by the retailer</t>
        </is>
      </c>
      <c r="N185" s="6" t="n">
        <v>0</v>
      </c>
      <c r="O185" s="6" t="n">
        <v>21.1</v>
      </c>
      <c r="P185" s="6" t="inlineStr">
        <is>
          <t>yes</t>
        </is>
      </c>
      <c r="Q185" s="6" t="inlineStr">
        <is>
          <t>whole</t>
        </is>
      </c>
      <c r="R185" s="6" t="inlineStr">
        <is>
          <t>FG1</t>
        </is>
      </c>
      <c r="S185" s="6" t="inlineStr">
        <is>
          <t>poultry</t>
        </is>
      </c>
      <c r="T185" s="6" t="inlineStr">
        <is>
          <t>animal</t>
        </is>
      </c>
      <c r="U185" s="6" t="n"/>
      <c r="V185" s="6" t="n"/>
      <c r="W185" s="6" t="n">
        <v>1</v>
      </c>
      <c r="X185" s="6" t="n">
        <v>1</v>
      </c>
      <c r="Y185" s="6" t="inlineStr">
        <is>
          <t>declared</t>
        </is>
      </c>
      <c r="Z185" s="8" t="n">
        <v>31155</v>
      </c>
      <c r="AA185" s="9">
        <f>IF(H185="yes",Z185*X185,0)</f>
        <v/>
      </c>
      <c r="AB185" s="9">
        <f>IF(H185="yes",AA185*N(L185)/100,0)</f>
        <v/>
      </c>
      <c r="AC185" s="9">
        <f>IF(H185="yes",AA185*N(N185)/100,0)</f>
        <v/>
      </c>
      <c r="AD185" s="9">
        <f>IF(H185="yes",AA185*N(O185)/100,0)</f>
        <v/>
      </c>
      <c r="AE185" s="10">
        <f>IF(P185="yes",AA185/1000,0)</f>
        <v/>
      </c>
      <c r="AF185" s="10">
        <f>IF(R185="FG2",AE185*W185,AE185)</f>
        <v/>
      </c>
    </row>
    <row r="186">
      <c r="A186" s="6" t="inlineStr">
        <is>
          <t>HM00184</t>
        </is>
      </c>
      <c r="B186" s="7" t="inlineStr">
        <is>
          <t>5012345844220</t>
        </is>
      </c>
      <c r="C186" s="6" t="inlineStr">
        <is>
          <t>HM ROSE WINE 1.5L</t>
        </is>
      </c>
      <c r="D186" s="6" t="inlineStr">
        <is>
          <t>Rosé wine, 1.5l</t>
        </is>
      </c>
      <c r="E186" s="6" t="inlineStr">
        <is>
          <t>Harbour Market</t>
        </is>
      </c>
      <c r="F186" s="6" t="inlineStr">
        <is>
          <t>Beer, Wine &amp; Spirits</t>
        </is>
      </c>
      <c r="G186" s="6" t="inlineStr">
        <is>
          <t>Wine</t>
        </is>
      </c>
      <c r="H186" s="6" t="inlineStr">
        <is>
          <t>yes</t>
        </is>
      </c>
      <c r="I186" s="6" t="inlineStr">
        <is>
          <t>Plant-based non-core</t>
        </is>
      </c>
      <c r="J186" s="6" t="inlineStr">
        <is>
          <t>A</t>
        </is>
      </c>
      <c r="K186" s="6" t="inlineStr">
        <is>
          <t>All ingredients on one side</t>
        </is>
      </c>
      <c r="L186" s="6" t="n">
        <v>0.1</v>
      </c>
      <c r="M186" s="6" t="inlineStr">
        <is>
          <t>Altera reference base</t>
        </is>
      </c>
      <c r="N186" s="6" t="n">
        <v>0.1</v>
      </c>
      <c r="O186" s="6" t="n">
        <v>0</v>
      </c>
      <c r="P186" s="6" t="inlineStr">
        <is>
          <t>no</t>
        </is>
      </c>
      <c r="Q186" s="6" t="n"/>
      <c r="R186" s="6" t="n"/>
      <c r="S186" s="6" t="n"/>
      <c r="T186" s="6" t="n"/>
      <c r="U186" s="6" t="n"/>
      <c r="V186" s="6" t="inlineStr">
        <is>
          <t>alcohol</t>
        </is>
      </c>
      <c r="W186" s="6" t="n">
        <v>1</v>
      </c>
      <c r="X186" s="6" t="n">
        <v>1.5</v>
      </c>
      <c r="Y186" s="6" t="inlineStr">
        <is>
          <t>declared</t>
        </is>
      </c>
      <c r="Z186" s="8" t="n">
        <v>23694</v>
      </c>
      <c r="AA186" s="9">
        <f>IF(H186="yes",Z186*X186,0)</f>
        <v/>
      </c>
      <c r="AB186" s="9">
        <f>IF(H186="yes",AA186*N(L186)/100,0)</f>
        <v/>
      </c>
      <c r="AC186" s="9">
        <f>IF(H186="yes",AA186*N(N186)/100,0)</f>
        <v/>
      </c>
      <c r="AD186" s="9">
        <f>IF(H186="yes",AA186*N(O186)/100,0)</f>
        <v/>
      </c>
      <c r="AE186" s="10">
        <f>IF(P186="yes",AA186/1000,0)</f>
        <v/>
      </c>
      <c r="AF186" s="10">
        <f>IF(R186="FG2",AE186*W186,AE186)</f>
        <v/>
      </c>
    </row>
    <row r="187">
      <c r="A187" s="6" t="inlineStr">
        <is>
          <t>HM00185</t>
        </is>
      </c>
      <c r="B187" s="7" t="inlineStr">
        <is>
          <t>3012345175678</t>
        </is>
      </c>
      <c r="C187" s="6" t="inlineStr">
        <is>
          <t>CASTELNA BLACK PEPPER GROUND 40G</t>
        </is>
      </c>
      <c r="D187" s="6" t="inlineStr">
        <is>
          <t>Ground black pepper, 40g</t>
        </is>
      </c>
      <c r="E187" s="6" t="inlineStr">
        <is>
          <t>Castelna</t>
        </is>
      </c>
      <c r="F187" s="6" t="inlineStr">
        <is>
          <t>Grocery</t>
        </is>
      </c>
      <c r="G187" s="6" t="inlineStr">
        <is>
          <t>Herbs &amp; Spices</t>
        </is>
      </c>
      <c r="H187" s="6" t="inlineStr">
        <is>
          <t>yes</t>
        </is>
      </c>
      <c r="I187" s="6" t="inlineStr">
        <is>
          <t>Plant-based non-core</t>
        </is>
      </c>
      <c r="J187" s="6" t="inlineStr">
        <is>
          <t>A</t>
        </is>
      </c>
      <c r="K187" s="6" t="inlineStr">
        <is>
          <t>All ingredients on one side</t>
        </is>
      </c>
      <c r="L187" s="6" t="n">
        <v>10.4</v>
      </c>
      <c r="M187" s="6" t="inlineStr">
        <is>
          <t>Altera reference base</t>
        </is>
      </c>
      <c r="N187" s="6" t="n">
        <v>10.4</v>
      </c>
      <c r="O187" s="6" t="n">
        <v>0</v>
      </c>
      <c r="P187" s="6" t="inlineStr">
        <is>
          <t>no</t>
        </is>
      </c>
      <c r="Q187" s="6" t="n"/>
      <c r="R187" s="6" t="n"/>
      <c r="S187" s="6" t="n"/>
      <c r="T187" s="6" t="n"/>
      <c r="U187" s="6" t="n"/>
      <c r="V187" s="6" t="inlineStr">
        <is>
          <t>herbs spices</t>
        </is>
      </c>
      <c r="W187" s="6" t="n">
        <v>1</v>
      </c>
      <c r="X187" s="6" t="n">
        <v>0.04</v>
      </c>
      <c r="Y187" s="6" t="inlineStr">
        <is>
          <t>declared</t>
        </is>
      </c>
      <c r="Z187" s="8" t="n">
        <v>2411</v>
      </c>
      <c r="AA187" s="9">
        <f>IF(H187="yes",Z187*X187,0)</f>
        <v/>
      </c>
      <c r="AB187" s="9">
        <f>IF(H187="yes",AA187*N(L187)/100,0)</f>
        <v/>
      </c>
      <c r="AC187" s="9">
        <f>IF(H187="yes",AA187*N(N187)/100,0)</f>
        <v/>
      </c>
      <c r="AD187" s="9">
        <f>IF(H187="yes",AA187*N(O187)/100,0)</f>
        <v/>
      </c>
      <c r="AE187" s="10">
        <f>IF(P187="yes",AA187/1000,0)</f>
        <v/>
      </c>
      <c r="AF187" s="10">
        <f>IF(R187="FG2",AE187*W187,AE187)</f>
        <v/>
      </c>
    </row>
    <row r="188">
      <c r="A188" s="6" t="inlineStr">
        <is>
          <t>HM00186</t>
        </is>
      </c>
      <c r="B188" s="7" t="inlineStr">
        <is>
          <t>4012345318531</t>
        </is>
      </c>
      <c r="C188" s="6" t="inlineStr">
        <is>
          <t>HM CORN FLAKES 750G</t>
        </is>
      </c>
      <c r="D188" s="6" t="inlineStr">
        <is>
          <t>Corn flakes, 750g</t>
        </is>
      </c>
      <c r="E188" s="6" t="inlineStr">
        <is>
          <t>Harbour Market</t>
        </is>
      </c>
      <c r="F188" s="6" t="inlineStr">
        <is>
          <t>Breakfast &amp; Snacks</t>
        </is>
      </c>
      <c r="G188" s="6" t="inlineStr">
        <is>
          <t>Cereals</t>
        </is>
      </c>
      <c r="H188" s="6" t="inlineStr">
        <is>
          <t>yes</t>
        </is>
      </c>
      <c r="I188" s="6" t="inlineStr">
        <is>
          <t>Plant-based non-core</t>
        </is>
      </c>
      <c r="J188" s="6" t="inlineStr">
        <is>
          <t>A</t>
        </is>
      </c>
      <c r="K188" s="6" t="inlineStr">
        <is>
          <t>All ingredients on one side</t>
        </is>
      </c>
      <c r="L188" s="6" t="n">
        <v>6.9</v>
      </c>
      <c r="M188" s="6" t="inlineStr">
        <is>
          <t>Altera reference base</t>
        </is>
      </c>
      <c r="N188" s="6" t="n">
        <v>6.9</v>
      </c>
      <c r="O188" s="6" t="n">
        <v>0</v>
      </c>
      <c r="P188" s="6" t="inlineStr">
        <is>
          <t>yes</t>
        </is>
      </c>
      <c r="Q188" s="6" t="inlineStr">
        <is>
          <t>whole</t>
        </is>
      </c>
      <c r="R188" s="6" t="inlineStr">
        <is>
          <t>FG5</t>
        </is>
      </c>
      <c r="S188" s="6" t="inlineStr">
        <is>
          <t>refined grain</t>
        </is>
      </c>
      <c r="T188" s="6" t="inlineStr">
        <is>
          <t>plant</t>
        </is>
      </c>
      <c r="U188" s="6" t="n"/>
      <c r="V188" s="6" t="n"/>
      <c r="W188" s="6" t="n">
        <v>1</v>
      </c>
      <c r="X188" s="6" t="n">
        <v>0.75</v>
      </c>
      <c r="Y188" s="6" t="inlineStr">
        <is>
          <t>declared</t>
        </is>
      </c>
      <c r="Z188" s="8" t="n">
        <v>6379</v>
      </c>
      <c r="AA188" s="9">
        <f>IF(H188="yes",Z188*X188,0)</f>
        <v/>
      </c>
      <c r="AB188" s="9">
        <f>IF(H188="yes",AA188*N(L188)/100,0)</f>
        <v/>
      </c>
      <c r="AC188" s="9">
        <f>IF(H188="yes",AA188*N(N188)/100,0)</f>
        <v/>
      </c>
      <c r="AD188" s="9">
        <f>IF(H188="yes",AA188*N(O188)/100,0)</f>
        <v/>
      </c>
      <c r="AE188" s="10">
        <f>IF(P188="yes",AA188/1000,0)</f>
        <v/>
      </c>
      <c r="AF188" s="10">
        <f>IF(R188="FG2",AE188*W188,AE188)</f>
        <v/>
      </c>
    </row>
    <row r="189">
      <c r="A189" s="6" t="inlineStr">
        <is>
          <t>HM00187</t>
        </is>
      </c>
      <c r="B189" s="7" t="inlineStr">
        <is>
          <t>4012345024937</t>
        </is>
      </c>
      <c r="C189" s="6" t="inlineStr">
        <is>
          <t>MARLOWE MILK CHOC BAR 100G</t>
        </is>
      </c>
      <c r="D189" s="6" t="inlineStr">
        <is>
          <t>Milk chocolate bar, 100g</t>
        </is>
      </c>
      <c r="E189" s="6" t="inlineStr">
        <is>
          <t>Marlowe</t>
        </is>
      </c>
      <c r="F189" s="6" t="inlineStr">
        <is>
          <t>Breakfast &amp; Snacks</t>
        </is>
      </c>
      <c r="G189" s="6" t="inlineStr">
        <is>
          <t>Chocolate</t>
        </is>
      </c>
      <c r="H189" s="6" t="inlineStr">
        <is>
          <t>yes</t>
        </is>
      </c>
      <c r="I189" s="6" t="inlineStr">
        <is>
          <t>Animal &amp; plant composite</t>
        </is>
      </c>
      <c r="J189" s="6" t="inlineStr">
        <is>
          <t>A</t>
        </is>
      </c>
      <c r="K189" s="6" t="inlineStr">
        <is>
          <t>Ingredient list</t>
        </is>
      </c>
      <c r="L189" s="6" t="n">
        <v>7.5</v>
      </c>
      <c r="M189" s="6" t="inlineStr">
        <is>
          <t>Declared by the retailer</t>
        </is>
      </c>
      <c r="N189" s="6" t="n">
        <v>3.45</v>
      </c>
      <c r="O189" s="6" t="n">
        <v>4.05</v>
      </c>
      <c r="P189" s="6" t="inlineStr">
        <is>
          <t>yes</t>
        </is>
      </c>
      <c r="Q189" s="6" t="inlineStr">
        <is>
          <t>whole</t>
        </is>
      </c>
      <c r="R189" s="6" t="inlineStr">
        <is>
          <t>FG7</t>
        </is>
      </c>
      <c r="S189" s="6" t="n"/>
      <c r="T189" s="6" t="inlineStr">
        <is>
          <t>plant</t>
        </is>
      </c>
      <c r="U189" s="6" t="n"/>
      <c r="V189" s="6" t="n"/>
      <c r="W189" s="6" t="n">
        <v>1</v>
      </c>
      <c r="X189" s="6" t="n">
        <v>0.1</v>
      </c>
      <c r="Y189" s="6" t="inlineStr">
        <is>
          <t>declared</t>
        </is>
      </c>
      <c r="Z189" s="8" t="n">
        <v>39700</v>
      </c>
      <c r="AA189" s="9">
        <f>IF(H189="yes",Z189*X189,0)</f>
        <v/>
      </c>
      <c r="AB189" s="9">
        <f>IF(H189="yes",AA189*N(L189)/100,0)</f>
        <v/>
      </c>
      <c r="AC189" s="9">
        <f>IF(H189="yes",AA189*N(N189)/100,0)</f>
        <v/>
      </c>
      <c r="AD189" s="9">
        <f>IF(H189="yes",AA189*N(O189)/100,0)</f>
        <v/>
      </c>
      <c r="AE189" s="10">
        <f>IF(P189="yes",AA189/1000,0)</f>
        <v/>
      </c>
      <c r="AF189" s="10">
        <f>IF(R189="FG2",AE189*W189,AE189)</f>
        <v/>
      </c>
    </row>
    <row r="190">
      <c r="A190" s="6" t="inlineStr">
        <is>
          <t>HM00188</t>
        </is>
      </c>
      <c r="B190" s="7" t="inlineStr">
        <is>
          <t>8712345919627</t>
        </is>
      </c>
      <c r="C190" s="6" t="inlineStr">
        <is>
          <t>HM SPAGHETTI 500G</t>
        </is>
      </c>
      <c r="D190" s="6" t="inlineStr">
        <is>
          <t>Spaghetti, 500g</t>
        </is>
      </c>
      <c r="E190" s="6" t="inlineStr">
        <is>
          <t>Harbour Market</t>
        </is>
      </c>
      <c r="F190" s="6" t="inlineStr">
        <is>
          <t>Grocery</t>
        </is>
      </c>
      <c r="G190" s="6" t="inlineStr">
        <is>
          <t>Pasta</t>
        </is>
      </c>
      <c r="H190" s="6" t="inlineStr">
        <is>
          <t>yes</t>
        </is>
      </c>
      <c r="I190" s="6" t="inlineStr">
        <is>
          <t>Plant-based non-core</t>
        </is>
      </c>
      <c r="J190" s="6" t="inlineStr">
        <is>
          <t>A</t>
        </is>
      </c>
      <c r="K190" s="6" t="inlineStr">
        <is>
          <t>All ingredients on one side</t>
        </is>
      </c>
      <c r="L190" s="6" t="n">
        <v>12.4</v>
      </c>
      <c r="M190" s="6" t="inlineStr">
        <is>
          <t>Declared by the retailer</t>
        </is>
      </c>
      <c r="N190" s="6" t="n">
        <v>12.4</v>
      </c>
      <c r="O190" s="6" t="n">
        <v>0</v>
      </c>
      <c r="P190" s="6" t="inlineStr">
        <is>
          <t>yes</t>
        </is>
      </c>
      <c r="Q190" s="6" t="inlineStr">
        <is>
          <t>whole</t>
        </is>
      </c>
      <c r="R190" s="6" t="inlineStr">
        <is>
          <t>FG5</t>
        </is>
      </c>
      <c r="S190" s="6" t="inlineStr">
        <is>
          <t>refined grain</t>
        </is>
      </c>
      <c r="T190" s="6" t="inlineStr">
        <is>
          <t>plant</t>
        </is>
      </c>
      <c r="U190" s="6" t="n"/>
      <c r="V190" s="6" t="n"/>
      <c r="W190" s="6" t="n">
        <v>1</v>
      </c>
      <c r="X190" s="6" t="n">
        <v>0.5</v>
      </c>
      <c r="Y190" s="6" t="inlineStr">
        <is>
          <t>declared</t>
        </is>
      </c>
      <c r="Z190" s="8" t="n">
        <v>15555</v>
      </c>
      <c r="AA190" s="9">
        <f>IF(H190="yes",Z190*X190,0)</f>
        <v/>
      </c>
      <c r="AB190" s="9">
        <f>IF(H190="yes",AA190*N(L190)/100,0)</f>
        <v/>
      </c>
      <c r="AC190" s="9">
        <f>IF(H190="yes",AA190*N(N190)/100,0)</f>
        <v/>
      </c>
      <c r="AD190" s="9">
        <f>IF(H190="yes",AA190*N(O190)/100,0)</f>
        <v/>
      </c>
      <c r="AE190" s="10">
        <f>IF(P190="yes",AA190/1000,0)</f>
        <v/>
      </c>
      <c r="AF190" s="10">
        <f>IF(R190="FG2",AE190*W190,AE190)</f>
        <v/>
      </c>
    </row>
    <row r="191">
      <c r="A191" s="6" t="inlineStr">
        <is>
          <t>HM00189</t>
        </is>
      </c>
      <c r="B191" s="7" t="inlineStr">
        <is>
          <t>4012345184044</t>
        </is>
      </c>
      <c r="C191" s="6" t="inlineStr">
        <is>
          <t>HM FUSILLI 500G</t>
        </is>
      </c>
      <c r="D191" s="6" t="inlineStr">
        <is>
          <t>Fusilli, 500g</t>
        </is>
      </c>
      <c r="E191" s="6" t="inlineStr">
        <is>
          <t>Harbour Market</t>
        </is>
      </c>
      <c r="F191" s="6" t="inlineStr">
        <is>
          <t>Grocery</t>
        </is>
      </c>
      <c r="G191" s="6" t="inlineStr">
        <is>
          <t>Pasta</t>
        </is>
      </c>
      <c r="H191" s="6" t="inlineStr">
        <is>
          <t>no</t>
        </is>
      </c>
      <c r="I191" s="6" t="n"/>
      <c r="J191" s="6" t="n"/>
      <c r="K191" s="6" t="n"/>
      <c r="L191" s="6" t="n"/>
      <c r="M191" s="6" t="n"/>
      <c r="N191" s="6" t="n"/>
      <c r="O191" s="6" t="n"/>
      <c r="P191" s="6" t="inlineStr">
        <is>
          <t>no</t>
        </is>
      </c>
      <c r="Q191" s="6" t="n"/>
      <c r="R191" s="6" t="n"/>
      <c r="S191" s="6" t="n"/>
      <c r="T191" s="6" t="n"/>
      <c r="U191" s="6" t="n"/>
      <c r="V191" s="6" t="n"/>
      <c r="W191" s="6" t="n">
        <v>1</v>
      </c>
      <c r="X191" s="6" t="n">
        <v>0.5</v>
      </c>
      <c r="Y191" s="6" t="inlineStr">
        <is>
          <t>declared</t>
        </is>
      </c>
      <c r="Z191" s="8" t="n">
        <v>0</v>
      </c>
      <c r="AA191" s="9">
        <f>IF(H191="yes",Z191*X191,0)</f>
        <v/>
      </c>
      <c r="AB191" s="9">
        <f>IF(H191="yes",AA191*N(L191)/100,0)</f>
        <v/>
      </c>
      <c r="AC191" s="9">
        <f>IF(H191="yes",AA191*N(N191)/100,0)</f>
        <v/>
      </c>
      <c r="AD191" s="9">
        <f>IF(H191="yes",AA191*N(O191)/100,0)</f>
        <v/>
      </c>
      <c r="AE191" s="10">
        <f>IF(P191="yes",AA191/1000,0)</f>
        <v/>
      </c>
      <c r="AF191" s="10">
        <f>IF(R191="FG2",AE191*W191,AE191)</f>
        <v/>
      </c>
    </row>
    <row r="192">
      <c r="A192" s="6" t="inlineStr">
        <is>
          <t>HM00190</t>
        </is>
      </c>
      <c r="B192" s="7" t="inlineStr">
        <is>
          <t>2011149331090</t>
        </is>
      </c>
      <c r="C192" s="6" t="inlineStr">
        <is>
          <t>HM APPLES GALA KG</t>
        </is>
      </c>
      <c r="D192" s="6" t="inlineStr">
        <is>
          <t>Gala apples</t>
        </is>
      </c>
      <c r="E192" s="6" t="inlineStr">
        <is>
          <t>Harbour Market</t>
        </is>
      </c>
      <c r="F192" s="6" t="inlineStr">
        <is>
          <t>Fruit &amp; Vegetables</t>
        </is>
      </c>
      <c r="G192" s="6" t="inlineStr">
        <is>
          <t>Fruit</t>
        </is>
      </c>
      <c r="H192" s="6" t="inlineStr">
        <is>
          <t>yes</t>
        </is>
      </c>
      <c r="I192" s="6" t="inlineStr">
        <is>
          <t>Plant-based non-core</t>
        </is>
      </c>
      <c r="J192" s="6" t="inlineStr">
        <is>
          <t>B</t>
        </is>
      </c>
      <c r="K192" s="6" t="inlineStr">
        <is>
          <t>Follows the class</t>
        </is>
      </c>
      <c r="L192" s="6" t="n">
        <v>0.29</v>
      </c>
      <c r="M192" s="6" t="inlineStr">
        <is>
          <t>Declared by the retailer</t>
        </is>
      </c>
      <c r="N192" s="6" t="n">
        <v>0.29</v>
      </c>
      <c r="O192" s="6" t="n">
        <v>0</v>
      </c>
      <c r="P192" s="6" t="inlineStr">
        <is>
          <t>yes</t>
        </is>
      </c>
      <c r="Q192" s="6" t="inlineStr">
        <is>
          <t>whole</t>
        </is>
      </c>
      <c r="R192" s="6" t="inlineStr">
        <is>
          <t>FG4</t>
        </is>
      </c>
      <c r="S192" s="6" t="n"/>
      <c r="T192" s="6" t="inlineStr">
        <is>
          <t>plant</t>
        </is>
      </c>
      <c r="U192" s="6" t="n"/>
      <c r="V192" s="6" t="n"/>
      <c r="W192" s="6" t="n">
        <v>1</v>
      </c>
      <c r="X192" s="6" t="n">
        <v>1</v>
      </c>
      <c r="Y192" s="6" t="inlineStr">
        <is>
          <t>variable</t>
        </is>
      </c>
      <c r="Z192" s="8" t="n">
        <v>308991</v>
      </c>
      <c r="AA192" s="9">
        <f>IF(H192="yes",Z192*X192,0)</f>
        <v/>
      </c>
      <c r="AB192" s="9">
        <f>IF(H192="yes",AA192*N(L192)/100,0)</f>
        <v/>
      </c>
      <c r="AC192" s="9">
        <f>IF(H192="yes",AA192*N(N192)/100,0)</f>
        <v/>
      </c>
      <c r="AD192" s="9">
        <f>IF(H192="yes",AA192*N(O192)/100,0)</f>
        <v/>
      </c>
      <c r="AE192" s="10">
        <f>IF(P192="yes",AA192/1000,0)</f>
        <v/>
      </c>
      <c r="AF192" s="10">
        <f>IF(R192="FG2",AE192*W192,AE192)</f>
        <v/>
      </c>
    </row>
    <row r="193">
      <c r="A193" s="6" t="inlineStr">
        <is>
          <t>HM00191</t>
        </is>
      </c>
      <c r="B193" s="7" t="inlineStr">
        <is>
          <t>4012345503616</t>
        </is>
      </c>
      <c r="C193" s="6" t="inlineStr">
        <is>
          <t>MILK CHOC DIGESTIVES 300G MARLOWE</t>
        </is>
      </c>
      <c r="D193" s="6" t="inlineStr">
        <is>
          <t>Milk chocolate digestives, 300g</t>
        </is>
      </c>
      <c r="E193" s="6" t="inlineStr">
        <is>
          <t>Marlowe</t>
        </is>
      </c>
      <c r="F193" s="6" t="inlineStr">
        <is>
          <t>Breakfast &amp; Snacks</t>
        </is>
      </c>
      <c r="G193" s="6" t="inlineStr">
        <is>
          <t>Biscuits</t>
        </is>
      </c>
      <c r="H193" s="6" t="inlineStr">
        <is>
          <t>yes</t>
        </is>
      </c>
      <c r="I193" s="6" t="inlineStr">
        <is>
          <t>Animal &amp; plant composite</t>
        </is>
      </c>
      <c r="J193" s="6" t="inlineStr">
        <is>
          <t>B</t>
        </is>
      </c>
      <c r="K193" s="6" t="inlineStr">
        <is>
          <t>50/50 convention</t>
        </is>
      </c>
      <c r="L193" s="6" t="n">
        <v>6.5</v>
      </c>
      <c r="M193" s="6" t="inlineStr">
        <is>
          <t>Declared by the retailer</t>
        </is>
      </c>
      <c r="N193" s="6" t="n">
        <v>3.25</v>
      </c>
      <c r="O193" s="6" t="n">
        <v>3.25</v>
      </c>
      <c r="P193" s="6" t="inlineStr">
        <is>
          <t>yes</t>
        </is>
      </c>
      <c r="Q193" s="6" t="inlineStr">
        <is>
          <t>whole</t>
        </is>
      </c>
      <c r="R193" s="6" t="inlineStr">
        <is>
          <t>FG7</t>
        </is>
      </c>
      <c r="S193" s="6" t="n"/>
      <c r="T193" s="6" t="inlineStr">
        <is>
          <t>plant</t>
        </is>
      </c>
      <c r="U193" s="6" t="n"/>
      <c r="V193" s="6" t="n"/>
      <c r="W193" s="6" t="n">
        <v>1</v>
      </c>
      <c r="X193" s="6" t="n">
        <v>0.3</v>
      </c>
      <c r="Y193" s="6" t="inlineStr">
        <is>
          <t>declared</t>
        </is>
      </c>
      <c r="Z193" s="8" t="n">
        <v>69043</v>
      </c>
      <c r="AA193" s="9">
        <f>IF(H193="yes",Z193*X193,0)</f>
        <v/>
      </c>
      <c r="AB193" s="9">
        <f>IF(H193="yes",AA193*N(L193)/100,0)</f>
        <v/>
      </c>
      <c r="AC193" s="9">
        <f>IF(H193="yes",AA193*N(N193)/100,0)</f>
        <v/>
      </c>
      <c r="AD193" s="9">
        <f>IF(H193="yes",AA193*N(O193)/100,0)</f>
        <v/>
      </c>
      <c r="AE193" s="10">
        <f>IF(P193="yes",AA193/1000,0)</f>
        <v/>
      </c>
      <c r="AF193" s="10">
        <f>IF(R193="FG2",AE193*W193,AE193)</f>
        <v/>
      </c>
    </row>
    <row r="194">
      <c r="A194" s="6" t="inlineStr">
        <is>
          <t>HM00192</t>
        </is>
      </c>
      <c r="B194" s="7" t="inlineStr">
        <is>
          <t>8712345783761</t>
        </is>
      </c>
      <c r="C194" s="6" t="inlineStr">
        <is>
          <t>HM MILK CHOC BAR 200G</t>
        </is>
      </c>
      <c r="D194" s="6" t="inlineStr">
        <is>
          <t>Milk chocolate bar, 200g</t>
        </is>
      </c>
      <c r="E194" s="6" t="inlineStr">
        <is>
          <t>Harbour Market</t>
        </is>
      </c>
      <c r="F194" s="6" t="inlineStr">
        <is>
          <t>Breakfast &amp; Snacks</t>
        </is>
      </c>
      <c r="G194" s="6" t="inlineStr">
        <is>
          <t>Chocolate</t>
        </is>
      </c>
      <c r="H194" s="6" t="inlineStr">
        <is>
          <t>no</t>
        </is>
      </c>
      <c r="I194" s="6" t="n"/>
      <c r="J194" s="6" t="n"/>
      <c r="K194" s="6" t="n"/>
      <c r="L194" s="6" t="n"/>
      <c r="M194" s="6" t="n"/>
      <c r="N194" s="6" t="n"/>
      <c r="O194" s="6" t="n"/>
      <c r="P194" s="6" t="inlineStr">
        <is>
          <t>no</t>
        </is>
      </c>
      <c r="Q194" s="6" t="n"/>
      <c r="R194" s="6" t="n"/>
      <c r="S194" s="6" t="n"/>
      <c r="T194" s="6" t="n"/>
      <c r="U194" s="6" t="n"/>
      <c r="V194" s="6" t="n"/>
      <c r="W194" s="6" t="n">
        <v>1</v>
      </c>
      <c r="X194" s="6" t="n">
        <v>0.2</v>
      </c>
      <c r="Y194" s="6" t="inlineStr">
        <is>
          <t>declared</t>
        </is>
      </c>
      <c r="Z194" s="8" t="n">
        <v>0</v>
      </c>
      <c r="AA194" s="9">
        <f>IF(H194="yes",Z194*X194,0)</f>
        <v/>
      </c>
      <c r="AB194" s="9">
        <f>IF(H194="yes",AA194*N(L194)/100,0)</f>
        <v/>
      </c>
      <c r="AC194" s="9">
        <f>IF(H194="yes",AA194*N(N194)/100,0)</f>
        <v/>
      </c>
      <c r="AD194" s="9">
        <f>IF(H194="yes",AA194*N(O194)/100,0)</f>
        <v/>
      </c>
      <c r="AE194" s="10">
        <f>IF(P194="yes",AA194/1000,0)</f>
        <v/>
      </c>
      <c r="AF194" s="10">
        <f>IF(R194="FG2",AE194*W194,AE194)</f>
        <v/>
      </c>
    </row>
    <row r="195">
      <c r="A195" s="6" t="inlineStr">
        <is>
          <t>HM00193</t>
        </is>
      </c>
      <c r="B195" s="7" t="inlineStr">
        <is>
          <t>5012345667348</t>
        </is>
      </c>
      <c r="C195" s="6" t="inlineStr">
        <is>
          <t>HM BRIOCHE ROLLS 8PK 280G</t>
        </is>
      </c>
      <c r="D195" s="6" t="inlineStr">
        <is>
          <t>Brioche rolls, 8pk 280g</t>
        </is>
      </c>
      <c r="E195" s="6" t="inlineStr">
        <is>
          <t>Harbour Market</t>
        </is>
      </c>
      <c r="F195" s="6" t="inlineStr">
        <is>
          <t>Bakery</t>
        </is>
      </c>
      <c r="G195" s="6" t="inlineStr">
        <is>
          <t>Pastries</t>
        </is>
      </c>
      <c r="H195" s="6" t="inlineStr">
        <is>
          <t>yes</t>
        </is>
      </c>
      <c r="I195" s="6" t="inlineStr">
        <is>
          <t>Animal &amp; plant composite</t>
        </is>
      </c>
      <c r="J195" s="6" t="inlineStr">
        <is>
          <t>A</t>
        </is>
      </c>
      <c r="K195" s="6" t="inlineStr">
        <is>
          <t>NEVO food table (ratio only)</t>
        </is>
      </c>
      <c r="L195" s="6" t="n">
        <v>7.6</v>
      </c>
      <c r="M195" s="6" t="inlineStr">
        <is>
          <t>Open Food Facts, by EAN</t>
        </is>
      </c>
      <c r="N195" s="6" t="n">
        <v>4.18</v>
      </c>
      <c r="O195" s="6" t="n">
        <v>3.42</v>
      </c>
      <c r="P195" s="6" t="inlineStr">
        <is>
          <t>yes</t>
        </is>
      </c>
      <c r="Q195" s="6" t="inlineStr">
        <is>
          <t>whole</t>
        </is>
      </c>
      <c r="R195" s="6" t="inlineStr">
        <is>
          <t>FG7</t>
        </is>
      </c>
      <c r="S195" s="6" t="n"/>
      <c r="T195" s="6" t="inlineStr">
        <is>
          <t>plant</t>
        </is>
      </c>
      <c r="U195" s="6" t="n"/>
      <c r="V195" s="6" t="n"/>
      <c r="W195" s="6" t="n">
        <v>1</v>
      </c>
      <c r="X195" s="6" t="n">
        <v>0.28</v>
      </c>
      <c r="Y195" s="6" t="inlineStr">
        <is>
          <t>declared</t>
        </is>
      </c>
      <c r="Z195" s="8" t="n">
        <v>20942</v>
      </c>
      <c r="AA195" s="9">
        <f>IF(H195="yes",Z195*X195,0)</f>
        <v/>
      </c>
      <c r="AB195" s="9">
        <f>IF(H195="yes",AA195*N(L195)/100,0)</f>
        <v/>
      </c>
      <c r="AC195" s="9">
        <f>IF(H195="yes",AA195*N(N195)/100,0)</f>
        <v/>
      </c>
      <c r="AD195" s="9">
        <f>IF(H195="yes",AA195*N(O195)/100,0)</f>
        <v/>
      </c>
      <c r="AE195" s="10">
        <f>IF(P195="yes",AA195/1000,0)</f>
        <v/>
      </c>
      <c r="AF195" s="10">
        <f>IF(R195="FG2",AE195*W195,AE195)</f>
        <v/>
      </c>
    </row>
    <row r="196">
      <c r="A196" s="6" t="inlineStr">
        <is>
          <t>HM00194</t>
        </is>
      </c>
      <c r="B196" s="7" t="inlineStr">
        <is>
          <t>5012345792668</t>
        </is>
      </c>
      <c r="C196" s="6" t="inlineStr">
        <is>
          <t>HM PIZZA HAM MUSHROOM 400G</t>
        </is>
      </c>
      <c r="D196" s="6" t="inlineStr">
        <is>
          <t>Ham &amp; mushroom pizza, 400g</t>
        </is>
      </c>
      <c r="E196" s="6" t="inlineStr">
        <is>
          <t>Harbour Market</t>
        </is>
      </c>
      <c r="F196" s="6" t="inlineStr">
        <is>
          <t>Frozen</t>
        </is>
      </c>
      <c r="G196" s="6" t="inlineStr">
        <is>
          <t>Pizza</t>
        </is>
      </c>
      <c r="H196" s="6" t="inlineStr">
        <is>
          <t>yes</t>
        </is>
      </c>
      <c r="I196" s="6" t="inlineStr">
        <is>
          <t>Animal &amp; plant composite</t>
        </is>
      </c>
      <c r="J196" s="6" t="inlineStr">
        <is>
          <t>B</t>
        </is>
      </c>
      <c r="K196" s="6" t="inlineStr">
        <is>
          <t>50/50 convention</t>
        </is>
      </c>
      <c r="L196" s="6" t="n">
        <v>10</v>
      </c>
      <c r="M196" s="6" t="inlineStr">
        <is>
          <t>Median of the family</t>
        </is>
      </c>
      <c r="N196" s="6" t="n">
        <v>5</v>
      </c>
      <c r="O196" s="6" t="n">
        <v>5</v>
      </c>
      <c r="P196" s="6" t="inlineStr">
        <is>
          <t>yes</t>
        </is>
      </c>
      <c r="Q196" s="6" t="inlineStr">
        <is>
          <t>composite</t>
        </is>
      </c>
      <c r="R196" s="6" t="n"/>
      <c r="S196" s="6" t="n"/>
      <c r="T196" s="6" t="n"/>
      <c r="U196" s="6" t="inlineStr">
        <is>
          <t>meat-based</t>
        </is>
      </c>
      <c r="V196" s="6" t="n"/>
      <c r="W196" s="6" t="n">
        <v>1</v>
      </c>
      <c r="X196" s="6" t="n">
        <v>0.4</v>
      </c>
      <c r="Y196" s="6" t="inlineStr">
        <is>
          <t>declared</t>
        </is>
      </c>
      <c r="Z196" s="8" t="n">
        <v>47612</v>
      </c>
      <c r="AA196" s="9">
        <f>IF(H196="yes",Z196*X196,0)</f>
        <v/>
      </c>
      <c r="AB196" s="9">
        <f>IF(H196="yes",AA196*N(L196)/100,0)</f>
        <v/>
      </c>
      <c r="AC196" s="9">
        <f>IF(H196="yes",AA196*N(N196)/100,0)</f>
        <v/>
      </c>
      <c r="AD196" s="9">
        <f>IF(H196="yes",AA196*N(O196)/100,0)</f>
        <v/>
      </c>
      <c r="AE196" s="10">
        <f>IF(P196="yes",AA196/1000,0)</f>
        <v/>
      </c>
      <c r="AF196" s="10">
        <f>IF(R196="FG2",AE196*W196,AE196)</f>
        <v/>
      </c>
    </row>
    <row r="197">
      <c r="A197" s="6" t="inlineStr">
        <is>
          <t>HM00195</t>
        </is>
      </c>
      <c r="B197" s="7" t="inlineStr">
        <is>
          <t>4012345646757</t>
        </is>
      </c>
      <c r="C197" s="6" t="inlineStr">
        <is>
          <t>COTTAGE CHEESE 250G ALDERWICK</t>
        </is>
      </c>
      <c r="D197" s="6" t="inlineStr">
        <is>
          <t>Cottage cheese, 250g</t>
        </is>
      </c>
      <c r="E197" s="6" t="inlineStr">
        <is>
          <t>Alderwick</t>
        </is>
      </c>
      <c r="F197" s="6" t="inlineStr">
        <is>
          <t>Cheese</t>
        </is>
      </c>
      <c r="G197" s="6" t="inlineStr">
        <is>
          <t>Fresh Cheese</t>
        </is>
      </c>
      <c r="H197" s="6" t="inlineStr">
        <is>
          <t>yes</t>
        </is>
      </c>
      <c r="I197" s="6" t="inlineStr">
        <is>
          <t>Animal core</t>
        </is>
      </c>
      <c r="J197" s="6" t="inlineStr">
        <is>
          <t>A</t>
        </is>
      </c>
      <c r="K197" s="6" t="inlineStr">
        <is>
          <t>All ingredients on one side</t>
        </is>
      </c>
      <c r="L197" s="6" t="n">
        <v>10.8</v>
      </c>
      <c r="M197" s="6" t="inlineStr">
        <is>
          <t>Declared by the retailer</t>
        </is>
      </c>
      <c r="N197" s="6" t="n">
        <v>0</v>
      </c>
      <c r="O197" s="6" t="n">
        <v>10.8</v>
      </c>
      <c r="P197" s="6" t="inlineStr">
        <is>
          <t>yes</t>
        </is>
      </c>
      <c r="Q197" s="6" t="inlineStr">
        <is>
          <t>whole</t>
        </is>
      </c>
      <c r="R197" s="6" t="inlineStr">
        <is>
          <t>FG2</t>
        </is>
      </c>
      <c r="S197" s="6" t="inlineStr">
        <is>
          <t>dairy</t>
        </is>
      </c>
      <c r="T197" s="6" t="inlineStr">
        <is>
          <t>animal</t>
        </is>
      </c>
      <c r="U197" s="6" t="n"/>
      <c r="V197" s="6" t="n"/>
      <c r="W197" s="6" t="n">
        <v>1</v>
      </c>
      <c r="X197" s="6" t="n">
        <v>0.25</v>
      </c>
      <c r="Y197" s="6" t="inlineStr">
        <is>
          <t>declared</t>
        </is>
      </c>
      <c r="Z197" s="8" t="n">
        <v>12774</v>
      </c>
      <c r="AA197" s="9">
        <f>IF(H197="yes",Z197*X197,0)</f>
        <v/>
      </c>
      <c r="AB197" s="9">
        <f>IF(H197="yes",AA197*N(L197)/100,0)</f>
        <v/>
      </c>
      <c r="AC197" s="9">
        <f>IF(H197="yes",AA197*N(N197)/100,0)</f>
        <v/>
      </c>
      <c r="AD197" s="9">
        <f>IF(H197="yes",AA197*N(O197)/100,0)</f>
        <v/>
      </c>
      <c r="AE197" s="10">
        <f>IF(P197="yes",AA197/1000,0)</f>
        <v/>
      </c>
      <c r="AF197" s="10">
        <f>IF(R197="FG2",AE197*W197,AE197)</f>
        <v/>
      </c>
    </row>
    <row r="198">
      <c r="A198" s="6" t="inlineStr">
        <is>
          <t>HM00196</t>
        </is>
      </c>
      <c r="B198" s="7" t="inlineStr">
        <is>
          <t>8712345487935</t>
        </is>
      </c>
      <c r="C198" s="6" t="inlineStr">
        <is>
          <t>HM RASPBERRIES 1KG</t>
        </is>
      </c>
      <c r="D198" s="6" t="inlineStr">
        <is>
          <t>Raspberries, 1kg</t>
        </is>
      </c>
      <c r="E198" s="6" t="inlineStr">
        <is>
          <t>Harbour Market</t>
        </is>
      </c>
      <c r="F198" s="6" t="inlineStr">
        <is>
          <t>Fruit &amp; Vegetables</t>
        </is>
      </c>
      <c r="G198" s="6" t="inlineStr">
        <is>
          <t>Fruit</t>
        </is>
      </c>
      <c r="H198" s="6" t="inlineStr">
        <is>
          <t>yes</t>
        </is>
      </c>
      <c r="I198" s="6" t="inlineStr">
        <is>
          <t>Plant-based non-core</t>
        </is>
      </c>
      <c r="J198" s="6" t="inlineStr">
        <is>
          <t>B</t>
        </is>
      </c>
      <c r="K198" s="6" t="inlineStr">
        <is>
          <t>Follows the class</t>
        </is>
      </c>
      <c r="L198" s="6" t="n">
        <v>1.2</v>
      </c>
      <c r="M198" s="6" t="inlineStr">
        <is>
          <t>Open Food Facts, by EAN</t>
        </is>
      </c>
      <c r="N198" s="6" t="n">
        <v>1.2</v>
      </c>
      <c r="O198" s="6" t="n">
        <v>0</v>
      </c>
      <c r="P198" s="6" t="inlineStr">
        <is>
          <t>yes</t>
        </is>
      </c>
      <c r="Q198" s="6" t="inlineStr">
        <is>
          <t>whole</t>
        </is>
      </c>
      <c r="R198" s="6" t="inlineStr">
        <is>
          <t>FG4</t>
        </is>
      </c>
      <c r="S198" s="6" t="n"/>
      <c r="T198" s="6" t="inlineStr">
        <is>
          <t>plant</t>
        </is>
      </c>
      <c r="U198" s="6" t="n"/>
      <c r="V198" s="6" t="n"/>
      <c r="W198" s="6" t="n">
        <v>1</v>
      </c>
      <c r="X198" s="6" t="n">
        <v>1</v>
      </c>
      <c r="Y198" s="6" t="inlineStr">
        <is>
          <t>declared</t>
        </is>
      </c>
      <c r="Z198" s="8" t="n">
        <v>110992</v>
      </c>
      <c r="AA198" s="9">
        <f>IF(H198="yes",Z198*X198,0)</f>
        <v/>
      </c>
      <c r="AB198" s="9">
        <f>IF(H198="yes",AA198*N(L198)/100,0)</f>
        <v/>
      </c>
      <c r="AC198" s="9">
        <f>IF(H198="yes",AA198*N(N198)/100,0)</f>
        <v/>
      </c>
      <c r="AD198" s="9">
        <f>IF(H198="yes",AA198*N(O198)/100,0)</f>
        <v/>
      </c>
      <c r="AE198" s="10">
        <f>IF(P198="yes",AA198/1000,0)</f>
        <v/>
      </c>
      <c r="AF198" s="10">
        <f>IF(R198="FG2",AE198*W198,AE198)</f>
        <v/>
      </c>
    </row>
    <row r="199">
      <c r="A199" s="6" t="inlineStr">
        <is>
          <t>HM00197</t>
        </is>
      </c>
      <c r="B199" s="7" t="inlineStr">
        <is>
          <t>2748142491610</t>
        </is>
      </c>
      <c r="C199" s="6" t="inlineStr">
        <is>
          <t>HM LEEKS KG</t>
        </is>
      </c>
      <c r="D199" s="6" t="inlineStr">
        <is>
          <t>Leeks</t>
        </is>
      </c>
      <c r="E199" s="6" t="inlineStr">
        <is>
          <t>Harbour Market</t>
        </is>
      </c>
      <c r="F199" s="6" t="inlineStr">
        <is>
          <t>Fruit &amp; Vegetables</t>
        </is>
      </c>
      <c r="G199" s="6" t="inlineStr">
        <is>
          <t>Vegetables</t>
        </is>
      </c>
      <c r="H199" s="6" t="inlineStr">
        <is>
          <t>yes</t>
        </is>
      </c>
      <c r="I199" s="6" t="inlineStr">
        <is>
          <t>Plant-based non-core</t>
        </is>
      </c>
      <c r="J199" s="6" t="inlineStr">
        <is>
          <t>B</t>
        </is>
      </c>
      <c r="K199" s="6" t="inlineStr">
        <is>
          <t>Follows the class</t>
        </is>
      </c>
      <c r="L199" s="6" t="n">
        <v>1.5</v>
      </c>
      <c r="M199" s="6" t="inlineStr">
        <is>
          <t>Name match (CIQUAL / NEVO)</t>
        </is>
      </c>
      <c r="N199" s="6" t="n">
        <v>1.5</v>
      </c>
      <c r="O199" s="6" t="n">
        <v>0</v>
      </c>
      <c r="P199" s="6" t="inlineStr">
        <is>
          <t>yes</t>
        </is>
      </c>
      <c r="Q199" s="6" t="inlineStr">
        <is>
          <t>whole</t>
        </is>
      </c>
      <c r="R199" s="6" t="inlineStr">
        <is>
          <t>FG4</t>
        </is>
      </c>
      <c r="S199" s="6" t="n"/>
      <c r="T199" s="6" t="inlineStr">
        <is>
          <t>plant</t>
        </is>
      </c>
      <c r="U199" s="6" t="n"/>
      <c r="V199" s="6" t="n"/>
      <c r="W199" s="6" t="n">
        <v>1</v>
      </c>
      <c r="X199" s="6" t="n">
        <v>1</v>
      </c>
      <c r="Y199" s="6" t="inlineStr">
        <is>
          <t>variable</t>
        </is>
      </c>
      <c r="Z199" s="8" t="n">
        <v>14366</v>
      </c>
      <c r="AA199" s="9">
        <f>IF(H199="yes",Z199*X199,0)</f>
        <v/>
      </c>
      <c r="AB199" s="9">
        <f>IF(H199="yes",AA199*N(L199)/100,0)</f>
        <v/>
      </c>
      <c r="AC199" s="9">
        <f>IF(H199="yes",AA199*N(N199)/100,0)</f>
        <v/>
      </c>
      <c r="AD199" s="9">
        <f>IF(H199="yes",AA199*N(O199)/100,0)</f>
        <v/>
      </c>
      <c r="AE199" s="10">
        <f>IF(P199="yes",AA199/1000,0)</f>
        <v/>
      </c>
      <c r="AF199" s="10">
        <f>IF(R199="FG2",AE199*W199,AE199)</f>
        <v/>
      </c>
    </row>
    <row r="200">
      <c r="A200" s="6" t="inlineStr">
        <is>
          <t>HM00198</t>
        </is>
      </c>
      <c r="B200" s="7" t="inlineStr">
        <is>
          <t>3012345037945</t>
        </is>
      </c>
      <c r="C200" s="6" t="inlineStr">
        <is>
          <t>TARROW PIRI PIRI CHKN THIGH 500G</t>
        </is>
      </c>
      <c r="D200" s="6" t="inlineStr">
        <is>
          <t>Piri-piri marinated chicken thighs, 500g</t>
        </is>
      </c>
      <c r="E200" s="6" t="inlineStr">
        <is>
          <t>Tarrow Farm</t>
        </is>
      </c>
      <c r="F200" s="6" t="inlineStr">
        <is>
          <t>Fresh Meat &amp; Poultry</t>
        </is>
      </c>
      <c r="G200" s="6" t="inlineStr">
        <is>
          <t>BBQ &amp; Marinated</t>
        </is>
      </c>
      <c r="H200" s="6" t="inlineStr">
        <is>
          <t>yes</t>
        </is>
      </c>
      <c r="I200" s="6" t="inlineStr">
        <is>
          <t>Animal core</t>
        </is>
      </c>
      <c r="J200" s="6" t="inlineStr">
        <is>
          <t>B</t>
        </is>
      </c>
      <c r="K200" s="6" t="inlineStr">
        <is>
          <t>First ingredient (step 4a)</t>
        </is>
      </c>
      <c r="L200" s="6" t="n">
        <v>15.6</v>
      </c>
      <c r="M200" s="6" t="inlineStr">
        <is>
          <t>Declared by the retailer</t>
        </is>
      </c>
      <c r="N200" s="6" t="n">
        <v>0</v>
      </c>
      <c r="O200" s="6" t="n">
        <v>15.6</v>
      </c>
      <c r="P200" s="6" t="inlineStr">
        <is>
          <t>yes</t>
        </is>
      </c>
      <c r="Q200" s="6" t="inlineStr">
        <is>
          <t>whole</t>
        </is>
      </c>
      <c r="R200" s="6" t="inlineStr">
        <is>
          <t>FG1</t>
        </is>
      </c>
      <c r="S200" s="6" t="inlineStr">
        <is>
          <t>poultry</t>
        </is>
      </c>
      <c r="T200" s="6" t="inlineStr">
        <is>
          <t>animal</t>
        </is>
      </c>
      <c r="U200" s="6" t="n"/>
      <c r="V200" s="6" t="n"/>
      <c r="W200" s="6" t="n">
        <v>1</v>
      </c>
      <c r="X200" s="6" t="n">
        <v>0.5</v>
      </c>
      <c r="Y200" s="6" t="inlineStr">
        <is>
          <t>declared</t>
        </is>
      </c>
      <c r="Z200" s="8" t="n">
        <v>8083</v>
      </c>
      <c r="AA200" s="9">
        <f>IF(H200="yes",Z200*X200,0)</f>
        <v/>
      </c>
      <c r="AB200" s="9">
        <f>IF(H200="yes",AA200*N(L200)/100,0)</f>
        <v/>
      </c>
      <c r="AC200" s="9">
        <f>IF(H200="yes",AA200*N(N200)/100,0)</f>
        <v/>
      </c>
      <c r="AD200" s="9">
        <f>IF(H200="yes",AA200*N(O200)/100,0)</f>
        <v/>
      </c>
      <c r="AE200" s="10">
        <f>IF(P200="yes",AA200/1000,0)</f>
        <v/>
      </c>
      <c r="AF200" s="10">
        <f>IF(R200="FG2",AE200*W200,AE200)</f>
        <v/>
      </c>
    </row>
    <row r="201">
      <c r="A201" s="6" t="inlineStr">
        <is>
          <t>HM00199</t>
        </is>
      </c>
      <c r="B201" s="7" t="inlineStr">
        <is>
          <t>5012345014777</t>
        </is>
      </c>
      <c r="C201" s="6" t="inlineStr">
        <is>
          <t>CHOC MILK DRINK 6X200ML FJELDA</t>
        </is>
      </c>
      <c r="D201" s="6" t="inlineStr">
        <is>
          <t>Chocolate milk drink, 6x200ml</t>
        </is>
      </c>
      <c r="E201" s="6" t="inlineStr">
        <is>
          <t>Fjelda</t>
        </is>
      </c>
      <c r="F201" s="6" t="inlineStr">
        <is>
          <t>Dairy &amp; Eggs</t>
        </is>
      </c>
      <c r="G201" s="6" t="inlineStr">
        <is>
          <t>Milk Drinks</t>
        </is>
      </c>
      <c r="H201" s="6" t="inlineStr">
        <is>
          <t>yes</t>
        </is>
      </c>
      <c r="I201" s="6" t="inlineStr">
        <is>
          <t>Animal &amp; plant composite</t>
        </is>
      </c>
      <c r="J201" s="6" t="inlineStr">
        <is>
          <t>A</t>
        </is>
      </c>
      <c r="K201" s="6" t="inlineStr">
        <is>
          <t>Ingredient list</t>
        </is>
      </c>
      <c r="L201" s="6" t="n">
        <v>3.2</v>
      </c>
      <c r="M201" s="6" t="inlineStr">
        <is>
          <t>Declared by the retailer</t>
        </is>
      </c>
      <c r="N201" s="6" t="n">
        <v>0.22</v>
      </c>
      <c r="O201" s="6" t="n">
        <v>2.98</v>
      </c>
      <c r="P201" s="6" t="inlineStr">
        <is>
          <t>yes</t>
        </is>
      </c>
      <c r="Q201" s="6" t="inlineStr">
        <is>
          <t>whole</t>
        </is>
      </c>
      <c r="R201" s="6" t="inlineStr">
        <is>
          <t>FG2</t>
        </is>
      </c>
      <c r="S201" s="6" t="inlineStr">
        <is>
          <t>dairy</t>
        </is>
      </c>
      <c r="T201" s="6" t="inlineStr">
        <is>
          <t>animal</t>
        </is>
      </c>
      <c r="U201" s="6" t="n"/>
      <c r="V201" s="6" t="n"/>
      <c r="W201" s="6" t="n">
        <v>1</v>
      </c>
      <c r="X201" s="6" t="n">
        <v>1.24</v>
      </c>
      <c r="Y201" s="6" t="inlineStr">
        <is>
          <t>declared</t>
        </is>
      </c>
      <c r="Z201" s="8" t="n">
        <v>13135</v>
      </c>
      <c r="AA201" s="9">
        <f>IF(H201="yes",Z201*X201,0)</f>
        <v/>
      </c>
      <c r="AB201" s="9">
        <f>IF(H201="yes",AA201*N(L201)/100,0)</f>
        <v/>
      </c>
      <c r="AC201" s="9">
        <f>IF(H201="yes",AA201*N(N201)/100,0)</f>
        <v/>
      </c>
      <c r="AD201" s="9">
        <f>IF(H201="yes",AA201*N(O201)/100,0)</f>
        <v/>
      </c>
      <c r="AE201" s="10">
        <f>IF(P201="yes",AA201/1000,0)</f>
        <v/>
      </c>
      <c r="AF201" s="10">
        <f>IF(R201="FG2",AE201*W201,AE201)</f>
        <v/>
      </c>
    </row>
    <row r="202">
      <c r="A202" s="6" t="inlineStr">
        <is>
          <t>HM00200</t>
        </is>
      </c>
      <c r="B202" s="7" t="inlineStr">
        <is>
          <t>5012345378435</t>
        </is>
      </c>
      <c r="C202" s="6" t="inlineStr">
        <is>
          <t>QUILLAN PIZZA MARGHERITA 335G</t>
        </is>
      </c>
      <c r="D202" s="6" t="inlineStr">
        <is>
          <t>Margherita pizza, 335g</t>
        </is>
      </c>
      <c r="E202" s="6" t="inlineStr">
        <is>
          <t>Quillan</t>
        </is>
      </c>
      <c r="F202" s="6" t="inlineStr">
        <is>
          <t>Frozen</t>
        </is>
      </c>
      <c r="G202" s="6" t="inlineStr">
        <is>
          <t>Pizza</t>
        </is>
      </c>
      <c r="H202" s="6" t="inlineStr">
        <is>
          <t>yes</t>
        </is>
      </c>
      <c r="I202" s="6" t="inlineStr">
        <is>
          <t>Animal &amp; plant composite</t>
        </is>
      </c>
      <c r="J202" s="6" t="inlineStr">
        <is>
          <t>B</t>
        </is>
      </c>
      <c r="K202" s="6" t="inlineStr">
        <is>
          <t>50/50 convention</t>
        </is>
      </c>
      <c r="L202" s="6" t="n">
        <v>10.2</v>
      </c>
      <c r="M202" s="6" t="inlineStr">
        <is>
          <t>Open Food Facts, by EAN</t>
        </is>
      </c>
      <c r="N202" s="6" t="n">
        <v>5.1</v>
      </c>
      <c r="O202" s="6" t="n">
        <v>5.1</v>
      </c>
      <c r="P202" s="6" t="inlineStr">
        <is>
          <t>yes</t>
        </is>
      </c>
      <c r="Q202" s="6" t="inlineStr">
        <is>
          <t>composite</t>
        </is>
      </c>
      <c r="R202" s="6" t="n"/>
      <c r="S202" s="6" t="n"/>
      <c r="T202" s="6" t="n"/>
      <c r="U202" s="6" t="inlineStr">
        <is>
          <t>vegetarian</t>
        </is>
      </c>
      <c r="V202" s="6" t="n"/>
      <c r="W202" s="6" t="n">
        <v>1</v>
      </c>
      <c r="X202" s="6" t="n">
        <v>0.335</v>
      </c>
      <c r="Y202" s="6" t="inlineStr">
        <is>
          <t>declared</t>
        </is>
      </c>
      <c r="Z202" s="8" t="n">
        <v>56849</v>
      </c>
      <c r="AA202" s="9">
        <f>IF(H202="yes",Z202*X202,0)</f>
        <v/>
      </c>
      <c r="AB202" s="9">
        <f>IF(H202="yes",AA202*N(L202)/100,0)</f>
        <v/>
      </c>
      <c r="AC202" s="9">
        <f>IF(H202="yes",AA202*N(N202)/100,0)</f>
        <v/>
      </c>
      <c r="AD202" s="9">
        <f>IF(H202="yes",AA202*N(O202)/100,0)</f>
        <v/>
      </c>
      <c r="AE202" s="10">
        <f>IF(P202="yes",AA202/1000,0)</f>
        <v/>
      </c>
      <c r="AF202" s="10">
        <f>IF(R202="FG2",AE202*W202,AE202)</f>
        <v/>
      </c>
    </row>
    <row r="203">
      <c r="A203" s="6" t="inlineStr">
        <is>
          <t>HM00201</t>
        </is>
      </c>
      <c r="B203" s="7" t="inlineStr">
        <is>
          <t>4012345472424</t>
        </is>
      </c>
      <c r="C203" s="6" t="inlineStr">
        <is>
          <t>HM BF DICED STEW 250G</t>
        </is>
      </c>
      <c r="D203" s="6" t="inlineStr">
        <is>
          <t>Diced beef for stewing, 250g</t>
        </is>
      </c>
      <c r="E203" s="6" t="inlineStr">
        <is>
          <t>Harbour Market</t>
        </is>
      </c>
      <c r="F203" s="6" t="inlineStr">
        <is>
          <t>Fresh Meat &amp; Poultry</t>
        </is>
      </c>
      <c r="G203" s="6" t="inlineStr">
        <is>
          <t>Beef</t>
        </is>
      </c>
      <c r="H203" s="6" t="inlineStr">
        <is>
          <t>yes</t>
        </is>
      </c>
      <c r="I203" s="6" t="inlineStr">
        <is>
          <t>Animal core</t>
        </is>
      </c>
      <c r="J203" s="6" t="inlineStr">
        <is>
          <t>B</t>
        </is>
      </c>
      <c r="K203" s="6" t="inlineStr">
        <is>
          <t>Follows the class</t>
        </is>
      </c>
      <c r="L203" s="6" t="n">
        <v>22.7</v>
      </c>
      <c r="M203" s="6" t="inlineStr">
        <is>
          <t>Altera reference base</t>
        </is>
      </c>
      <c r="N203" s="6" t="n">
        <v>0</v>
      </c>
      <c r="O203" s="6" t="n">
        <v>22.7</v>
      </c>
      <c r="P203" s="6" t="inlineStr">
        <is>
          <t>yes</t>
        </is>
      </c>
      <c r="Q203" s="6" t="inlineStr">
        <is>
          <t>whole</t>
        </is>
      </c>
      <c r="R203" s="6" t="inlineStr">
        <is>
          <t>FG1</t>
        </is>
      </c>
      <c r="S203" s="6" t="inlineStr">
        <is>
          <t>red meat</t>
        </is>
      </c>
      <c r="T203" s="6" t="inlineStr">
        <is>
          <t>animal</t>
        </is>
      </c>
      <c r="U203" s="6" t="n"/>
      <c r="V203" s="6" t="n"/>
      <c r="W203" s="6" t="n">
        <v>1</v>
      </c>
      <c r="X203" s="6" t="n">
        <v>0.25</v>
      </c>
      <c r="Y203" s="6" t="inlineStr">
        <is>
          <t>declared</t>
        </is>
      </c>
      <c r="Z203" s="8" t="n">
        <v>68710</v>
      </c>
      <c r="AA203" s="9">
        <f>IF(H203="yes",Z203*X203,0)</f>
        <v/>
      </c>
      <c r="AB203" s="9">
        <f>IF(H203="yes",AA203*N(L203)/100,0)</f>
        <v/>
      </c>
      <c r="AC203" s="9">
        <f>IF(H203="yes",AA203*N(N203)/100,0)</f>
        <v/>
      </c>
      <c r="AD203" s="9">
        <f>IF(H203="yes",AA203*N(O203)/100,0)</f>
        <v/>
      </c>
      <c r="AE203" s="10">
        <f>IF(P203="yes",AA203/1000,0)</f>
        <v/>
      </c>
      <c r="AF203" s="10">
        <f>IF(R203="FG2",AE203*W203,AE203)</f>
        <v/>
      </c>
    </row>
    <row r="204">
      <c r="A204" s="6" t="inlineStr">
        <is>
          <t>HM00202</t>
        </is>
      </c>
      <c r="B204" s="7" t="inlineStr">
        <is>
          <t>4012345826432</t>
        </is>
      </c>
      <c r="C204" s="6" t="inlineStr">
        <is>
          <t>HM BF MINCE 5% 500G</t>
        </is>
      </c>
      <c r="D204" s="6" t="inlineStr">
        <is>
          <t>Beef mince, 5% fat, 500g</t>
        </is>
      </c>
      <c r="E204" s="6" t="inlineStr">
        <is>
          <t>Harbour Market</t>
        </is>
      </c>
      <c r="F204" s="6" t="inlineStr">
        <is>
          <t>Fresh Meat &amp; Poultry</t>
        </is>
      </c>
      <c r="G204" s="6" t="inlineStr">
        <is>
          <t>Beef</t>
        </is>
      </c>
      <c r="H204" s="6" t="inlineStr">
        <is>
          <t>yes</t>
        </is>
      </c>
      <c r="I204" s="6" t="inlineStr">
        <is>
          <t>Animal core</t>
        </is>
      </c>
      <c r="J204" s="6" t="inlineStr">
        <is>
          <t>A</t>
        </is>
      </c>
      <c r="K204" s="6" t="inlineStr">
        <is>
          <t>All ingredients on one side</t>
        </is>
      </c>
      <c r="L204" s="6" t="n">
        <v>19.9</v>
      </c>
      <c r="M204" s="6" t="inlineStr">
        <is>
          <t>Altera reference base</t>
        </is>
      </c>
      <c r="N204" s="6" t="n">
        <v>0</v>
      </c>
      <c r="O204" s="6" t="n">
        <v>19.9</v>
      </c>
      <c r="P204" s="6" t="inlineStr">
        <is>
          <t>yes</t>
        </is>
      </c>
      <c r="Q204" s="6" t="inlineStr">
        <is>
          <t>whole</t>
        </is>
      </c>
      <c r="R204" s="6" t="inlineStr">
        <is>
          <t>FG1</t>
        </is>
      </c>
      <c r="S204" s="6" t="inlineStr">
        <is>
          <t>red meat</t>
        </is>
      </c>
      <c r="T204" s="6" t="inlineStr">
        <is>
          <t>animal</t>
        </is>
      </c>
      <c r="U204" s="6" t="n"/>
      <c r="V204" s="6" t="n"/>
      <c r="W204" s="6" t="n">
        <v>1</v>
      </c>
      <c r="X204" s="6" t="n">
        <v>0.5</v>
      </c>
      <c r="Y204" s="6" t="inlineStr">
        <is>
          <t>declared</t>
        </is>
      </c>
      <c r="Z204" s="8" t="n">
        <v>23622</v>
      </c>
      <c r="AA204" s="9">
        <f>IF(H204="yes",Z204*X204,0)</f>
        <v/>
      </c>
      <c r="AB204" s="9">
        <f>IF(H204="yes",AA204*N(L204)/100,0)</f>
        <v/>
      </c>
      <c r="AC204" s="9">
        <f>IF(H204="yes",AA204*N(N204)/100,0)</f>
        <v/>
      </c>
      <c r="AD204" s="9">
        <f>IF(H204="yes",AA204*N(O204)/100,0)</f>
        <v/>
      </c>
      <c r="AE204" s="10">
        <f>IF(P204="yes",AA204/1000,0)</f>
        <v/>
      </c>
      <c r="AF204" s="10">
        <f>IF(R204="FG2",AE204*W204,AE204)</f>
        <v/>
      </c>
    </row>
    <row r="205">
      <c r="A205" s="6" t="inlineStr">
        <is>
          <t>HM00203</t>
        </is>
      </c>
      <c r="B205" s="7" t="inlineStr">
        <is>
          <t>2229041278230</t>
        </is>
      </c>
      <c r="C205" s="6" t="inlineStr">
        <is>
          <t>HM CONFERENCE PEARS KG</t>
        </is>
      </c>
      <c r="D205" s="6" t="inlineStr">
        <is>
          <t>Conference pears</t>
        </is>
      </c>
      <c r="E205" s="6" t="inlineStr">
        <is>
          <t>Harbour Market</t>
        </is>
      </c>
      <c r="F205" s="6" t="inlineStr">
        <is>
          <t>Fruit &amp; Vegetables</t>
        </is>
      </c>
      <c r="G205" s="6" t="inlineStr">
        <is>
          <t>Fruit</t>
        </is>
      </c>
      <c r="H205" s="6" t="inlineStr">
        <is>
          <t>yes</t>
        </is>
      </c>
      <c r="I205" s="6" t="inlineStr">
        <is>
          <t>Plant-based non-core</t>
        </is>
      </c>
      <c r="J205" s="6" t="inlineStr">
        <is>
          <t>B</t>
        </is>
      </c>
      <c r="K205" s="6" t="inlineStr">
        <is>
          <t>Follows the class</t>
        </is>
      </c>
      <c r="L205" s="6" t="n">
        <v>0.4</v>
      </c>
      <c r="M205" s="6" t="inlineStr">
        <is>
          <t>Declared by the retailer</t>
        </is>
      </c>
      <c r="N205" s="6" t="n">
        <v>0.4</v>
      </c>
      <c r="O205" s="6" t="n">
        <v>0</v>
      </c>
      <c r="P205" s="6" t="inlineStr">
        <is>
          <t>yes</t>
        </is>
      </c>
      <c r="Q205" s="6" t="inlineStr">
        <is>
          <t>whole</t>
        </is>
      </c>
      <c r="R205" s="6" t="inlineStr">
        <is>
          <t>FG4</t>
        </is>
      </c>
      <c r="S205" s="6" t="n"/>
      <c r="T205" s="6" t="inlineStr">
        <is>
          <t>plant</t>
        </is>
      </c>
      <c r="U205" s="6" t="n"/>
      <c r="V205" s="6" t="n"/>
      <c r="W205" s="6" t="n">
        <v>1</v>
      </c>
      <c r="X205" s="6" t="n">
        <v>1</v>
      </c>
      <c r="Y205" s="6" t="inlineStr">
        <is>
          <t>variable</t>
        </is>
      </c>
      <c r="Z205" s="8" t="n">
        <v>18086</v>
      </c>
      <c r="AA205" s="9">
        <f>IF(H205="yes",Z205*X205,0)</f>
        <v/>
      </c>
      <c r="AB205" s="9">
        <f>IF(H205="yes",AA205*N(L205)/100,0)</f>
        <v/>
      </c>
      <c r="AC205" s="9">
        <f>IF(H205="yes",AA205*N(N205)/100,0)</f>
        <v/>
      </c>
      <c r="AD205" s="9">
        <f>IF(H205="yes",AA205*N(O205)/100,0)</f>
        <v/>
      </c>
      <c r="AE205" s="10">
        <f>IF(P205="yes",AA205/1000,0)</f>
        <v/>
      </c>
      <c r="AF205" s="10">
        <f>IF(R205="FG2",AE205*W205,AE205)</f>
        <v/>
      </c>
    </row>
    <row r="206">
      <c r="A206" s="6" t="inlineStr">
        <is>
          <t>HM00204</t>
        </is>
      </c>
      <c r="B206" s="7" t="inlineStr">
        <is>
          <t>2781328249020</t>
        </is>
      </c>
      <c r="C206" s="6" t="inlineStr">
        <is>
          <t>HM BANANAS KG</t>
        </is>
      </c>
      <c r="D206" s="6" t="inlineStr">
        <is>
          <t>Bananas</t>
        </is>
      </c>
      <c r="E206" s="6" t="inlineStr">
        <is>
          <t>Harbour Market</t>
        </is>
      </c>
      <c r="F206" s="6" t="inlineStr">
        <is>
          <t>Fruit &amp; Vegetables</t>
        </is>
      </c>
      <c r="G206" s="6" t="inlineStr">
        <is>
          <t>Fruit</t>
        </is>
      </c>
      <c r="H206" s="6" t="inlineStr">
        <is>
          <t>yes</t>
        </is>
      </c>
      <c r="I206" s="6" t="inlineStr">
        <is>
          <t>Plant-based non-core</t>
        </is>
      </c>
      <c r="J206" s="6" t="inlineStr">
        <is>
          <t>B</t>
        </is>
      </c>
      <c r="K206" s="6" t="inlineStr">
        <is>
          <t>Follows the class</t>
        </is>
      </c>
      <c r="L206" s="6" t="n">
        <v>1.1</v>
      </c>
      <c r="M206" s="6" t="inlineStr">
        <is>
          <t>Declared by the retailer</t>
        </is>
      </c>
      <c r="N206" s="6" t="n">
        <v>1.1</v>
      </c>
      <c r="O206" s="6" t="n">
        <v>0</v>
      </c>
      <c r="P206" s="6" t="inlineStr">
        <is>
          <t>yes</t>
        </is>
      </c>
      <c r="Q206" s="6" t="inlineStr">
        <is>
          <t>whole</t>
        </is>
      </c>
      <c r="R206" s="6" t="inlineStr">
        <is>
          <t>FG4</t>
        </is>
      </c>
      <c r="S206" s="6" t="n"/>
      <c r="T206" s="6" t="inlineStr">
        <is>
          <t>plant</t>
        </is>
      </c>
      <c r="U206" s="6" t="n"/>
      <c r="V206" s="6" t="n"/>
      <c r="W206" s="6" t="n">
        <v>1</v>
      </c>
      <c r="X206" s="6" t="n">
        <v>1</v>
      </c>
      <c r="Y206" s="6" t="inlineStr">
        <is>
          <t>variable</t>
        </is>
      </c>
      <c r="Z206" s="8" t="n">
        <v>40019</v>
      </c>
      <c r="AA206" s="9">
        <f>IF(H206="yes",Z206*X206,0)</f>
        <v/>
      </c>
      <c r="AB206" s="9">
        <f>IF(H206="yes",AA206*N(L206)/100,0)</f>
        <v/>
      </c>
      <c r="AC206" s="9">
        <f>IF(H206="yes",AA206*N(N206)/100,0)</f>
        <v/>
      </c>
      <c r="AD206" s="9">
        <f>IF(H206="yes",AA206*N(O206)/100,0)</f>
        <v/>
      </c>
      <c r="AE206" s="10">
        <f>IF(P206="yes",AA206/1000,0)</f>
        <v/>
      </c>
      <c r="AF206" s="10">
        <f>IF(R206="FG2",AE206*W206,AE206)</f>
        <v/>
      </c>
    </row>
    <row r="207">
      <c r="A207" s="6" t="inlineStr">
        <is>
          <t>HM00205</t>
        </is>
      </c>
      <c r="B207" s="7" t="inlineStr">
        <is>
          <t>5012345669465</t>
        </is>
      </c>
      <c r="C207" s="6" t="inlineStr">
        <is>
          <t>HM RED GRAPES SEEDLESS 500G</t>
        </is>
      </c>
      <c r="D207" s="6" t="inlineStr">
        <is>
          <t>Seedless red grapes, 500g</t>
        </is>
      </c>
      <c r="E207" s="6" t="inlineStr">
        <is>
          <t>Harbour Market</t>
        </is>
      </c>
      <c r="F207" s="6" t="inlineStr">
        <is>
          <t>Fruit &amp; Vegetables</t>
        </is>
      </c>
      <c r="G207" s="6" t="inlineStr">
        <is>
          <t>Fruit</t>
        </is>
      </c>
      <c r="H207" s="6" t="inlineStr">
        <is>
          <t>yes</t>
        </is>
      </c>
      <c r="I207" s="6" t="inlineStr">
        <is>
          <t>Plant-based non-core</t>
        </is>
      </c>
      <c r="J207" s="6" t="inlineStr">
        <is>
          <t>B</t>
        </is>
      </c>
      <c r="K207" s="6" t="inlineStr">
        <is>
          <t>Follows the class</t>
        </is>
      </c>
      <c r="L207" s="6" t="n">
        <v>0.62</v>
      </c>
      <c r="M207" s="6" t="inlineStr">
        <is>
          <t>Declared by the retailer</t>
        </is>
      </c>
      <c r="N207" s="6" t="n">
        <v>0.62</v>
      </c>
      <c r="O207" s="6" t="n">
        <v>0</v>
      </c>
      <c r="P207" s="6" t="inlineStr">
        <is>
          <t>yes</t>
        </is>
      </c>
      <c r="Q207" s="6" t="inlineStr">
        <is>
          <t>whole</t>
        </is>
      </c>
      <c r="R207" s="6" t="inlineStr">
        <is>
          <t>FG4</t>
        </is>
      </c>
      <c r="S207" s="6" t="n"/>
      <c r="T207" s="6" t="inlineStr">
        <is>
          <t>plant</t>
        </is>
      </c>
      <c r="U207" s="6" t="n"/>
      <c r="V207" s="6" t="n"/>
      <c r="W207" s="6" t="n">
        <v>1</v>
      </c>
      <c r="X207" s="6" t="n">
        <v>0.5</v>
      </c>
      <c r="Y207" s="6" t="inlineStr">
        <is>
          <t>declared</t>
        </is>
      </c>
      <c r="Z207" s="8" t="n">
        <v>49247</v>
      </c>
      <c r="AA207" s="9">
        <f>IF(H207="yes",Z207*X207,0)</f>
        <v/>
      </c>
      <c r="AB207" s="9">
        <f>IF(H207="yes",AA207*N(L207)/100,0)</f>
        <v/>
      </c>
      <c r="AC207" s="9">
        <f>IF(H207="yes",AA207*N(N207)/100,0)</f>
        <v/>
      </c>
      <c r="AD207" s="9">
        <f>IF(H207="yes",AA207*N(O207)/100,0)</f>
        <v/>
      </c>
      <c r="AE207" s="10">
        <f>IF(P207="yes",AA207/1000,0)</f>
        <v/>
      </c>
      <c r="AF207" s="10">
        <f>IF(R207="FG2",AE207*W207,AE207)</f>
        <v/>
      </c>
    </row>
    <row r="208">
      <c r="A208" s="6" t="inlineStr">
        <is>
          <t>HM00206</t>
        </is>
      </c>
      <c r="B208" s="7" t="inlineStr">
        <is>
          <t>4012345385885</t>
        </is>
      </c>
      <c r="C208" s="6" t="inlineStr">
        <is>
          <t>BF SIRLOIN STK 250G TARROW</t>
        </is>
      </c>
      <c r="D208" s="6" t="inlineStr">
        <is>
          <t>Beef sirloin steak, 250g</t>
        </is>
      </c>
      <c r="E208" s="6" t="inlineStr">
        <is>
          <t>Tarrow Farm</t>
        </is>
      </c>
      <c r="F208" s="6" t="inlineStr">
        <is>
          <t>Fresh Meat &amp; Poultry</t>
        </is>
      </c>
      <c r="G208" s="6" t="inlineStr">
        <is>
          <t>Beef</t>
        </is>
      </c>
      <c r="H208" s="6" t="inlineStr">
        <is>
          <t>yes</t>
        </is>
      </c>
      <c r="I208" s="6" t="inlineStr">
        <is>
          <t>Animal core</t>
        </is>
      </c>
      <c r="J208" s="6" t="inlineStr">
        <is>
          <t>B</t>
        </is>
      </c>
      <c r="K208" s="6" t="inlineStr">
        <is>
          <t>Follows the class</t>
        </is>
      </c>
      <c r="L208" s="6" t="n">
        <v>22.3</v>
      </c>
      <c r="M208" s="6" t="inlineStr">
        <is>
          <t>Declared by the retailer</t>
        </is>
      </c>
      <c r="N208" s="6" t="n">
        <v>0</v>
      </c>
      <c r="O208" s="6" t="n">
        <v>22.3</v>
      </c>
      <c r="P208" s="6" t="inlineStr">
        <is>
          <t>yes</t>
        </is>
      </c>
      <c r="Q208" s="6" t="inlineStr">
        <is>
          <t>whole</t>
        </is>
      </c>
      <c r="R208" s="6" t="inlineStr">
        <is>
          <t>FG1</t>
        </is>
      </c>
      <c r="S208" s="6" t="inlineStr">
        <is>
          <t>red meat</t>
        </is>
      </c>
      <c r="T208" s="6" t="inlineStr">
        <is>
          <t>animal</t>
        </is>
      </c>
      <c r="U208" s="6" t="n"/>
      <c r="V208" s="6" t="n"/>
      <c r="W208" s="6" t="n">
        <v>1</v>
      </c>
      <c r="X208" s="6" t="n">
        <v>0.25</v>
      </c>
      <c r="Y208" s="6" t="inlineStr">
        <is>
          <t>declared</t>
        </is>
      </c>
      <c r="Z208" s="8" t="n">
        <v>27932</v>
      </c>
      <c r="AA208" s="9">
        <f>IF(H208="yes",Z208*X208,0)</f>
        <v/>
      </c>
      <c r="AB208" s="9">
        <f>IF(H208="yes",AA208*N(L208)/100,0)</f>
        <v/>
      </c>
      <c r="AC208" s="9">
        <f>IF(H208="yes",AA208*N(N208)/100,0)</f>
        <v/>
      </c>
      <c r="AD208" s="9">
        <f>IF(H208="yes",AA208*N(O208)/100,0)</f>
        <v/>
      </c>
      <c r="AE208" s="10">
        <f>IF(P208="yes",AA208/1000,0)</f>
        <v/>
      </c>
      <c r="AF208" s="10">
        <f>IF(R208="FG2",AE208*W208,AE208)</f>
        <v/>
      </c>
    </row>
    <row r="209">
      <c r="A209" s="6" t="inlineStr">
        <is>
          <t>HM00207</t>
        </is>
      </c>
      <c r="B209" s="7" t="inlineStr">
        <is>
          <t>5012345272870</t>
        </is>
      </c>
      <c r="C209" s="6" t="inlineStr">
        <is>
          <t>HM CHERRY YOG 450G</t>
        </is>
      </c>
      <c r="D209" s="6" t="inlineStr">
        <is>
          <t>Cherry yoghurt, 450g</t>
        </is>
      </c>
      <c r="E209" s="6" t="inlineStr">
        <is>
          <t>Harbour Market</t>
        </is>
      </c>
      <c r="F209" s="6" t="inlineStr">
        <is>
          <t>Dairy &amp; Eggs</t>
        </is>
      </c>
      <c r="G209" s="6" t="inlineStr">
        <is>
          <t>Yoghurt</t>
        </is>
      </c>
      <c r="H209" s="6" t="inlineStr">
        <is>
          <t>yes</t>
        </is>
      </c>
      <c r="I209" s="6" t="inlineStr">
        <is>
          <t>Animal core</t>
        </is>
      </c>
      <c r="J209" s="6" t="inlineStr">
        <is>
          <t>B</t>
        </is>
      </c>
      <c r="K209" s="6" t="inlineStr">
        <is>
          <t>First ingredient (step 4a)</t>
        </is>
      </c>
      <c r="L209" s="6" t="n">
        <v>3.6</v>
      </c>
      <c r="M209" s="6" t="inlineStr">
        <is>
          <t>Declared by the retailer</t>
        </is>
      </c>
      <c r="N209" s="6" t="n">
        <v>0</v>
      </c>
      <c r="O209" s="6" t="n">
        <v>3.6</v>
      </c>
      <c r="P209" s="6" t="inlineStr">
        <is>
          <t>yes</t>
        </is>
      </c>
      <c r="Q209" s="6" t="inlineStr">
        <is>
          <t>whole</t>
        </is>
      </c>
      <c r="R209" s="6" t="inlineStr">
        <is>
          <t>FG2</t>
        </is>
      </c>
      <c r="S209" s="6" t="inlineStr">
        <is>
          <t>dairy</t>
        </is>
      </c>
      <c r="T209" s="6" t="inlineStr">
        <is>
          <t>animal</t>
        </is>
      </c>
      <c r="U209" s="6" t="n"/>
      <c r="V209" s="6" t="n"/>
      <c r="W209" s="6" t="n">
        <v>1</v>
      </c>
      <c r="X209" s="6" t="n">
        <v>0.45</v>
      </c>
      <c r="Y209" s="6" t="inlineStr">
        <is>
          <t>declared</t>
        </is>
      </c>
      <c r="Z209" s="8" t="n">
        <v>120806</v>
      </c>
      <c r="AA209" s="9">
        <f>IF(H209="yes",Z209*X209,0)</f>
        <v/>
      </c>
      <c r="AB209" s="9">
        <f>IF(H209="yes",AA209*N(L209)/100,0)</f>
        <v/>
      </c>
      <c r="AC209" s="9">
        <f>IF(H209="yes",AA209*N(N209)/100,0)</f>
        <v/>
      </c>
      <c r="AD209" s="9">
        <f>IF(H209="yes",AA209*N(O209)/100,0)</f>
        <v/>
      </c>
      <c r="AE209" s="10">
        <f>IF(P209="yes",AA209/1000,0)</f>
        <v/>
      </c>
      <c r="AF209" s="10">
        <f>IF(R209="FG2",AE209*W209,AE209)</f>
        <v/>
      </c>
    </row>
    <row r="210">
      <c r="A210" s="6" t="inlineStr">
        <is>
          <t>HM00208</t>
        </is>
      </c>
      <c r="B210" s="7" t="inlineStr">
        <is>
          <t>4012345389791</t>
        </is>
      </c>
      <c r="C210" s="6" t="inlineStr">
        <is>
          <t>BRAMBLECOTE WHITE SLICED THICK 6PK 360G</t>
        </is>
      </c>
      <c r="D210" s="6" t="inlineStr">
        <is>
          <t>Thick sliced white bread, 6pk 360g</t>
        </is>
      </c>
      <c r="E210" s="6" t="inlineStr">
        <is>
          <t>Bramblecote</t>
        </is>
      </c>
      <c r="F210" s="6" t="inlineStr">
        <is>
          <t>Bakery</t>
        </is>
      </c>
      <c r="G210" s="6" t="inlineStr">
        <is>
          <t>Bread</t>
        </is>
      </c>
      <c r="H210" s="6" t="inlineStr">
        <is>
          <t>yes</t>
        </is>
      </c>
      <c r="I210" s="6" t="inlineStr">
        <is>
          <t>Plant-based non-core</t>
        </is>
      </c>
      <c r="J210" s="6" t="inlineStr">
        <is>
          <t>A</t>
        </is>
      </c>
      <c r="K210" s="6" t="inlineStr">
        <is>
          <t>All ingredients on one side</t>
        </is>
      </c>
      <c r="L210" s="6" t="n">
        <v>8.699999999999999</v>
      </c>
      <c r="M210" s="6" t="inlineStr">
        <is>
          <t>Declared by the retailer</t>
        </is>
      </c>
      <c r="N210" s="6" t="n">
        <v>8.699999999999999</v>
      </c>
      <c r="O210" s="6" t="n">
        <v>0</v>
      </c>
      <c r="P210" s="6" t="inlineStr">
        <is>
          <t>yes</t>
        </is>
      </c>
      <c r="Q210" s="6" t="inlineStr">
        <is>
          <t>whole</t>
        </is>
      </c>
      <c r="R210" s="6" t="inlineStr">
        <is>
          <t>FG5</t>
        </is>
      </c>
      <c r="S210" s="6" t="inlineStr">
        <is>
          <t>refined grain</t>
        </is>
      </c>
      <c r="T210" s="6" t="inlineStr">
        <is>
          <t>plant</t>
        </is>
      </c>
      <c r="U210" s="6" t="n"/>
      <c r="V210" s="6" t="n"/>
      <c r="W210" s="6" t="n">
        <v>1</v>
      </c>
      <c r="X210" s="6" t="n">
        <v>0.36</v>
      </c>
      <c r="Y210" s="6" t="inlineStr">
        <is>
          <t>declared</t>
        </is>
      </c>
      <c r="Z210" s="8" t="n">
        <v>82612</v>
      </c>
      <c r="AA210" s="9">
        <f>IF(H210="yes",Z210*X210,0)</f>
        <v/>
      </c>
      <c r="AB210" s="9">
        <f>IF(H210="yes",AA210*N(L210)/100,0)</f>
        <v/>
      </c>
      <c r="AC210" s="9">
        <f>IF(H210="yes",AA210*N(N210)/100,0)</f>
        <v/>
      </c>
      <c r="AD210" s="9">
        <f>IF(H210="yes",AA210*N(O210)/100,0)</f>
        <v/>
      </c>
      <c r="AE210" s="10">
        <f>IF(P210="yes",AA210/1000,0)</f>
        <v/>
      </c>
      <c r="AF210" s="10">
        <f>IF(R210="FG2",AE210*W210,AE210)</f>
        <v/>
      </c>
    </row>
    <row r="211">
      <c r="A211" s="6" t="inlineStr">
        <is>
          <t>HM00209</t>
        </is>
      </c>
      <c r="B211" s="7" t="inlineStr">
        <is>
          <t>5012345060286</t>
        </is>
      </c>
      <c r="C211" s="6" t="inlineStr">
        <is>
          <t>HM PLANT BURGERS 226G</t>
        </is>
      </c>
      <c r="D211" s="6" t="inlineStr">
        <is>
          <t>Plant-based burgers, 226g</t>
        </is>
      </c>
      <c r="E211" s="6" t="inlineStr">
        <is>
          <t>Harbour Market</t>
        </is>
      </c>
      <c r="F211" s="6" t="inlineStr">
        <is>
          <t>Plant-Based</t>
        </is>
      </c>
      <c r="G211" s="6" t="inlineStr">
        <is>
          <t>Meat Alternatives</t>
        </is>
      </c>
      <c r="H211" s="6" t="inlineStr">
        <is>
          <t>yes</t>
        </is>
      </c>
      <c r="I211" s="6" t="inlineStr">
        <is>
          <t>Plant-based core</t>
        </is>
      </c>
      <c r="J211" s="6" t="inlineStr">
        <is>
          <t>B</t>
        </is>
      </c>
      <c r="K211" s="6" t="inlineStr">
        <is>
          <t>Follows the class</t>
        </is>
      </c>
      <c r="L211" s="6" t="n">
        <v>15.1</v>
      </c>
      <c r="M211" s="6" t="inlineStr">
        <is>
          <t>Name match (CIQUAL / NEVO)</t>
        </is>
      </c>
      <c r="N211" s="6" t="n">
        <v>15.1</v>
      </c>
      <c r="O211" s="6" t="n">
        <v>0</v>
      </c>
      <c r="P211" s="6" t="inlineStr">
        <is>
          <t>yes</t>
        </is>
      </c>
      <c r="Q211" s="6" t="inlineStr">
        <is>
          <t>whole</t>
        </is>
      </c>
      <c r="R211" s="6" t="inlineStr">
        <is>
          <t>FG1</t>
        </is>
      </c>
      <c r="S211" s="6" t="inlineStr">
        <is>
          <t>alternative products</t>
        </is>
      </c>
      <c r="T211" s="6" t="inlineStr">
        <is>
          <t>plant</t>
        </is>
      </c>
      <c r="U211" s="6" t="n"/>
      <c r="V211" s="6" t="n"/>
      <c r="W211" s="6" t="n">
        <v>1</v>
      </c>
      <c r="X211" s="6" t="n">
        <v>0.226</v>
      </c>
      <c r="Y211" s="6" t="inlineStr">
        <is>
          <t>declared</t>
        </is>
      </c>
      <c r="Z211" s="8" t="n">
        <v>49449</v>
      </c>
      <c r="AA211" s="9">
        <f>IF(H211="yes",Z211*X211,0)</f>
        <v/>
      </c>
      <c r="AB211" s="9">
        <f>IF(H211="yes",AA211*N(L211)/100,0)</f>
        <v/>
      </c>
      <c r="AC211" s="9">
        <f>IF(H211="yes",AA211*N(N211)/100,0)</f>
        <v/>
      </c>
      <c r="AD211" s="9">
        <f>IF(H211="yes",AA211*N(O211)/100,0)</f>
        <v/>
      </c>
      <c r="AE211" s="10">
        <f>IF(P211="yes",AA211/1000,0)</f>
        <v/>
      </c>
      <c r="AF211" s="10">
        <f>IF(R211="FG2",AE211*W211,AE211)</f>
        <v/>
      </c>
    </row>
    <row r="212">
      <c r="A212" s="6" t="inlineStr">
        <is>
          <t>HM00210</t>
        </is>
      </c>
      <c r="B212" s="7" t="inlineStr">
        <is>
          <t>8712345734886</t>
        </is>
      </c>
      <c r="C212" s="6" t="inlineStr">
        <is>
          <t>HM CUCUMBER 300G</t>
        </is>
      </c>
      <c r="D212" s="6" t="inlineStr">
        <is>
          <t>Cucumber, 300g</t>
        </is>
      </c>
      <c r="E212" s="6" t="inlineStr">
        <is>
          <t>Harbour Market</t>
        </is>
      </c>
      <c r="F212" s="6" t="inlineStr">
        <is>
          <t>Fruit &amp; Vegetables</t>
        </is>
      </c>
      <c r="G212" s="6" t="inlineStr">
        <is>
          <t>Vegetables</t>
        </is>
      </c>
      <c r="H212" s="6" t="inlineStr">
        <is>
          <t>yes</t>
        </is>
      </c>
      <c r="I212" s="6" t="inlineStr">
        <is>
          <t>Plant-based non-core</t>
        </is>
      </c>
      <c r="J212" s="6" t="inlineStr">
        <is>
          <t>B</t>
        </is>
      </c>
      <c r="K212" s="6" t="inlineStr">
        <is>
          <t>Follows the class</t>
        </is>
      </c>
      <c r="L212" s="6" t="n">
        <v>0.61</v>
      </c>
      <c r="M212" s="6" t="inlineStr">
        <is>
          <t>Median of the family</t>
        </is>
      </c>
      <c r="N212" s="6" t="n">
        <v>0.61</v>
      </c>
      <c r="O212" s="6" t="n">
        <v>0</v>
      </c>
      <c r="P212" s="6" t="inlineStr">
        <is>
          <t>yes</t>
        </is>
      </c>
      <c r="Q212" s="6" t="inlineStr">
        <is>
          <t>whole</t>
        </is>
      </c>
      <c r="R212" s="6" t="inlineStr">
        <is>
          <t>FG4</t>
        </is>
      </c>
      <c r="S212" s="6" t="n"/>
      <c r="T212" s="6" t="inlineStr">
        <is>
          <t>plant</t>
        </is>
      </c>
      <c r="U212" s="6" t="n"/>
      <c r="V212" s="6" t="n"/>
      <c r="W212" s="6" t="n">
        <v>1</v>
      </c>
      <c r="X212" s="6" t="n">
        <v>0.3</v>
      </c>
      <c r="Y212" s="6" t="inlineStr">
        <is>
          <t>label</t>
        </is>
      </c>
      <c r="Z212" s="8" t="n">
        <v>51996</v>
      </c>
      <c r="AA212" s="9">
        <f>IF(H212="yes",Z212*X212,0)</f>
        <v/>
      </c>
      <c r="AB212" s="9">
        <f>IF(H212="yes",AA212*N(L212)/100,0)</f>
        <v/>
      </c>
      <c r="AC212" s="9">
        <f>IF(H212="yes",AA212*N(N212)/100,0)</f>
        <v/>
      </c>
      <c r="AD212" s="9">
        <f>IF(H212="yes",AA212*N(O212)/100,0)</f>
        <v/>
      </c>
      <c r="AE212" s="10">
        <f>IF(P212="yes",AA212/1000,0)</f>
        <v/>
      </c>
      <c r="AF212" s="10">
        <f>IF(R212="FG2",AE212*W212,AE212)</f>
        <v/>
      </c>
    </row>
    <row r="213">
      <c r="A213" s="6" t="inlineStr">
        <is>
          <t>HM00211</t>
        </is>
      </c>
      <c r="B213" s="7" t="inlineStr">
        <is>
          <t>8712345916299</t>
        </is>
      </c>
      <c r="C213" s="6" t="inlineStr">
        <is>
          <t>HM TOMATO KETCHUP 460G</t>
        </is>
      </c>
      <c r="D213" s="6" t="inlineStr">
        <is>
          <t>Tomato ketchup, 460g</t>
        </is>
      </c>
      <c r="E213" s="6" t="inlineStr">
        <is>
          <t>Harbour Market</t>
        </is>
      </c>
      <c r="F213" s="6" t="inlineStr">
        <is>
          <t>Grocery</t>
        </is>
      </c>
      <c r="G213" s="6" t="inlineStr">
        <is>
          <t>Condiments</t>
        </is>
      </c>
      <c r="H213" s="6" t="inlineStr">
        <is>
          <t>yes</t>
        </is>
      </c>
      <c r="I213" s="6" t="inlineStr">
        <is>
          <t>Plant-based non-core</t>
        </is>
      </c>
      <c r="J213" s="6" t="inlineStr">
        <is>
          <t>A</t>
        </is>
      </c>
      <c r="K213" s="6" t="inlineStr">
        <is>
          <t>All ingredients on one side</t>
        </is>
      </c>
      <c r="L213" s="6" t="n">
        <v>1.2</v>
      </c>
      <c r="M213" s="6" t="inlineStr">
        <is>
          <t>Declared by the retailer</t>
        </is>
      </c>
      <c r="N213" s="6" t="n">
        <v>1.2</v>
      </c>
      <c r="O213" s="6" t="n">
        <v>0</v>
      </c>
      <c r="P213" s="6" t="inlineStr">
        <is>
          <t>no</t>
        </is>
      </c>
      <c r="Q213" s="6" t="n"/>
      <c r="R213" s="6" t="n"/>
      <c r="S213" s="6" t="n"/>
      <c r="T213" s="6" t="n"/>
      <c r="U213" s="6" t="n"/>
      <c r="V213" s="6" t="inlineStr">
        <is>
          <t>condiment</t>
        </is>
      </c>
      <c r="W213" s="6" t="n">
        <v>1</v>
      </c>
      <c r="X213" s="6" t="n">
        <v>0.46</v>
      </c>
      <c r="Y213" s="6" t="inlineStr">
        <is>
          <t>declared</t>
        </is>
      </c>
      <c r="Z213" s="8" t="n">
        <v>7822</v>
      </c>
      <c r="AA213" s="9">
        <f>IF(H213="yes",Z213*X213,0)</f>
        <v/>
      </c>
      <c r="AB213" s="9">
        <f>IF(H213="yes",AA213*N(L213)/100,0)</f>
        <v/>
      </c>
      <c r="AC213" s="9">
        <f>IF(H213="yes",AA213*N(N213)/100,0)</f>
        <v/>
      </c>
      <c r="AD213" s="9">
        <f>IF(H213="yes",AA213*N(O213)/100,0)</f>
        <v/>
      </c>
      <c r="AE213" s="10">
        <f>IF(P213="yes",AA213/1000,0)</f>
        <v/>
      </c>
      <c r="AF213" s="10">
        <f>IF(R213="FG2",AE213*W213,AE213)</f>
        <v/>
      </c>
    </row>
    <row r="214">
      <c r="A214" s="6" t="inlineStr">
        <is>
          <t>HM00212</t>
        </is>
      </c>
      <c r="B214" s="7" t="inlineStr">
        <is>
          <t>5012345084206</t>
        </is>
      </c>
      <c r="C214" s="6" t="inlineStr">
        <is>
          <t>HM GARLIC 4PK 300G</t>
        </is>
      </c>
      <c r="D214" s="6" t="inlineStr">
        <is>
          <t>Garlic bulbs, 300g</t>
        </is>
      </c>
      <c r="E214" s="6" t="inlineStr">
        <is>
          <t>Harbour Market</t>
        </is>
      </c>
      <c r="F214" s="6" t="inlineStr">
        <is>
          <t>Fruit &amp; Vegetables</t>
        </is>
      </c>
      <c r="G214" s="6" t="inlineStr">
        <is>
          <t>Vegetables</t>
        </is>
      </c>
      <c r="H214" s="6" t="inlineStr">
        <is>
          <t>yes</t>
        </is>
      </c>
      <c r="I214" s="6" t="inlineStr">
        <is>
          <t>Plant-based non-core</t>
        </is>
      </c>
      <c r="J214" s="6" t="inlineStr">
        <is>
          <t>B</t>
        </is>
      </c>
      <c r="K214" s="6" t="inlineStr">
        <is>
          <t>Follows the class</t>
        </is>
      </c>
      <c r="L214" s="6" t="n">
        <v>6.4</v>
      </c>
      <c r="M214" s="6" t="inlineStr">
        <is>
          <t>Altera reference base</t>
        </is>
      </c>
      <c r="N214" s="6" t="n">
        <v>6.4</v>
      </c>
      <c r="O214" s="6" t="n">
        <v>0</v>
      </c>
      <c r="P214" s="6" t="inlineStr">
        <is>
          <t>yes</t>
        </is>
      </c>
      <c r="Q214" s="6" t="inlineStr">
        <is>
          <t>whole</t>
        </is>
      </c>
      <c r="R214" s="6" t="inlineStr">
        <is>
          <t>FG4</t>
        </is>
      </c>
      <c r="S214" s="6" t="n"/>
      <c r="T214" s="6" t="inlineStr">
        <is>
          <t>plant</t>
        </is>
      </c>
      <c r="U214" s="6" t="n"/>
      <c r="V214" s="6" t="n"/>
      <c r="W214" s="6" t="n">
        <v>1</v>
      </c>
      <c r="X214" s="6" t="n">
        <v>0.3</v>
      </c>
      <c r="Y214" s="6" t="inlineStr">
        <is>
          <t>declared</t>
        </is>
      </c>
      <c r="Z214" s="8" t="n">
        <v>41536</v>
      </c>
      <c r="AA214" s="9">
        <f>IF(H214="yes",Z214*X214,0)</f>
        <v/>
      </c>
      <c r="AB214" s="9">
        <f>IF(H214="yes",AA214*N(L214)/100,0)</f>
        <v/>
      </c>
      <c r="AC214" s="9">
        <f>IF(H214="yes",AA214*N(N214)/100,0)</f>
        <v/>
      </c>
      <c r="AD214" s="9">
        <f>IF(H214="yes",AA214*N(O214)/100,0)</f>
        <v/>
      </c>
      <c r="AE214" s="10">
        <f>IF(P214="yes",AA214/1000,0)</f>
        <v/>
      </c>
      <c r="AF214" s="10">
        <f>IF(R214="FG2",AE214*W214,AE214)</f>
        <v/>
      </c>
    </row>
    <row r="215">
      <c r="A215" s="6" t="inlineStr">
        <is>
          <t>HM00213</t>
        </is>
      </c>
      <c r="B215" s="7" t="inlineStr">
        <is>
          <t>5012345419374</t>
        </is>
      </c>
      <c r="C215" s="6" t="inlineStr">
        <is>
          <t>PORK LOIN CHOPS 1KG TARROW</t>
        </is>
      </c>
      <c r="D215" s="6" t="inlineStr">
        <is>
          <t>Pork loin chops, 1kg</t>
        </is>
      </c>
      <c r="E215" s="6" t="inlineStr">
        <is>
          <t>Tarrow Farm</t>
        </is>
      </c>
      <c r="F215" s="6" t="inlineStr">
        <is>
          <t>Fresh Meat &amp; Poultry</t>
        </is>
      </c>
      <c r="G215" s="6" t="inlineStr">
        <is>
          <t>Pork</t>
        </is>
      </c>
      <c r="H215" s="6" t="inlineStr">
        <is>
          <t>yes</t>
        </is>
      </c>
      <c r="I215" s="6" t="inlineStr">
        <is>
          <t>Animal core</t>
        </is>
      </c>
      <c r="J215" s="6" t="inlineStr">
        <is>
          <t>B</t>
        </is>
      </c>
      <c r="K215" s="6" t="inlineStr">
        <is>
          <t>Follows the class</t>
        </is>
      </c>
      <c r="L215" s="6" t="n">
        <v>19.3</v>
      </c>
      <c r="M215" s="6" t="inlineStr">
        <is>
          <t>Name match (CIQUAL / NEVO)</t>
        </is>
      </c>
      <c r="N215" s="6" t="n">
        <v>0</v>
      </c>
      <c r="O215" s="6" t="n">
        <v>19.3</v>
      </c>
      <c r="P215" s="6" t="inlineStr">
        <is>
          <t>yes</t>
        </is>
      </c>
      <c r="Q215" s="6" t="inlineStr">
        <is>
          <t>whole</t>
        </is>
      </c>
      <c r="R215" s="6" t="inlineStr">
        <is>
          <t>FG1</t>
        </is>
      </c>
      <c r="S215" s="6" t="inlineStr">
        <is>
          <t>red meat</t>
        </is>
      </c>
      <c r="T215" s="6" t="inlineStr">
        <is>
          <t>animal</t>
        </is>
      </c>
      <c r="U215" s="6" t="n"/>
      <c r="V215" s="6" t="n"/>
      <c r="W215" s="6" t="n">
        <v>1</v>
      </c>
      <c r="X215" s="6" t="n">
        <v>1</v>
      </c>
      <c r="Y215" s="6" t="inlineStr">
        <is>
          <t>declared</t>
        </is>
      </c>
      <c r="Z215" s="8" t="n">
        <v>44619</v>
      </c>
      <c r="AA215" s="9">
        <f>IF(H215="yes",Z215*X215,0)</f>
        <v/>
      </c>
      <c r="AB215" s="9">
        <f>IF(H215="yes",AA215*N(L215)/100,0)</f>
        <v/>
      </c>
      <c r="AC215" s="9">
        <f>IF(H215="yes",AA215*N(N215)/100,0)</f>
        <v/>
      </c>
      <c r="AD215" s="9">
        <f>IF(H215="yes",AA215*N(O215)/100,0)</f>
        <v/>
      </c>
      <c r="AE215" s="10">
        <f>IF(P215="yes",AA215/1000,0)</f>
        <v/>
      </c>
      <c r="AF215" s="10">
        <f>IF(R215="FG2",AE215*W215,AE215)</f>
        <v/>
      </c>
    </row>
    <row r="216">
      <c r="A216" s="6" t="inlineStr">
        <is>
          <t>HM00214</t>
        </is>
      </c>
      <c r="B216" s="7" t="inlineStr">
        <is>
          <t>3012345025911</t>
        </is>
      </c>
      <c r="C216" s="6" t="inlineStr">
        <is>
          <t>HM SALTED BUTTER 250G</t>
        </is>
      </c>
      <c r="D216" s="6" t="inlineStr">
        <is>
          <t>Salted butter, 250g</t>
        </is>
      </c>
      <c r="E216" s="6" t="inlineStr">
        <is>
          <t>Harbour Market</t>
        </is>
      </c>
      <c r="F216" s="6" t="inlineStr">
        <is>
          <t>Dairy &amp; Eggs</t>
        </is>
      </c>
      <c r="G216" s="6" t="inlineStr">
        <is>
          <t>Butter &amp; Spreads</t>
        </is>
      </c>
      <c r="H216" s="6" t="inlineStr">
        <is>
          <t>yes</t>
        </is>
      </c>
      <c r="I216" s="6" t="inlineStr">
        <is>
          <t>Animal core</t>
        </is>
      </c>
      <c r="J216" s="6" t="inlineStr">
        <is>
          <t>B</t>
        </is>
      </c>
      <c r="K216" s="6" t="inlineStr">
        <is>
          <t>Follows the class</t>
        </is>
      </c>
      <c r="L216" s="6" t="n">
        <v>0.61</v>
      </c>
      <c r="M216" s="6" t="inlineStr">
        <is>
          <t>Declared by the retailer</t>
        </is>
      </c>
      <c r="N216" s="6" t="n">
        <v>0</v>
      </c>
      <c r="O216" s="6" t="n">
        <v>0.61</v>
      </c>
      <c r="P216" s="6" t="inlineStr">
        <is>
          <t>yes</t>
        </is>
      </c>
      <c r="Q216" s="6" t="inlineStr">
        <is>
          <t>whole</t>
        </is>
      </c>
      <c r="R216" s="6" t="inlineStr">
        <is>
          <t>FG3</t>
        </is>
      </c>
      <c r="S216" s="6" t="inlineStr">
        <is>
          <t>animal fat</t>
        </is>
      </c>
      <c r="T216" s="6" t="inlineStr">
        <is>
          <t>animal</t>
        </is>
      </c>
      <c r="U216" s="6" t="n"/>
      <c r="V216" s="6" t="n"/>
      <c r="W216" s="6" t="n">
        <v>1</v>
      </c>
      <c r="X216" s="6" t="n">
        <v>0.25</v>
      </c>
      <c r="Y216" s="6" t="inlineStr">
        <is>
          <t>declared</t>
        </is>
      </c>
      <c r="Z216" s="8" t="n">
        <v>21274</v>
      </c>
      <c r="AA216" s="9">
        <f>IF(H216="yes",Z216*X216,0)</f>
        <v/>
      </c>
      <c r="AB216" s="9">
        <f>IF(H216="yes",AA216*N(L216)/100,0)</f>
        <v/>
      </c>
      <c r="AC216" s="9">
        <f>IF(H216="yes",AA216*N(N216)/100,0)</f>
        <v/>
      </c>
      <c r="AD216" s="9">
        <f>IF(H216="yes",AA216*N(O216)/100,0)</f>
        <v/>
      </c>
      <c r="AE216" s="10">
        <f>IF(P216="yes",AA216/1000,0)</f>
        <v/>
      </c>
      <c r="AF216" s="10">
        <f>IF(R216="FG2",AE216*W216,AE216)</f>
        <v/>
      </c>
    </row>
    <row r="217">
      <c r="A217" s="6" t="inlineStr">
        <is>
          <t>HM00215</t>
        </is>
      </c>
      <c r="B217" s="7" t="inlineStr">
        <is>
          <t>2259917616680</t>
        </is>
      </c>
      <c r="C217" s="6" t="inlineStr">
        <is>
          <t>HM APPLES PINK LADY KG</t>
        </is>
      </c>
      <c r="D217" s="6" t="inlineStr">
        <is>
          <t>Pink Lady apples</t>
        </is>
      </c>
      <c r="E217" s="6" t="inlineStr">
        <is>
          <t>Harbour Market</t>
        </is>
      </c>
      <c r="F217" s="6" t="inlineStr">
        <is>
          <t>Fruit &amp; Vegetables</t>
        </is>
      </c>
      <c r="G217" s="6" t="inlineStr">
        <is>
          <t>Fruit</t>
        </is>
      </c>
      <c r="H217" s="6" t="inlineStr">
        <is>
          <t>yes</t>
        </is>
      </c>
      <c r="I217" s="6" t="inlineStr">
        <is>
          <t>Plant-based non-core</t>
        </is>
      </c>
      <c r="J217" s="6" t="inlineStr">
        <is>
          <t>B</t>
        </is>
      </c>
      <c r="K217" s="6" t="inlineStr">
        <is>
          <t>Follows the class</t>
        </is>
      </c>
      <c r="L217" s="6" t="n">
        <v>0.29</v>
      </c>
      <c r="M217" s="6" t="inlineStr">
        <is>
          <t>Declared by the retailer</t>
        </is>
      </c>
      <c r="N217" s="6" t="n">
        <v>0.29</v>
      </c>
      <c r="O217" s="6" t="n">
        <v>0</v>
      </c>
      <c r="P217" s="6" t="inlineStr">
        <is>
          <t>yes</t>
        </is>
      </c>
      <c r="Q217" s="6" t="inlineStr">
        <is>
          <t>whole</t>
        </is>
      </c>
      <c r="R217" s="6" t="inlineStr">
        <is>
          <t>FG4</t>
        </is>
      </c>
      <c r="S217" s="6" t="n"/>
      <c r="T217" s="6" t="inlineStr">
        <is>
          <t>plant</t>
        </is>
      </c>
      <c r="U217" s="6" t="n"/>
      <c r="V217" s="6" t="n"/>
      <c r="W217" s="6" t="n">
        <v>1</v>
      </c>
      <c r="X217" s="6" t="n">
        <v>1</v>
      </c>
      <c r="Y217" s="6" t="inlineStr">
        <is>
          <t>variable</t>
        </is>
      </c>
      <c r="Z217" s="8" t="n">
        <v>127738</v>
      </c>
      <c r="AA217" s="9">
        <f>IF(H217="yes",Z217*X217,0)</f>
        <v/>
      </c>
      <c r="AB217" s="9">
        <f>IF(H217="yes",AA217*N(L217)/100,0)</f>
        <v/>
      </c>
      <c r="AC217" s="9">
        <f>IF(H217="yes",AA217*N(N217)/100,0)</f>
        <v/>
      </c>
      <c r="AD217" s="9">
        <f>IF(H217="yes",AA217*N(O217)/100,0)</f>
        <v/>
      </c>
      <c r="AE217" s="10">
        <f>IF(P217="yes",AA217/1000,0)</f>
        <v/>
      </c>
      <c r="AF217" s="10">
        <f>IF(R217="FG2",AE217*W217,AE217)</f>
        <v/>
      </c>
    </row>
    <row r="218">
      <c r="A218" s="6" t="inlineStr">
        <is>
          <t>HM00216</t>
        </is>
      </c>
      <c r="B218" s="7" t="inlineStr">
        <is>
          <t>4012345101560</t>
        </is>
      </c>
      <c r="C218" s="6" t="inlineStr">
        <is>
          <t>TOM BASIL PASTA SCE 690G CASTELNA</t>
        </is>
      </c>
      <c r="D218" s="6" t="inlineStr">
        <is>
          <t>Tomato &amp; basil pasta sauce, 690g</t>
        </is>
      </c>
      <c r="E218" s="6" t="inlineStr">
        <is>
          <t>Castelna</t>
        </is>
      </c>
      <c r="F218" s="6" t="inlineStr">
        <is>
          <t>Grocery</t>
        </is>
      </c>
      <c r="G218" s="6" t="inlineStr">
        <is>
          <t>Canned Vegetables</t>
        </is>
      </c>
      <c r="H218" s="6" t="inlineStr">
        <is>
          <t>yes</t>
        </is>
      </c>
      <c r="I218" s="6" t="inlineStr">
        <is>
          <t>Plant-based non-core</t>
        </is>
      </c>
      <c r="J218" s="6" t="inlineStr">
        <is>
          <t>A</t>
        </is>
      </c>
      <c r="K218" s="6" t="inlineStr">
        <is>
          <t>All ingredients on one side</t>
        </is>
      </c>
      <c r="L218" s="6" t="n">
        <v>1.6</v>
      </c>
      <c r="M218" s="6" t="inlineStr">
        <is>
          <t>Declared by the retailer</t>
        </is>
      </c>
      <c r="N218" s="6" t="n">
        <v>1.6</v>
      </c>
      <c r="O218" s="6" t="n">
        <v>0</v>
      </c>
      <c r="P218" s="6" t="inlineStr">
        <is>
          <t>yes</t>
        </is>
      </c>
      <c r="Q218" s="6" t="inlineStr">
        <is>
          <t>whole</t>
        </is>
      </c>
      <c r="R218" s="6" t="inlineStr">
        <is>
          <t>FG4</t>
        </is>
      </c>
      <c r="S218" s="6" t="n"/>
      <c r="T218" s="6" t="inlineStr">
        <is>
          <t>plant</t>
        </is>
      </c>
      <c r="U218" s="6" t="n"/>
      <c r="V218" s="6" t="n"/>
      <c r="W218" s="6" t="n">
        <v>1</v>
      </c>
      <c r="X218" s="6" t="n">
        <v>0.6899999999999999</v>
      </c>
      <c r="Y218" s="6" t="inlineStr">
        <is>
          <t>declared</t>
        </is>
      </c>
      <c r="Z218" s="8" t="n">
        <v>21167</v>
      </c>
      <c r="AA218" s="9">
        <f>IF(H218="yes",Z218*X218,0)</f>
        <v/>
      </c>
      <c r="AB218" s="9">
        <f>IF(H218="yes",AA218*N(L218)/100,0)</f>
        <v/>
      </c>
      <c r="AC218" s="9">
        <f>IF(H218="yes",AA218*N(N218)/100,0)</f>
        <v/>
      </c>
      <c r="AD218" s="9">
        <f>IF(H218="yes",AA218*N(O218)/100,0)</f>
        <v/>
      </c>
      <c r="AE218" s="10">
        <f>IF(P218="yes",AA218/1000,0)</f>
        <v/>
      </c>
      <c r="AF218" s="10">
        <f>IF(R218="FG2",AE218*W218,AE218)</f>
        <v/>
      </c>
    </row>
    <row r="219">
      <c r="A219" s="6" t="inlineStr">
        <is>
          <t>HM00217</t>
        </is>
      </c>
      <c r="B219" s="7" t="inlineStr">
        <is>
          <t>5012345517568</t>
        </is>
      </c>
      <c r="C219" s="6" t="inlineStr">
        <is>
          <t>WHOLEMEAL SLICED 400G BRAMBLECOTE</t>
        </is>
      </c>
      <c r="D219" s="6" t="inlineStr">
        <is>
          <t>Wholemeal sliced bread, 400g</t>
        </is>
      </c>
      <c r="E219" s="6" t="inlineStr">
        <is>
          <t>Bramblecote</t>
        </is>
      </c>
      <c r="F219" s="6" t="inlineStr">
        <is>
          <t>Bakery</t>
        </is>
      </c>
      <c r="G219" s="6" t="inlineStr">
        <is>
          <t>Bread</t>
        </is>
      </c>
      <c r="H219" s="6" t="inlineStr">
        <is>
          <t>yes</t>
        </is>
      </c>
      <c r="I219" s="6" t="inlineStr">
        <is>
          <t>Plant-based non-core</t>
        </is>
      </c>
      <c r="J219" s="6" t="inlineStr">
        <is>
          <t>A</t>
        </is>
      </c>
      <c r="K219" s="6" t="inlineStr">
        <is>
          <t>All ingredients on one side</t>
        </is>
      </c>
      <c r="L219" s="6" t="n">
        <v>9.699999999999999</v>
      </c>
      <c r="M219" s="6" t="inlineStr">
        <is>
          <t>Declared by the retailer</t>
        </is>
      </c>
      <c r="N219" s="6" t="n">
        <v>9.699999999999999</v>
      </c>
      <c r="O219" s="6" t="n">
        <v>0</v>
      </c>
      <c r="P219" s="6" t="inlineStr">
        <is>
          <t>yes</t>
        </is>
      </c>
      <c r="Q219" s="6" t="inlineStr">
        <is>
          <t>whole</t>
        </is>
      </c>
      <c r="R219" s="6" t="inlineStr">
        <is>
          <t>FG5</t>
        </is>
      </c>
      <c r="S219" s="6" t="inlineStr">
        <is>
          <t>whole grain</t>
        </is>
      </c>
      <c r="T219" s="6" t="inlineStr">
        <is>
          <t>plant</t>
        </is>
      </c>
      <c r="U219" s="6" t="n"/>
      <c r="V219" s="6" t="n"/>
      <c r="W219" s="6" t="n">
        <v>1</v>
      </c>
      <c r="X219" s="6" t="n">
        <v>0.4</v>
      </c>
      <c r="Y219" s="6" t="inlineStr">
        <is>
          <t>declared</t>
        </is>
      </c>
      <c r="Z219" s="8" t="n">
        <v>28973</v>
      </c>
      <c r="AA219" s="9">
        <f>IF(H219="yes",Z219*X219,0)</f>
        <v/>
      </c>
      <c r="AB219" s="9">
        <f>IF(H219="yes",AA219*N(L219)/100,0)</f>
        <v/>
      </c>
      <c r="AC219" s="9">
        <f>IF(H219="yes",AA219*N(N219)/100,0)</f>
        <v/>
      </c>
      <c r="AD219" s="9">
        <f>IF(H219="yes",AA219*N(O219)/100,0)</f>
        <v/>
      </c>
      <c r="AE219" s="10">
        <f>IF(P219="yes",AA219/1000,0)</f>
        <v/>
      </c>
      <c r="AF219" s="10">
        <f>IF(R219="FG2",AE219*W219,AE219)</f>
        <v/>
      </c>
    </row>
    <row r="220">
      <c r="A220" s="6" t="inlineStr">
        <is>
          <t>HM00218</t>
        </is>
      </c>
      <c r="B220" s="7" t="inlineStr">
        <is>
          <t>4012345125740</t>
        </is>
      </c>
      <c r="C220" s="6" t="inlineStr">
        <is>
          <t>HM TOMATOES VINE 1KG</t>
        </is>
      </c>
      <c r="D220" s="6" t="inlineStr">
        <is>
          <t>Vine tomatoes, 1kg</t>
        </is>
      </c>
      <c r="E220" s="6" t="inlineStr">
        <is>
          <t>Harbour Market</t>
        </is>
      </c>
      <c r="F220" s="6" t="inlineStr">
        <is>
          <t>Fruit &amp; Vegetables</t>
        </is>
      </c>
      <c r="G220" s="6" t="inlineStr">
        <is>
          <t>Vegetables</t>
        </is>
      </c>
      <c r="H220" s="6" t="inlineStr">
        <is>
          <t>yes</t>
        </is>
      </c>
      <c r="I220" s="6" t="inlineStr">
        <is>
          <t>Plant-based non-core</t>
        </is>
      </c>
      <c r="J220" s="6" t="inlineStr">
        <is>
          <t>B</t>
        </is>
      </c>
      <c r="K220" s="6" t="inlineStr">
        <is>
          <t>Follows the class</t>
        </is>
      </c>
      <c r="L220" s="6" t="n">
        <v>0.91</v>
      </c>
      <c r="M220" s="6" t="inlineStr">
        <is>
          <t>Median of the family</t>
        </is>
      </c>
      <c r="N220" s="6" t="n">
        <v>0.91</v>
      </c>
      <c r="O220" s="6" t="n">
        <v>0</v>
      </c>
      <c r="P220" s="6" t="inlineStr">
        <is>
          <t>yes</t>
        </is>
      </c>
      <c r="Q220" s="6" t="inlineStr">
        <is>
          <t>whole</t>
        </is>
      </c>
      <c r="R220" s="6" t="inlineStr">
        <is>
          <t>FG4</t>
        </is>
      </c>
      <c r="S220" s="6" t="n"/>
      <c r="T220" s="6" t="inlineStr">
        <is>
          <t>plant</t>
        </is>
      </c>
      <c r="U220" s="6" t="n"/>
      <c r="V220" s="6" t="n"/>
      <c r="W220" s="6" t="n">
        <v>1</v>
      </c>
      <c r="X220" s="6" t="n">
        <v>1</v>
      </c>
      <c r="Y220" s="6" t="inlineStr">
        <is>
          <t>declared</t>
        </is>
      </c>
      <c r="Z220" s="8" t="n">
        <v>50093</v>
      </c>
      <c r="AA220" s="9">
        <f>IF(H220="yes",Z220*X220,0)</f>
        <v/>
      </c>
      <c r="AB220" s="9">
        <f>IF(H220="yes",AA220*N(L220)/100,0)</f>
        <v/>
      </c>
      <c r="AC220" s="9">
        <f>IF(H220="yes",AA220*N(N220)/100,0)</f>
        <v/>
      </c>
      <c r="AD220" s="9">
        <f>IF(H220="yes",AA220*N(O220)/100,0)</f>
        <v/>
      </c>
      <c r="AE220" s="10">
        <f>IF(P220="yes",AA220/1000,0)</f>
        <v/>
      </c>
      <c r="AF220" s="10">
        <f>IF(R220="FG2",AE220*W220,AE220)</f>
        <v/>
      </c>
    </row>
    <row r="221">
      <c r="A221" s="6" t="inlineStr">
        <is>
          <t>HM00219</t>
        </is>
      </c>
      <c r="B221" s="7" t="inlineStr">
        <is>
          <t>3012345019293</t>
        </is>
      </c>
      <c r="C221" s="6" t="inlineStr">
        <is>
          <t>HM APPLES PINK LADY 1KG</t>
        </is>
      </c>
      <c r="D221" s="6" t="inlineStr">
        <is>
          <t>Pink Lady apples, 1kg</t>
        </is>
      </c>
      <c r="E221" s="6" t="inlineStr">
        <is>
          <t>Harbour Market</t>
        </is>
      </c>
      <c r="F221" s="6" t="inlineStr">
        <is>
          <t>Fruit &amp; Vegetables</t>
        </is>
      </c>
      <c r="G221" s="6" t="inlineStr">
        <is>
          <t>Fruit</t>
        </is>
      </c>
      <c r="H221" s="6" t="inlineStr">
        <is>
          <t>yes</t>
        </is>
      </c>
      <c r="I221" s="6" t="inlineStr">
        <is>
          <t>Plant-based non-core</t>
        </is>
      </c>
      <c r="J221" s="6" t="inlineStr">
        <is>
          <t>B</t>
        </is>
      </c>
      <c r="K221" s="6" t="inlineStr">
        <is>
          <t>Follows the class</t>
        </is>
      </c>
      <c r="L221" s="6" t="n">
        <v>0.31</v>
      </c>
      <c r="M221" s="6" t="inlineStr">
        <is>
          <t>Open Food Facts, by EAN</t>
        </is>
      </c>
      <c r="N221" s="6" t="n">
        <v>0.31</v>
      </c>
      <c r="O221" s="6" t="n">
        <v>0</v>
      </c>
      <c r="P221" s="6" t="inlineStr">
        <is>
          <t>yes</t>
        </is>
      </c>
      <c r="Q221" s="6" t="inlineStr">
        <is>
          <t>whole</t>
        </is>
      </c>
      <c r="R221" s="6" t="inlineStr">
        <is>
          <t>FG4</t>
        </is>
      </c>
      <c r="S221" s="6" t="n"/>
      <c r="T221" s="6" t="inlineStr">
        <is>
          <t>plant</t>
        </is>
      </c>
      <c r="U221" s="6" t="n"/>
      <c r="V221" s="6" t="n"/>
      <c r="W221" s="6" t="n">
        <v>1</v>
      </c>
      <c r="X221" s="6" t="n">
        <v>1</v>
      </c>
      <c r="Y221" s="6" t="inlineStr">
        <is>
          <t>label</t>
        </is>
      </c>
      <c r="Z221" s="8" t="n">
        <v>105635</v>
      </c>
      <c r="AA221" s="9">
        <f>IF(H221="yes",Z221*X221,0)</f>
        <v/>
      </c>
      <c r="AB221" s="9">
        <f>IF(H221="yes",AA221*N(L221)/100,0)</f>
        <v/>
      </c>
      <c r="AC221" s="9">
        <f>IF(H221="yes",AA221*N(N221)/100,0)</f>
        <v/>
      </c>
      <c r="AD221" s="9">
        <f>IF(H221="yes",AA221*N(O221)/100,0)</f>
        <v/>
      </c>
      <c r="AE221" s="10">
        <f>IF(P221="yes",AA221/1000,0)</f>
        <v/>
      </c>
      <c r="AF221" s="10">
        <f>IF(R221="FG2",AE221*W221,AE221)</f>
        <v/>
      </c>
    </row>
    <row r="222">
      <c r="A222" s="6" t="inlineStr">
        <is>
          <t>HM00220</t>
        </is>
      </c>
      <c r="B222" s="7" t="inlineStr">
        <is>
          <t>8712345162665</t>
        </is>
      </c>
      <c r="C222" s="6" t="inlineStr">
        <is>
          <t>HM CRINKLE CUT CHIPS 750G</t>
        </is>
      </c>
      <c r="D222" s="6" t="inlineStr">
        <is>
          <t>Crinkle-cut chips, 750g</t>
        </is>
      </c>
      <c r="E222" s="6" t="inlineStr">
        <is>
          <t>Harbour Market</t>
        </is>
      </c>
      <c r="F222" s="6" t="inlineStr">
        <is>
          <t>Frozen</t>
        </is>
      </c>
      <c r="G222" s="6" t="inlineStr">
        <is>
          <t>Frozen Potatoes</t>
        </is>
      </c>
      <c r="H222" s="6" t="inlineStr">
        <is>
          <t>yes</t>
        </is>
      </c>
      <c r="I222" s="6" t="inlineStr">
        <is>
          <t>Plant-based non-core</t>
        </is>
      </c>
      <c r="J222" s="6" t="inlineStr">
        <is>
          <t>A</t>
        </is>
      </c>
      <c r="K222" s="6" t="inlineStr">
        <is>
          <t>All ingredients on one side</t>
        </is>
      </c>
      <c r="L222" s="6" t="n">
        <v>2.5</v>
      </c>
      <c r="M222" s="6" t="inlineStr">
        <is>
          <t>Name match (CIQUAL / NEVO)</t>
        </is>
      </c>
      <c r="N222" s="6" t="n">
        <v>2.5</v>
      </c>
      <c r="O222" s="6" t="n">
        <v>0</v>
      </c>
      <c r="P222" s="6" t="inlineStr">
        <is>
          <t>yes</t>
        </is>
      </c>
      <c r="Q222" s="6" t="inlineStr">
        <is>
          <t>whole</t>
        </is>
      </c>
      <c r="R222" s="6" t="inlineStr">
        <is>
          <t>FG7</t>
        </is>
      </c>
      <c r="S222" s="6" t="n"/>
      <c r="T222" s="6" t="inlineStr">
        <is>
          <t>plant</t>
        </is>
      </c>
      <c r="U222" s="6" t="n"/>
      <c r="V222" s="6" t="n"/>
      <c r="W222" s="6" t="n">
        <v>1</v>
      </c>
      <c r="X222" s="6" t="n">
        <v>0.75</v>
      </c>
      <c r="Y222" s="6" t="inlineStr">
        <is>
          <t>declared</t>
        </is>
      </c>
      <c r="Z222" s="8" t="n">
        <v>9141</v>
      </c>
      <c r="AA222" s="9">
        <f>IF(H222="yes",Z222*X222,0)</f>
        <v/>
      </c>
      <c r="AB222" s="9">
        <f>IF(H222="yes",AA222*N(L222)/100,0)</f>
        <v/>
      </c>
      <c r="AC222" s="9">
        <f>IF(H222="yes",AA222*N(N222)/100,0)</f>
        <v/>
      </c>
      <c r="AD222" s="9">
        <f>IF(H222="yes",AA222*N(O222)/100,0)</f>
        <v/>
      </c>
      <c r="AE222" s="10">
        <f>IF(P222="yes",AA222/1000,0)</f>
        <v/>
      </c>
      <c r="AF222" s="10">
        <f>IF(R222="FG2",AE222*W222,AE222)</f>
        <v/>
      </c>
    </row>
    <row r="223">
      <c r="A223" s="6" t="inlineStr">
        <is>
          <t>HM00221</t>
        </is>
      </c>
      <c r="B223" s="7" t="inlineStr">
        <is>
          <t>8712345611101</t>
        </is>
      </c>
      <c r="C223" s="6" t="inlineStr">
        <is>
          <t>HM PIZZA MARGHERITA 335G</t>
        </is>
      </c>
      <c r="D223" s="6" t="inlineStr">
        <is>
          <t>Margherita pizza, 335g</t>
        </is>
      </c>
      <c r="E223" s="6" t="inlineStr">
        <is>
          <t>Harbour Market</t>
        </is>
      </c>
      <c r="F223" s="6" t="inlineStr">
        <is>
          <t>Frozen</t>
        </is>
      </c>
      <c r="G223" s="6" t="inlineStr">
        <is>
          <t>Pizza</t>
        </is>
      </c>
      <c r="H223" s="6" t="inlineStr">
        <is>
          <t>yes</t>
        </is>
      </c>
      <c r="I223" s="6" t="inlineStr">
        <is>
          <t>Animal &amp; plant composite</t>
        </is>
      </c>
      <c r="J223" s="6" t="inlineStr">
        <is>
          <t>B</t>
        </is>
      </c>
      <c r="K223" s="6" t="inlineStr">
        <is>
          <t>50/50 convention</t>
        </is>
      </c>
      <c r="L223" s="6" t="n">
        <v>10.4</v>
      </c>
      <c r="M223" s="6" t="inlineStr">
        <is>
          <t>Open Food Facts, by EAN</t>
        </is>
      </c>
      <c r="N223" s="6" t="n">
        <v>5.2</v>
      </c>
      <c r="O223" s="6" t="n">
        <v>5.2</v>
      </c>
      <c r="P223" s="6" t="inlineStr">
        <is>
          <t>yes</t>
        </is>
      </c>
      <c r="Q223" s="6" t="inlineStr">
        <is>
          <t>composite</t>
        </is>
      </c>
      <c r="R223" s="6" t="n"/>
      <c r="S223" s="6" t="n"/>
      <c r="T223" s="6" t="n"/>
      <c r="U223" s="6" t="inlineStr">
        <is>
          <t>vegetarian</t>
        </is>
      </c>
      <c r="V223" s="6" t="n"/>
      <c r="W223" s="6" t="n">
        <v>1</v>
      </c>
      <c r="X223" s="6" t="n">
        <v>0.335</v>
      </c>
      <c r="Y223" s="6" t="inlineStr">
        <is>
          <t>declared</t>
        </is>
      </c>
      <c r="Z223" s="8" t="n">
        <v>15125</v>
      </c>
      <c r="AA223" s="9">
        <f>IF(H223="yes",Z223*X223,0)</f>
        <v/>
      </c>
      <c r="AB223" s="9">
        <f>IF(H223="yes",AA223*N(L223)/100,0)</f>
        <v/>
      </c>
      <c r="AC223" s="9">
        <f>IF(H223="yes",AA223*N(N223)/100,0)</f>
        <v/>
      </c>
      <c r="AD223" s="9">
        <f>IF(H223="yes",AA223*N(O223)/100,0)</f>
        <v/>
      </c>
      <c r="AE223" s="10">
        <f>IF(P223="yes",AA223/1000,0)</f>
        <v/>
      </c>
      <c r="AF223" s="10">
        <f>IF(R223="FG2",AE223*W223,AE223)</f>
        <v/>
      </c>
    </row>
    <row r="224">
      <c r="A224" s="6" t="inlineStr">
        <is>
          <t>HM00222</t>
        </is>
      </c>
      <c r="B224" s="7" t="inlineStr">
        <is>
          <t>8712345018771</t>
        </is>
      </c>
      <c r="C224" s="6" t="inlineStr">
        <is>
          <t>TARROW LAMB LEG STEAKS 300G</t>
        </is>
      </c>
      <c r="D224" s="6" t="inlineStr">
        <is>
          <t>Lamb leg steaks, 300g</t>
        </is>
      </c>
      <c r="E224" s="6" t="inlineStr">
        <is>
          <t>Tarrow Farm</t>
        </is>
      </c>
      <c r="F224" s="6" t="inlineStr">
        <is>
          <t>Fresh Meat &amp; Poultry</t>
        </is>
      </c>
      <c r="G224" s="6" t="inlineStr">
        <is>
          <t>Turkey &amp; Lamb</t>
        </is>
      </c>
      <c r="H224" s="6" t="inlineStr">
        <is>
          <t>yes</t>
        </is>
      </c>
      <c r="I224" s="6" t="inlineStr">
        <is>
          <t>Animal core</t>
        </is>
      </c>
      <c r="J224" s="6" t="inlineStr">
        <is>
          <t>B</t>
        </is>
      </c>
      <c r="K224" s="6" t="inlineStr">
        <is>
          <t>Follows the class</t>
        </is>
      </c>
      <c r="L224" s="6" t="n">
        <v>22.3</v>
      </c>
      <c r="M224" s="6" t="inlineStr">
        <is>
          <t>Declared by the retailer</t>
        </is>
      </c>
      <c r="N224" s="6" t="n">
        <v>0</v>
      </c>
      <c r="O224" s="6" t="n">
        <v>22.3</v>
      </c>
      <c r="P224" s="6" t="inlineStr">
        <is>
          <t>yes</t>
        </is>
      </c>
      <c r="Q224" s="6" t="inlineStr">
        <is>
          <t>whole</t>
        </is>
      </c>
      <c r="R224" s="6" t="inlineStr">
        <is>
          <t>FG1</t>
        </is>
      </c>
      <c r="S224" s="6" t="inlineStr">
        <is>
          <t>red meat</t>
        </is>
      </c>
      <c r="T224" s="6" t="inlineStr">
        <is>
          <t>animal</t>
        </is>
      </c>
      <c r="U224" s="6" t="n"/>
      <c r="V224" s="6" t="n"/>
      <c r="W224" s="6" t="n">
        <v>1</v>
      </c>
      <c r="X224" s="6" t="n">
        <v>0.3</v>
      </c>
      <c r="Y224" s="6" t="inlineStr">
        <is>
          <t>declared</t>
        </is>
      </c>
      <c r="Z224" s="8" t="n">
        <v>38233</v>
      </c>
      <c r="AA224" s="9">
        <f>IF(H224="yes",Z224*X224,0)</f>
        <v/>
      </c>
      <c r="AB224" s="9">
        <f>IF(H224="yes",AA224*N(L224)/100,0)</f>
        <v/>
      </c>
      <c r="AC224" s="9">
        <f>IF(H224="yes",AA224*N(N224)/100,0)</f>
        <v/>
      </c>
      <c r="AD224" s="9">
        <f>IF(H224="yes",AA224*N(O224)/100,0)</f>
        <v/>
      </c>
      <c r="AE224" s="10">
        <f>IF(P224="yes",AA224/1000,0)</f>
        <v/>
      </c>
      <c r="AF224" s="10">
        <f>IF(R224="FG2",AE224*W224,AE224)</f>
        <v/>
      </c>
    </row>
    <row r="225">
      <c r="A225" s="6" t="inlineStr">
        <is>
          <t>HM00223</t>
        </is>
      </c>
      <c r="B225" s="7" t="inlineStr">
        <is>
          <t>8712345642068</t>
        </is>
      </c>
      <c r="C225" s="6" t="inlineStr">
        <is>
          <t>HM CAULIFLOWER EACH</t>
        </is>
      </c>
      <c r="D225" s="6" t="inlineStr">
        <is>
          <t>Cauliflower</t>
        </is>
      </c>
      <c r="E225" s="6" t="inlineStr">
        <is>
          <t>Harbour Market</t>
        </is>
      </c>
      <c r="F225" s="6" t="inlineStr">
        <is>
          <t>Fruit &amp; Vegetables</t>
        </is>
      </c>
      <c r="G225" s="6" t="inlineStr">
        <is>
          <t>Vegetables</t>
        </is>
      </c>
      <c r="H225" s="6" t="inlineStr">
        <is>
          <t>yes</t>
        </is>
      </c>
      <c r="I225" s="6" t="inlineStr">
        <is>
          <t>Plant-based non-core</t>
        </is>
      </c>
      <c r="J225" s="6" t="inlineStr">
        <is>
          <t>B</t>
        </is>
      </c>
      <c r="K225" s="6" t="inlineStr">
        <is>
          <t>Follows the class</t>
        </is>
      </c>
      <c r="L225" s="6" t="n">
        <v>1.9</v>
      </c>
      <c r="M225" s="6" t="inlineStr">
        <is>
          <t>Name match (CIQUAL / NEVO)</t>
        </is>
      </c>
      <c r="N225" s="6" t="n">
        <v>1.9</v>
      </c>
      <c r="O225" s="6" t="n">
        <v>0</v>
      </c>
      <c r="P225" s="6" t="inlineStr">
        <is>
          <t>yes</t>
        </is>
      </c>
      <c r="Q225" s="6" t="inlineStr">
        <is>
          <t>whole</t>
        </is>
      </c>
      <c r="R225" s="6" t="inlineStr">
        <is>
          <t>FG4</t>
        </is>
      </c>
      <c r="S225" s="6" t="n"/>
      <c r="T225" s="6" t="inlineStr">
        <is>
          <t>plant</t>
        </is>
      </c>
      <c r="U225" s="6" t="n"/>
      <c r="V225" s="6" t="n"/>
      <c r="W225" s="6" t="n">
        <v>1</v>
      </c>
      <c r="X225" s="6" t="n">
        <v>0.6</v>
      </c>
      <c r="Y225" s="6" t="inlineStr">
        <is>
          <t>typical_piece</t>
        </is>
      </c>
      <c r="Z225" s="8" t="n">
        <v>83128</v>
      </c>
      <c r="AA225" s="9">
        <f>IF(H225="yes",Z225*X225,0)</f>
        <v/>
      </c>
      <c r="AB225" s="9">
        <f>IF(H225="yes",AA225*N(L225)/100,0)</f>
        <v/>
      </c>
      <c r="AC225" s="9">
        <f>IF(H225="yes",AA225*N(N225)/100,0)</f>
        <v/>
      </c>
      <c r="AD225" s="9">
        <f>IF(H225="yes",AA225*N(O225)/100,0)</f>
        <v/>
      </c>
      <c r="AE225" s="10">
        <f>IF(P225="yes",AA225/1000,0)</f>
        <v/>
      </c>
      <c r="AF225" s="10">
        <f>IF(R225="FG2",AE225*W225,AE225)</f>
        <v/>
      </c>
    </row>
    <row r="226">
      <c r="A226" s="6" t="inlineStr">
        <is>
          <t>HM00224</t>
        </is>
      </c>
      <c r="B226" s="7" t="inlineStr">
        <is>
          <t>3012345655026</t>
        </is>
      </c>
      <c r="C226" s="6" t="inlineStr">
        <is>
          <t>HM CAULIFLOWER 300G</t>
        </is>
      </c>
      <c r="D226" s="6" t="inlineStr">
        <is>
          <t>Cauliflower, 300g</t>
        </is>
      </c>
      <c r="E226" s="6" t="inlineStr">
        <is>
          <t>Harbour Market</t>
        </is>
      </c>
      <c r="F226" s="6" t="inlineStr">
        <is>
          <t>Fruit &amp; Vegetables</t>
        </is>
      </c>
      <c r="G226" s="6" t="inlineStr">
        <is>
          <t>Vegetables</t>
        </is>
      </c>
      <c r="H226" s="6" t="inlineStr">
        <is>
          <t>yes</t>
        </is>
      </c>
      <c r="I226" s="6" t="inlineStr">
        <is>
          <t>Plant-based non-core</t>
        </is>
      </c>
      <c r="J226" s="6" t="inlineStr">
        <is>
          <t>B</t>
        </is>
      </c>
      <c r="K226" s="6" t="inlineStr">
        <is>
          <t>Follows the class</t>
        </is>
      </c>
      <c r="L226" s="6" t="n">
        <v>1.9</v>
      </c>
      <c r="M226" s="6" t="inlineStr">
        <is>
          <t>Median of the family</t>
        </is>
      </c>
      <c r="N226" s="6" t="n">
        <v>1.9</v>
      </c>
      <c r="O226" s="6" t="n">
        <v>0</v>
      </c>
      <c r="P226" s="6" t="inlineStr">
        <is>
          <t>yes</t>
        </is>
      </c>
      <c r="Q226" s="6" t="inlineStr">
        <is>
          <t>whole</t>
        </is>
      </c>
      <c r="R226" s="6" t="inlineStr">
        <is>
          <t>FG4</t>
        </is>
      </c>
      <c r="S226" s="6" t="n"/>
      <c r="T226" s="6" t="inlineStr">
        <is>
          <t>plant</t>
        </is>
      </c>
      <c r="U226" s="6" t="n"/>
      <c r="V226" s="6" t="n"/>
      <c r="W226" s="6" t="n">
        <v>1</v>
      </c>
      <c r="X226" s="6" t="n">
        <v>0.3</v>
      </c>
      <c r="Y226" s="6" t="inlineStr">
        <is>
          <t>declared</t>
        </is>
      </c>
      <c r="Z226" s="8" t="n">
        <v>95305</v>
      </c>
      <c r="AA226" s="9">
        <f>IF(H226="yes",Z226*X226,0)</f>
        <v/>
      </c>
      <c r="AB226" s="9">
        <f>IF(H226="yes",AA226*N(L226)/100,0)</f>
        <v/>
      </c>
      <c r="AC226" s="9">
        <f>IF(H226="yes",AA226*N(N226)/100,0)</f>
        <v/>
      </c>
      <c r="AD226" s="9">
        <f>IF(H226="yes",AA226*N(O226)/100,0)</f>
        <v/>
      </c>
      <c r="AE226" s="10">
        <f>IF(P226="yes",AA226/1000,0)</f>
        <v/>
      </c>
      <c r="AF226" s="10">
        <f>IF(R226="FG2",AE226*W226,AE226)</f>
        <v/>
      </c>
    </row>
    <row r="227">
      <c r="A227" s="6" t="inlineStr">
        <is>
          <t>HM00225</t>
        </is>
      </c>
      <c r="B227" s="7" t="inlineStr">
        <is>
          <t>5012345751399</t>
        </is>
      </c>
      <c r="C227" s="6" t="inlineStr">
        <is>
          <t>PIZZA 4 CHEESE 2X320G QUILLAN</t>
        </is>
      </c>
      <c r="D227" s="6" t="inlineStr">
        <is>
          <t>Four cheese pizza, 2x320g</t>
        </is>
      </c>
      <c r="E227" s="6" t="inlineStr">
        <is>
          <t>Quillan</t>
        </is>
      </c>
      <c r="F227" s="6" t="inlineStr">
        <is>
          <t>Frozen</t>
        </is>
      </c>
      <c r="G227" s="6" t="inlineStr">
        <is>
          <t>Pizza</t>
        </is>
      </c>
      <c r="H227" s="6" t="inlineStr">
        <is>
          <t>yes</t>
        </is>
      </c>
      <c r="I227" s="6" t="inlineStr">
        <is>
          <t>Animal &amp; plant composite</t>
        </is>
      </c>
      <c r="J227" s="6" t="inlineStr">
        <is>
          <t>B</t>
        </is>
      </c>
      <c r="K227" s="6" t="inlineStr">
        <is>
          <t>50/50 convention</t>
        </is>
      </c>
      <c r="L227" s="6" t="n">
        <v>10.5</v>
      </c>
      <c r="M227" s="6" t="inlineStr">
        <is>
          <t>Declared by the retailer</t>
        </is>
      </c>
      <c r="N227" s="6" t="n">
        <v>5.25</v>
      </c>
      <c r="O227" s="6" t="n">
        <v>5.25</v>
      </c>
      <c r="P227" s="6" t="inlineStr">
        <is>
          <t>yes</t>
        </is>
      </c>
      <c r="Q227" s="6" t="inlineStr">
        <is>
          <t>composite</t>
        </is>
      </c>
      <c r="R227" s="6" t="n"/>
      <c r="S227" s="6" t="n"/>
      <c r="T227" s="6" t="n"/>
      <c r="U227" s="6" t="inlineStr">
        <is>
          <t>vegetarian</t>
        </is>
      </c>
      <c r="V227" s="6" t="n"/>
      <c r="W227" s="6" t="n">
        <v>1</v>
      </c>
      <c r="X227" s="6" t="n">
        <v>0.64</v>
      </c>
      <c r="Y227" s="6" t="inlineStr">
        <is>
          <t>declared</t>
        </is>
      </c>
      <c r="Z227" s="8" t="n">
        <v>6718</v>
      </c>
      <c r="AA227" s="9">
        <f>IF(H227="yes",Z227*X227,0)</f>
        <v/>
      </c>
      <c r="AB227" s="9">
        <f>IF(H227="yes",AA227*N(L227)/100,0)</f>
        <v/>
      </c>
      <c r="AC227" s="9">
        <f>IF(H227="yes",AA227*N(N227)/100,0)</f>
        <v/>
      </c>
      <c r="AD227" s="9">
        <f>IF(H227="yes",AA227*N(O227)/100,0)</f>
        <v/>
      </c>
      <c r="AE227" s="10">
        <f>IF(P227="yes",AA227/1000,0)</f>
        <v/>
      </c>
      <c r="AF227" s="10">
        <f>IF(R227="FG2",AE227*W227,AE227)</f>
        <v/>
      </c>
    </row>
    <row r="228">
      <c r="A228" s="6" t="inlineStr">
        <is>
          <t>HM00226</t>
        </is>
      </c>
      <c r="B228" s="7" t="inlineStr">
        <is>
          <t>4012345785937</t>
        </is>
      </c>
      <c r="C228" s="6" t="inlineStr">
        <is>
          <t>HM WHOLE ALMONDS 100G</t>
        </is>
      </c>
      <c r="D228" s="6" t="inlineStr">
        <is>
          <t>Whole almonds, 100g</t>
        </is>
      </c>
      <c r="E228" s="6" t="inlineStr">
        <is>
          <t>Harbour Market</t>
        </is>
      </c>
      <c r="F228" s="6" t="inlineStr">
        <is>
          <t>Grocery</t>
        </is>
      </c>
      <c r="G228" s="6" t="inlineStr">
        <is>
          <t>Nuts &amp; Seeds</t>
        </is>
      </c>
      <c r="H228" s="6" t="inlineStr">
        <is>
          <t>yes</t>
        </is>
      </c>
      <c r="I228" s="6" t="inlineStr">
        <is>
          <t>Plant-based core</t>
        </is>
      </c>
      <c r="J228" s="6" t="inlineStr">
        <is>
          <t>A</t>
        </is>
      </c>
      <c r="K228" s="6" t="inlineStr">
        <is>
          <t>All ingredients on one side</t>
        </is>
      </c>
      <c r="L228" s="6" t="n">
        <v>19.9</v>
      </c>
      <c r="M228" s="6" t="inlineStr">
        <is>
          <t>Open Food Facts, by EAN</t>
        </is>
      </c>
      <c r="N228" s="6" t="n">
        <v>19.9</v>
      </c>
      <c r="O228" s="6" t="n">
        <v>0</v>
      </c>
      <c r="P228" s="6" t="inlineStr">
        <is>
          <t>yes</t>
        </is>
      </c>
      <c r="Q228" s="6" t="inlineStr">
        <is>
          <t>whole</t>
        </is>
      </c>
      <c r="R228" s="6" t="inlineStr">
        <is>
          <t>FG1</t>
        </is>
      </c>
      <c r="S228" s="6" t="inlineStr">
        <is>
          <t>nuts</t>
        </is>
      </c>
      <c r="T228" s="6" t="inlineStr">
        <is>
          <t>plant</t>
        </is>
      </c>
      <c r="U228" s="6" t="n"/>
      <c r="V228" s="6" t="n"/>
      <c r="W228" s="6" t="n">
        <v>1</v>
      </c>
      <c r="X228" s="6" t="n">
        <v>0.1</v>
      </c>
      <c r="Y228" s="6" t="inlineStr">
        <is>
          <t>label</t>
        </is>
      </c>
      <c r="Z228" s="8" t="n">
        <v>17120</v>
      </c>
      <c r="AA228" s="9">
        <f>IF(H228="yes",Z228*X228,0)</f>
        <v/>
      </c>
      <c r="AB228" s="9">
        <f>IF(H228="yes",AA228*N(L228)/100,0)</f>
        <v/>
      </c>
      <c r="AC228" s="9">
        <f>IF(H228="yes",AA228*N(N228)/100,0)</f>
        <v/>
      </c>
      <c r="AD228" s="9">
        <f>IF(H228="yes",AA228*N(O228)/100,0)</f>
        <v/>
      </c>
      <c r="AE228" s="10">
        <f>IF(P228="yes",AA228/1000,0)</f>
        <v/>
      </c>
      <c r="AF228" s="10">
        <f>IF(R228="FG2",AE228*W228,AE228)</f>
        <v/>
      </c>
    </row>
    <row r="229">
      <c r="A229" s="6" t="inlineStr">
        <is>
          <t>HM00227</t>
        </is>
      </c>
      <c r="B229" s="7" t="inlineStr">
        <is>
          <t>3012345121088</t>
        </is>
      </c>
      <c r="C229" s="6" t="inlineStr">
        <is>
          <t>HM WHITE PITTA 800G</t>
        </is>
      </c>
      <c r="D229" s="6" t="inlineStr">
        <is>
          <t>White pitta bread, 800g</t>
        </is>
      </c>
      <c r="E229" s="6" t="inlineStr">
        <is>
          <t>Harbour Market</t>
        </is>
      </c>
      <c r="F229" s="6" t="inlineStr">
        <is>
          <t>Bakery</t>
        </is>
      </c>
      <c r="G229" s="6" t="inlineStr">
        <is>
          <t>Bread</t>
        </is>
      </c>
      <c r="H229" s="6" t="inlineStr">
        <is>
          <t>yes</t>
        </is>
      </c>
      <c r="I229" s="6" t="inlineStr">
        <is>
          <t>Plant-based non-core</t>
        </is>
      </c>
      <c r="J229" s="6" t="inlineStr">
        <is>
          <t>A</t>
        </is>
      </c>
      <c r="K229" s="6" t="inlineStr">
        <is>
          <t>All ingredients on one side</t>
        </is>
      </c>
      <c r="L229" s="6" t="n">
        <v>8.800000000000001</v>
      </c>
      <c r="M229" s="6" t="inlineStr">
        <is>
          <t>Declared by the retailer</t>
        </is>
      </c>
      <c r="N229" s="6" t="n">
        <v>8.800000000000001</v>
      </c>
      <c r="O229" s="6" t="n">
        <v>0</v>
      </c>
      <c r="P229" s="6" t="inlineStr">
        <is>
          <t>yes</t>
        </is>
      </c>
      <c r="Q229" s="6" t="inlineStr">
        <is>
          <t>whole</t>
        </is>
      </c>
      <c r="R229" s="6" t="inlineStr">
        <is>
          <t>FG5</t>
        </is>
      </c>
      <c r="S229" s="6" t="inlineStr">
        <is>
          <t>refined grain</t>
        </is>
      </c>
      <c r="T229" s="6" t="inlineStr">
        <is>
          <t>plant</t>
        </is>
      </c>
      <c r="U229" s="6" t="n"/>
      <c r="V229" s="6" t="n"/>
      <c r="W229" s="6" t="n">
        <v>1</v>
      </c>
      <c r="X229" s="6" t="n">
        <v>0.8</v>
      </c>
      <c r="Y229" s="6" t="inlineStr">
        <is>
          <t>declared</t>
        </is>
      </c>
      <c r="Z229" s="8" t="n">
        <v>53445</v>
      </c>
      <c r="AA229" s="9">
        <f>IF(H229="yes",Z229*X229,0)</f>
        <v/>
      </c>
      <c r="AB229" s="9">
        <f>IF(H229="yes",AA229*N(L229)/100,0)</f>
        <v/>
      </c>
      <c r="AC229" s="9">
        <f>IF(H229="yes",AA229*N(N229)/100,0)</f>
        <v/>
      </c>
      <c r="AD229" s="9">
        <f>IF(H229="yes",AA229*N(O229)/100,0)</f>
        <v/>
      </c>
      <c r="AE229" s="10">
        <f>IF(P229="yes",AA229/1000,0)</f>
        <v/>
      </c>
      <c r="AF229" s="10">
        <f>IF(R229="FG2",AE229*W229,AE229)</f>
        <v/>
      </c>
    </row>
    <row r="230">
      <c r="A230" s="6" t="inlineStr">
        <is>
          <t>HM00228</t>
        </is>
      </c>
      <c r="B230" s="7" t="inlineStr">
        <is>
          <t>3012345402408</t>
        </is>
      </c>
      <c r="C230" s="6" t="inlineStr">
        <is>
          <t>HM HONEY MUSTARD PORK 400G</t>
        </is>
      </c>
      <c r="D230" s="6" t="inlineStr">
        <is>
          <t>Honey &amp; mustard pork steaks, 400g</t>
        </is>
      </c>
      <c r="E230" s="6" t="inlineStr">
        <is>
          <t>Harbour Market</t>
        </is>
      </c>
      <c r="F230" s="6" t="inlineStr">
        <is>
          <t>Fresh Meat &amp; Poultry</t>
        </is>
      </c>
      <c r="G230" s="6" t="inlineStr">
        <is>
          <t>BBQ &amp; Marinated</t>
        </is>
      </c>
      <c r="H230" s="6" t="inlineStr">
        <is>
          <t>yes</t>
        </is>
      </c>
      <c r="I230" s="6" t="inlineStr">
        <is>
          <t>Animal core</t>
        </is>
      </c>
      <c r="J230" s="6" t="inlineStr">
        <is>
          <t>B</t>
        </is>
      </c>
      <c r="K230" s="6" t="inlineStr">
        <is>
          <t>First ingredient (step 4a)</t>
        </is>
      </c>
      <c r="L230" s="6" t="n">
        <v>15.4</v>
      </c>
      <c r="M230" s="6" t="inlineStr">
        <is>
          <t>Declared by the retailer</t>
        </is>
      </c>
      <c r="N230" s="6" t="n">
        <v>0</v>
      </c>
      <c r="O230" s="6" t="n">
        <v>15.4</v>
      </c>
      <c r="P230" s="6" t="inlineStr">
        <is>
          <t>yes</t>
        </is>
      </c>
      <c r="Q230" s="6" t="inlineStr">
        <is>
          <t>whole</t>
        </is>
      </c>
      <c r="R230" s="6" t="inlineStr">
        <is>
          <t>FG1</t>
        </is>
      </c>
      <c r="S230" s="6" t="inlineStr">
        <is>
          <t>red meat</t>
        </is>
      </c>
      <c r="T230" s="6" t="inlineStr">
        <is>
          <t>animal</t>
        </is>
      </c>
      <c r="U230" s="6" t="n"/>
      <c r="V230" s="6" t="n"/>
      <c r="W230" s="6" t="n">
        <v>1</v>
      </c>
      <c r="X230" s="6" t="n">
        <v>0.4</v>
      </c>
      <c r="Y230" s="6" t="inlineStr">
        <is>
          <t>declared</t>
        </is>
      </c>
      <c r="Z230" s="8" t="n">
        <v>20067</v>
      </c>
      <c r="AA230" s="9">
        <f>IF(H230="yes",Z230*X230,0)</f>
        <v/>
      </c>
      <c r="AB230" s="9">
        <f>IF(H230="yes",AA230*N(L230)/100,0)</f>
        <v/>
      </c>
      <c r="AC230" s="9">
        <f>IF(H230="yes",AA230*N(N230)/100,0)</f>
        <v/>
      </c>
      <c r="AD230" s="9">
        <f>IF(H230="yes",AA230*N(O230)/100,0)</f>
        <v/>
      </c>
      <c r="AE230" s="10">
        <f>IF(P230="yes",AA230/1000,0)</f>
        <v/>
      </c>
      <c r="AF230" s="10">
        <f>IF(R230="FG2",AE230*W230,AE230)</f>
        <v/>
      </c>
    </row>
    <row r="231">
      <c r="A231" s="6" t="inlineStr">
        <is>
          <t>HM00229</t>
        </is>
      </c>
      <c r="B231" s="7" t="inlineStr">
        <is>
          <t>3012345445665</t>
        </is>
      </c>
      <c r="C231" s="6" t="inlineStr">
        <is>
          <t>HM ORANGE JUICE SMOOTH 1.75L</t>
        </is>
      </c>
      <c r="D231" s="6" t="inlineStr">
        <is>
          <t>Smooth orange juice, 1.75l</t>
        </is>
      </c>
      <c r="E231" s="6" t="inlineStr">
        <is>
          <t>Harbour Market</t>
        </is>
      </c>
      <c r="F231" s="6" t="inlineStr">
        <is>
          <t>Soft Drinks &amp; Water</t>
        </is>
      </c>
      <c r="G231" s="6" t="inlineStr">
        <is>
          <t>Juice</t>
        </is>
      </c>
      <c r="H231" s="6" t="inlineStr">
        <is>
          <t>yes</t>
        </is>
      </c>
      <c r="I231" s="6" t="inlineStr">
        <is>
          <t>Plant-based non-core</t>
        </is>
      </c>
      <c r="J231" s="6" t="inlineStr">
        <is>
          <t>A</t>
        </is>
      </c>
      <c r="K231" s="6" t="inlineStr">
        <is>
          <t>All ingredients on one side</t>
        </is>
      </c>
      <c r="L231" s="6" t="n">
        <v>0.74</v>
      </c>
      <c r="M231" s="6" t="inlineStr">
        <is>
          <t>Name match (CIQUAL / NEVO)</t>
        </is>
      </c>
      <c r="N231" s="6" t="n">
        <v>0.74</v>
      </c>
      <c r="O231" s="6" t="n">
        <v>0</v>
      </c>
      <c r="P231" s="6" t="inlineStr">
        <is>
          <t>no</t>
        </is>
      </c>
      <c r="Q231" s="6" t="n"/>
      <c r="R231" s="6" t="n"/>
      <c r="S231" s="6" t="n"/>
      <c r="T231" s="6" t="n"/>
      <c r="U231" s="6" t="n"/>
      <c r="V231" s="6" t="inlineStr">
        <is>
          <t>beverage</t>
        </is>
      </c>
      <c r="W231" s="6" t="n">
        <v>1</v>
      </c>
      <c r="X231" s="6" t="n">
        <v>1.82</v>
      </c>
      <c r="Y231" s="6" t="inlineStr">
        <is>
          <t>declared</t>
        </is>
      </c>
      <c r="Z231" s="8" t="n">
        <v>18184</v>
      </c>
      <c r="AA231" s="9">
        <f>IF(H231="yes",Z231*X231,0)</f>
        <v/>
      </c>
      <c r="AB231" s="9">
        <f>IF(H231="yes",AA231*N(L231)/100,0)</f>
        <v/>
      </c>
      <c r="AC231" s="9">
        <f>IF(H231="yes",AA231*N(N231)/100,0)</f>
        <v/>
      </c>
      <c r="AD231" s="9">
        <f>IF(H231="yes",AA231*N(O231)/100,0)</f>
        <v/>
      </c>
      <c r="AE231" s="10">
        <f>IF(P231="yes",AA231/1000,0)</f>
        <v/>
      </c>
      <c r="AF231" s="10">
        <f>IF(R231="FG2",AE231*W231,AE231)</f>
        <v/>
      </c>
    </row>
    <row r="232">
      <c r="A232" s="6" t="inlineStr">
        <is>
          <t>HM00230</t>
        </is>
      </c>
      <c r="B232" s="7" t="inlineStr">
        <is>
          <t>5012345538785</t>
        </is>
      </c>
      <c r="C232" s="6" t="inlineStr">
        <is>
          <t>HM TUNA STEAK OLV OIL 160G</t>
        </is>
      </c>
      <c r="D232" s="6" t="inlineStr">
        <is>
          <t>Tuna steak in olive oil, 160g</t>
        </is>
      </c>
      <c r="E232" s="6" t="inlineStr">
        <is>
          <t>Harbour Market</t>
        </is>
      </c>
      <c r="F232" s="6" t="inlineStr">
        <is>
          <t>Fish &amp; Seafood</t>
        </is>
      </c>
      <c r="G232" s="6" t="inlineStr">
        <is>
          <t>Canned Fish</t>
        </is>
      </c>
      <c r="H232" s="6" t="inlineStr">
        <is>
          <t>yes</t>
        </is>
      </c>
      <c r="I232" s="6" t="inlineStr">
        <is>
          <t>Animal core</t>
        </is>
      </c>
      <c r="J232" s="6" t="inlineStr">
        <is>
          <t>A</t>
        </is>
      </c>
      <c r="K232" s="6" t="inlineStr">
        <is>
          <t>All ingredients on one side</t>
        </is>
      </c>
      <c r="L232" s="6" t="n">
        <v>25.1</v>
      </c>
      <c r="M232" s="6" t="inlineStr">
        <is>
          <t>Declared by the retailer</t>
        </is>
      </c>
      <c r="N232" s="6" t="n">
        <v>0</v>
      </c>
      <c r="O232" s="6" t="n">
        <v>25.1</v>
      </c>
      <c r="P232" s="6" t="inlineStr">
        <is>
          <t>yes</t>
        </is>
      </c>
      <c r="Q232" s="6" t="inlineStr">
        <is>
          <t>whole</t>
        </is>
      </c>
      <c r="R232" s="6" t="inlineStr">
        <is>
          <t>FG1</t>
        </is>
      </c>
      <c r="S232" s="6" t="inlineStr">
        <is>
          <t>fish shellfish</t>
        </is>
      </c>
      <c r="T232" s="6" t="inlineStr">
        <is>
          <t>animal</t>
        </is>
      </c>
      <c r="U232" s="6" t="n"/>
      <c r="V232" s="6" t="n"/>
      <c r="W232" s="6" t="n">
        <v>1</v>
      </c>
      <c r="X232" s="6" t="n">
        <v>0.16</v>
      </c>
      <c r="Y232" s="6" t="inlineStr">
        <is>
          <t>label</t>
        </is>
      </c>
      <c r="Z232" s="8" t="n">
        <v>25683</v>
      </c>
      <c r="AA232" s="9">
        <f>IF(H232="yes",Z232*X232,0)</f>
        <v/>
      </c>
      <c r="AB232" s="9">
        <f>IF(H232="yes",AA232*N(L232)/100,0)</f>
        <v/>
      </c>
      <c r="AC232" s="9">
        <f>IF(H232="yes",AA232*N(N232)/100,0)</f>
        <v/>
      </c>
      <c r="AD232" s="9">
        <f>IF(H232="yes",AA232*N(O232)/100,0)</f>
        <v/>
      </c>
      <c r="AE232" s="10">
        <f>IF(P232="yes",AA232/1000,0)</f>
        <v/>
      </c>
      <c r="AF232" s="10">
        <f>IF(R232="FG2",AE232*W232,AE232)</f>
        <v/>
      </c>
    </row>
    <row r="233">
      <c r="A233" s="6" t="inlineStr">
        <is>
          <t>HM00231</t>
        </is>
      </c>
      <c r="B233" s="7" t="inlineStr">
        <is>
          <t>2833803580080</t>
        </is>
      </c>
      <c r="C233" s="6" t="inlineStr">
        <is>
          <t>HM CHERRY TOMATOES KG</t>
        </is>
      </c>
      <c r="D233" s="6" t="inlineStr">
        <is>
          <t>Cherry tomatoes</t>
        </is>
      </c>
      <c r="E233" s="6" t="inlineStr">
        <is>
          <t>Harbour Market</t>
        </is>
      </c>
      <c r="F233" s="6" t="inlineStr">
        <is>
          <t>Fruit &amp; Vegetables</t>
        </is>
      </c>
      <c r="G233" s="6" t="inlineStr">
        <is>
          <t>Vegetables</t>
        </is>
      </c>
      <c r="H233" s="6" t="inlineStr">
        <is>
          <t>yes</t>
        </is>
      </c>
      <c r="I233" s="6" t="inlineStr">
        <is>
          <t>Plant-based non-core</t>
        </is>
      </c>
      <c r="J233" s="6" t="inlineStr">
        <is>
          <t>B</t>
        </is>
      </c>
      <c r="K233" s="6" t="inlineStr">
        <is>
          <t>Follows the class</t>
        </is>
      </c>
      <c r="L233" s="6" t="n">
        <v>0.85</v>
      </c>
      <c r="M233" s="6" t="inlineStr">
        <is>
          <t>Declared by the retailer</t>
        </is>
      </c>
      <c r="N233" s="6" t="n">
        <v>0.85</v>
      </c>
      <c r="O233" s="6" t="n">
        <v>0</v>
      </c>
      <c r="P233" s="6" t="inlineStr">
        <is>
          <t>yes</t>
        </is>
      </c>
      <c r="Q233" s="6" t="inlineStr">
        <is>
          <t>whole</t>
        </is>
      </c>
      <c r="R233" s="6" t="inlineStr">
        <is>
          <t>FG4</t>
        </is>
      </c>
      <c r="S233" s="6" t="n"/>
      <c r="T233" s="6" t="inlineStr">
        <is>
          <t>plant</t>
        </is>
      </c>
      <c r="U233" s="6" t="n"/>
      <c r="V233" s="6" t="n"/>
      <c r="W233" s="6" t="n">
        <v>1</v>
      </c>
      <c r="X233" s="6" t="n">
        <v>1</v>
      </c>
      <c r="Y233" s="6" t="inlineStr">
        <is>
          <t>variable</t>
        </is>
      </c>
      <c r="Z233" s="8" t="n">
        <v>29562</v>
      </c>
      <c r="AA233" s="9">
        <f>IF(H233="yes",Z233*X233,0)</f>
        <v/>
      </c>
      <c r="AB233" s="9">
        <f>IF(H233="yes",AA233*N(L233)/100,0)</f>
        <v/>
      </c>
      <c r="AC233" s="9">
        <f>IF(H233="yes",AA233*N(N233)/100,0)</f>
        <v/>
      </c>
      <c r="AD233" s="9">
        <f>IF(H233="yes",AA233*N(O233)/100,0)</f>
        <v/>
      </c>
      <c r="AE233" s="10">
        <f>IF(P233="yes",AA233/1000,0)</f>
        <v/>
      </c>
      <c r="AF233" s="10">
        <f>IF(R233="FG2",AE233*W233,AE233)</f>
        <v/>
      </c>
    </row>
    <row r="234">
      <c r="A234" s="6" t="inlineStr">
        <is>
          <t>HM00232</t>
        </is>
      </c>
      <c r="B234" s="7" t="inlineStr">
        <is>
          <t>5012345764474</t>
        </is>
      </c>
      <c r="C234" s="6" t="inlineStr">
        <is>
          <t>KESTREL SALMON FLT SKIN ON 240G</t>
        </is>
      </c>
      <c r="D234" s="6" t="inlineStr">
        <is>
          <t>Salmon fillets, skin on, 240g</t>
        </is>
      </c>
      <c r="E234" s="6" t="inlineStr">
        <is>
          <t>Kestrel Bay</t>
        </is>
      </c>
      <c r="F234" s="6" t="inlineStr">
        <is>
          <t>Fish &amp; Seafood</t>
        </is>
      </c>
      <c r="G234" s="6" t="inlineStr">
        <is>
          <t>Fresh Fish</t>
        </is>
      </c>
      <c r="H234" s="6" t="inlineStr">
        <is>
          <t>yes</t>
        </is>
      </c>
      <c r="I234" s="6" t="inlineStr">
        <is>
          <t>Animal core</t>
        </is>
      </c>
      <c r="J234" s="6" t="inlineStr">
        <is>
          <t>A</t>
        </is>
      </c>
      <c r="K234" s="6" t="inlineStr">
        <is>
          <t>All ingredients on one side</t>
        </is>
      </c>
      <c r="L234" s="6" t="n">
        <v>20.4</v>
      </c>
      <c r="M234" s="6" t="inlineStr">
        <is>
          <t>Declared by the retailer</t>
        </is>
      </c>
      <c r="N234" s="6" t="n">
        <v>0</v>
      </c>
      <c r="O234" s="6" t="n">
        <v>20.4</v>
      </c>
      <c r="P234" s="6" t="inlineStr">
        <is>
          <t>yes</t>
        </is>
      </c>
      <c r="Q234" s="6" t="inlineStr">
        <is>
          <t>whole</t>
        </is>
      </c>
      <c r="R234" s="6" t="inlineStr">
        <is>
          <t>FG1</t>
        </is>
      </c>
      <c r="S234" s="6" t="inlineStr">
        <is>
          <t>fish shellfish</t>
        </is>
      </c>
      <c r="T234" s="6" t="inlineStr">
        <is>
          <t>animal</t>
        </is>
      </c>
      <c r="U234" s="6" t="n"/>
      <c r="V234" s="6" t="n"/>
      <c r="W234" s="6" t="n">
        <v>1</v>
      </c>
      <c r="X234" s="6" t="n">
        <v>0.24</v>
      </c>
      <c r="Y234" s="6" t="inlineStr">
        <is>
          <t>declared</t>
        </is>
      </c>
      <c r="Z234" s="8" t="n">
        <v>51200</v>
      </c>
      <c r="AA234" s="9">
        <f>IF(H234="yes",Z234*X234,0)</f>
        <v/>
      </c>
      <c r="AB234" s="9">
        <f>IF(H234="yes",AA234*N(L234)/100,0)</f>
        <v/>
      </c>
      <c r="AC234" s="9">
        <f>IF(H234="yes",AA234*N(N234)/100,0)</f>
        <v/>
      </c>
      <c r="AD234" s="9">
        <f>IF(H234="yes",AA234*N(O234)/100,0)</f>
        <v/>
      </c>
      <c r="AE234" s="10">
        <f>IF(P234="yes",AA234/1000,0)</f>
        <v/>
      </c>
      <c r="AF234" s="10">
        <f>IF(R234="FG2",AE234*W234,AE234)</f>
        <v/>
      </c>
    </row>
    <row r="235">
      <c r="A235" s="6" t="inlineStr">
        <is>
          <t>HM00233</t>
        </is>
      </c>
      <c r="B235" s="7" t="inlineStr">
        <is>
          <t>4012345622447</t>
        </is>
      </c>
      <c r="C235" s="6" t="inlineStr">
        <is>
          <t>RAW KING PRAWNS 150G KESTREL</t>
        </is>
      </c>
      <c r="D235" s="6" t="inlineStr">
        <is>
          <t>Raw king prawns, 150g</t>
        </is>
      </c>
      <c r="E235" s="6" t="inlineStr">
        <is>
          <t>Kestrel Bay</t>
        </is>
      </c>
      <c r="F235" s="6" t="inlineStr">
        <is>
          <t>Fish &amp; Seafood</t>
        </is>
      </c>
      <c r="G235" s="6" t="inlineStr">
        <is>
          <t>Shellfish</t>
        </is>
      </c>
      <c r="H235" s="6" t="inlineStr">
        <is>
          <t>yes</t>
        </is>
      </c>
      <c r="I235" s="6" t="inlineStr">
        <is>
          <t>Animal core</t>
        </is>
      </c>
      <c r="J235" s="6" t="inlineStr">
        <is>
          <t>B</t>
        </is>
      </c>
      <c r="K235" s="6" t="inlineStr">
        <is>
          <t>Follows the class</t>
        </is>
      </c>
      <c r="L235" s="6" t="n">
        <v>17.6</v>
      </c>
      <c r="M235" s="6" t="inlineStr">
        <is>
          <t>Open Food Facts, by EAN</t>
        </is>
      </c>
      <c r="N235" s="6" t="n">
        <v>0</v>
      </c>
      <c r="O235" s="6" t="n">
        <v>17.6</v>
      </c>
      <c r="P235" s="6" t="inlineStr">
        <is>
          <t>yes</t>
        </is>
      </c>
      <c r="Q235" s="6" t="inlineStr">
        <is>
          <t>whole</t>
        </is>
      </c>
      <c r="R235" s="6" t="inlineStr">
        <is>
          <t>FG1</t>
        </is>
      </c>
      <c r="S235" s="6" t="inlineStr">
        <is>
          <t>fish shellfish</t>
        </is>
      </c>
      <c r="T235" s="6" t="inlineStr">
        <is>
          <t>animal</t>
        </is>
      </c>
      <c r="U235" s="6" t="n"/>
      <c r="V235" s="6" t="n"/>
      <c r="W235" s="6" t="n">
        <v>1</v>
      </c>
      <c r="X235" s="6" t="n">
        <v>0.15</v>
      </c>
      <c r="Y235" s="6" t="inlineStr">
        <is>
          <t>declared</t>
        </is>
      </c>
      <c r="Z235" s="8" t="n">
        <v>6127</v>
      </c>
      <c r="AA235" s="9">
        <f>IF(H235="yes",Z235*X235,0)</f>
        <v/>
      </c>
      <c r="AB235" s="9">
        <f>IF(H235="yes",AA235*N(L235)/100,0)</f>
        <v/>
      </c>
      <c r="AC235" s="9">
        <f>IF(H235="yes",AA235*N(N235)/100,0)</f>
        <v/>
      </c>
      <c r="AD235" s="9">
        <f>IF(H235="yes",AA235*N(O235)/100,0)</f>
        <v/>
      </c>
      <c r="AE235" s="10">
        <f>IF(P235="yes",AA235/1000,0)</f>
        <v/>
      </c>
      <c r="AF235" s="10">
        <f>IF(R235="FG2",AE235*W235,AE235)</f>
        <v/>
      </c>
    </row>
    <row r="236">
      <c r="A236" s="6" t="inlineStr">
        <is>
          <t>HM00234</t>
        </is>
      </c>
      <c r="B236" s="7" t="inlineStr">
        <is>
          <t>8712345036478</t>
        </is>
      </c>
      <c r="C236" s="6" t="inlineStr">
        <is>
          <t>HM BIRTHDAY CANDLES 4PK</t>
        </is>
      </c>
      <c r="D236" s="6" t="inlineStr">
        <is>
          <t>Birthday candles, 4pk</t>
        </is>
      </c>
      <c r="E236" s="6" t="inlineStr">
        <is>
          <t>Harbour Market</t>
        </is>
      </c>
      <c r="F236" s="6" t="inlineStr">
        <is>
          <t>Household</t>
        </is>
      </c>
      <c r="G236" s="6" t="inlineStr">
        <is>
          <t>Household</t>
        </is>
      </c>
      <c r="H236" s="6" t="inlineStr">
        <is>
          <t>no</t>
        </is>
      </c>
      <c r="I236" s="6" t="n"/>
      <c r="J236" s="6" t="n"/>
      <c r="K236" s="6" t="n"/>
      <c r="L236" s="6" t="n"/>
      <c r="M236" s="6" t="n"/>
      <c r="N236" s="6" t="n"/>
      <c r="O236" s="6" t="n"/>
      <c r="P236" s="6" t="inlineStr">
        <is>
          <t>no</t>
        </is>
      </c>
      <c r="Q236" s="6" t="n"/>
      <c r="R236" s="6" t="n"/>
      <c r="S236" s="6" t="n"/>
      <c r="T236" s="6" t="n"/>
      <c r="U236" s="6" t="n"/>
      <c r="V236" s="6" t="n"/>
      <c r="W236" s="6" t="n">
        <v>1</v>
      </c>
      <c r="X236" s="6" t="n">
        <v>0.5</v>
      </c>
      <c r="Y236" s="6" t="inlineStr">
        <is>
          <t>declared</t>
        </is>
      </c>
      <c r="Z236" s="8" t="n">
        <v>2733</v>
      </c>
      <c r="AA236" s="9">
        <f>IF(H236="yes",Z236*X236,0)</f>
        <v/>
      </c>
      <c r="AB236" s="9">
        <f>IF(H236="yes",AA236*N(L236)/100,0)</f>
        <v/>
      </c>
      <c r="AC236" s="9">
        <f>IF(H236="yes",AA236*N(N236)/100,0)</f>
        <v/>
      </c>
      <c r="AD236" s="9">
        <f>IF(H236="yes",AA236*N(O236)/100,0)</f>
        <v/>
      </c>
      <c r="AE236" s="10">
        <f>IF(P236="yes",AA236/1000,0)</f>
        <v/>
      </c>
      <c r="AF236" s="10">
        <f>IF(R236="FG2",AE236*W236,AE236)</f>
        <v/>
      </c>
    </row>
    <row r="237">
      <c r="A237" s="6" t="inlineStr">
        <is>
          <t>HM00235</t>
        </is>
      </c>
      <c r="B237" s="7" t="inlineStr">
        <is>
          <t>3012345634410</t>
        </is>
      </c>
      <c r="C237" s="6" t="inlineStr">
        <is>
          <t>HM BAKED BEANS TOM SCE 410G</t>
        </is>
      </c>
      <c r="D237" s="6" t="inlineStr">
        <is>
          <t>Baked beans in tomato sauce, 410g</t>
        </is>
      </c>
      <c r="E237" s="6" t="inlineStr">
        <is>
          <t>Harbour Market</t>
        </is>
      </c>
      <c r="F237" s="6" t="inlineStr">
        <is>
          <t>Grocery</t>
        </is>
      </c>
      <c r="G237" s="6" t="inlineStr">
        <is>
          <t>Pulses</t>
        </is>
      </c>
      <c r="H237" s="6" t="inlineStr">
        <is>
          <t>yes</t>
        </is>
      </c>
      <c r="I237" s="6" t="inlineStr">
        <is>
          <t>Plant-based core</t>
        </is>
      </c>
      <c r="J237" s="6" t="inlineStr">
        <is>
          <t>A</t>
        </is>
      </c>
      <c r="K237" s="6" t="inlineStr">
        <is>
          <t>All ingredients on one side</t>
        </is>
      </c>
      <c r="L237" s="6" t="n">
        <v>4.8</v>
      </c>
      <c r="M237" s="6" t="inlineStr">
        <is>
          <t>Name match (CIQUAL / NEVO)</t>
        </is>
      </c>
      <c r="N237" s="6" t="n">
        <v>4.8</v>
      </c>
      <c r="O237" s="6" t="n">
        <v>0</v>
      </c>
      <c r="P237" s="6" t="inlineStr">
        <is>
          <t>yes</t>
        </is>
      </c>
      <c r="Q237" s="6" t="inlineStr">
        <is>
          <t>whole</t>
        </is>
      </c>
      <c r="R237" s="6" t="inlineStr">
        <is>
          <t>FG1</t>
        </is>
      </c>
      <c r="S237" s="6" t="inlineStr">
        <is>
          <t>pulses</t>
        </is>
      </c>
      <c r="T237" s="6" t="inlineStr">
        <is>
          <t>plant</t>
        </is>
      </c>
      <c r="U237" s="6" t="n"/>
      <c r="V237" s="6" t="n"/>
      <c r="W237" s="6" t="n">
        <v>1</v>
      </c>
      <c r="X237" s="6" t="n">
        <v>0.41</v>
      </c>
      <c r="Y237" s="6" t="inlineStr">
        <is>
          <t>declared</t>
        </is>
      </c>
      <c r="Z237" s="8" t="n">
        <v>7972</v>
      </c>
      <c r="AA237" s="9">
        <f>IF(H237="yes",Z237*X237,0)</f>
        <v/>
      </c>
      <c r="AB237" s="9">
        <f>IF(H237="yes",AA237*N(L237)/100,0)</f>
        <v/>
      </c>
      <c r="AC237" s="9">
        <f>IF(H237="yes",AA237*N(N237)/100,0)</f>
        <v/>
      </c>
      <c r="AD237" s="9">
        <f>IF(H237="yes",AA237*N(O237)/100,0)</f>
        <v/>
      </c>
      <c r="AE237" s="10">
        <f>IF(P237="yes",AA237/1000,0)</f>
        <v/>
      </c>
      <c r="AF237" s="10">
        <f>IF(R237="FG2",AE237*W237,AE237)</f>
        <v/>
      </c>
    </row>
    <row r="238">
      <c r="A238" s="6" t="inlineStr">
        <is>
          <t>HM00236</t>
        </is>
      </c>
      <c r="B238" s="7" t="inlineStr">
        <is>
          <t>8712345471293</t>
        </is>
      </c>
      <c r="C238" s="6" t="inlineStr">
        <is>
          <t>HM WHLWHT PENNE 1KG</t>
        </is>
      </c>
      <c r="D238" s="6" t="inlineStr">
        <is>
          <t>Wholewheat penne, 1kg</t>
        </is>
      </c>
      <c r="E238" s="6" t="inlineStr">
        <is>
          <t>Harbour Market</t>
        </is>
      </c>
      <c r="F238" s="6" t="inlineStr">
        <is>
          <t>Grocery</t>
        </is>
      </c>
      <c r="G238" s="6" t="inlineStr">
        <is>
          <t>Pasta</t>
        </is>
      </c>
      <c r="H238" s="6" t="inlineStr">
        <is>
          <t>yes</t>
        </is>
      </c>
      <c r="I238" s="6" t="inlineStr">
        <is>
          <t>Plant-based non-core</t>
        </is>
      </c>
      <c r="J238" s="6" t="inlineStr">
        <is>
          <t>A</t>
        </is>
      </c>
      <c r="K238" s="6" t="inlineStr">
        <is>
          <t>All ingredients on one side</t>
        </is>
      </c>
      <c r="L238" s="6" t="n">
        <v>13.8</v>
      </c>
      <c r="M238" s="6" t="inlineStr">
        <is>
          <t>Declared by the retailer</t>
        </is>
      </c>
      <c r="N238" s="6" t="n">
        <v>13.8</v>
      </c>
      <c r="O238" s="6" t="n">
        <v>0</v>
      </c>
      <c r="P238" s="6" t="inlineStr">
        <is>
          <t>yes</t>
        </is>
      </c>
      <c r="Q238" s="6" t="inlineStr">
        <is>
          <t>whole</t>
        </is>
      </c>
      <c r="R238" s="6" t="inlineStr">
        <is>
          <t>FG5</t>
        </is>
      </c>
      <c r="S238" s="6" t="inlineStr">
        <is>
          <t>whole grain</t>
        </is>
      </c>
      <c r="T238" s="6" t="inlineStr">
        <is>
          <t>plant</t>
        </is>
      </c>
      <c r="U238" s="6" t="n"/>
      <c r="V238" s="6" t="n"/>
      <c r="W238" s="6" t="n">
        <v>1</v>
      </c>
      <c r="X238" s="6" t="n">
        <v>1</v>
      </c>
      <c r="Y238" s="6" t="inlineStr">
        <is>
          <t>declared</t>
        </is>
      </c>
      <c r="Z238" s="8" t="n">
        <v>27687</v>
      </c>
      <c r="AA238" s="9">
        <f>IF(H238="yes",Z238*X238,0)</f>
        <v/>
      </c>
      <c r="AB238" s="9">
        <f>IF(H238="yes",AA238*N(L238)/100,0)</f>
        <v/>
      </c>
      <c r="AC238" s="9">
        <f>IF(H238="yes",AA238*N(N238)/100,0)</f>
        <v/>
      </c>
      <c r="AD238" s="9">
        <f>IF(H238="yes",AA238*N(O238)/100,0)</f>
        <v/>
      </c>
      <c r="AE238" s="10">
        <f>IF(P238="yes",AA238/1000,0)</f>
        <v/>
      </c>
      <c r="AF238" s="10">
        <f>IF(R238="FG2",AE238*W238,AE238)</f>
        <v/>
      </c>
    </row>
    <row r="239">
      <c r="A239" s="6" t="inlineStr">
        <is>
          <t>HM00237</t>
        </is>
      </c>
      <c r="B239" s="7" t="inlineStr">
        <is>
          <t>8712345209193</t>
        </is>
      </c>
      <c r="C239" s="6" t="inlineStr">
        <is>
          <t>PEPPERONI SLICES 100G CASTELNA</t>
        </is>
      </c>
      <c r="D239" s="6" t="inlineStr">
        <is>
          <t>Pepperoni slices, 100g</t>
        </is>
      </c>
      <c r="E239" s="6" t="inlineStr">
        <is>
          <t>Castelna</t>
        </is>
      </c>
      <c r="F239" s="6" t="inlineStr">
        <is>
          <t>Deli</t>
        </is>
      </c>
      <c r="G239" s="6" t="inlineStr">
        <is>
          <t>Cured Meats</t>
        </is>
      </c>
      <c r="H239" s="6" t="inlineStr">
        <is>
          <t>yes</t>
        </is>
      </c>
      <c r="I239" s="6" t="inlineStr">
        <is>
          <t>Animal core</t>
        </is>
      </c>
      <c r="J239" s="6" t="inlineStr">
        <is>
          <t>A</t>
        </is>
      </c>
      <c r="K239" s="6" t="inlineStr">
        <is>
          <t>All ingredients on one side</t>
        </is>
      </c>
      <c r="L239" s="6" t="n">
        <v>24.8</v>
      </c>
      <c r="M239" s="6" t="inlineStr">
        <is>
          <t>Declared by the retailer</t>
        </is>
      </c>
      <c r="N239" s="6" t="n">
        <v>0</v>
      </c>
      <c r="O239" s="6" t="n">
        <v>24.8</v>
      </c>
      <c r="P239" s="6" t="inlineStr">
        <is>
          <t>yes</t>
        </is>
      </c>
      <c r="Q239" s="6" t="inlineStr">
        <is>
          <t>whole</t>
        </is>
      </c>
      <c r="R239" s="6" t="inlineStr">
        <is>
          <t>FG1</t>
        </is>
      </c>
      <c r="S239" s="6" t="inlineStr">
        <is>
          <t>red meat</t>
        </is>
      </c>
      <c r="T239" s="6" t="inlineStr">
        <is>
          <t>animal</t>
        </is>
      </c>
      <c r="U239" s="6" t="n"/>
      <c r="V239" s="6" t="n"/>
      <c r="W239" s="6" t="n">
        <v>1</v>
      </c>
      <c r="X239" s="6" t="n">
        <v>0.1</v>
      </c>
      <c r="Y239" s="6" t="inlineStr">
        <is>
          <t>declared</t>
        </is>
      </c>
      <c r="Z239" s="8" t="n">
        <v>15800</v>
      </c>
      <c r="AA239" s="9">
        <f>IF(H239="yes",Z239*X239,0)</f>
        <v/>
      </c>
      <c r="AB239" s="9">
        <f>IF(H239="yes",AA239*N(L239)/100,0)</f>
        <v/>
      </c>
      <c r="AC239" s="9">
        <f>IF(H239="yes",AA239*N(N239)/100,0)</f>
        <v/>
      </c>
      <c r="AD239" s="9">
        <f>IF(H239="yes",AA239*N(O239)/100,0)</f>
        <v/>
      </c>
      <c r="AE239" s="10">
        <f>IF(P239="yes",AA239/1000,0)</f>
        <v/>
      </c>
      <c r="AF239" s="10">
        <f>IF(R239="FG2",AE239*W239,AE239)</f>
        <v/>
      </c>
    </row>
    <row r="240">
      <c r="A240" s="6" t="inlineStr">
        <is>
          <t>HM00238</t>
        </is>
      </c>
      <c r="B240" s="7" t="inlineStr">
        <is>
          <t>8712345043087</t>
        </is>
      </c>
      <c r="C240" s="6" t="inlineStr">
        <is>
          <t>HM WHITE SLICED THICK 250G</t>
        </is>
      </c>
      <c r="D240" s="6" t="inlineStr">
        <is>
          <t>Thick sliced white bread, 250g</t>
        </is>
      </c>
      <c r="E240" s="6" t="inlineStr">
        <is>
          <t>Harbour Market</t>
        </is>
      </c>
      <c r="F240" s="6" t="inlineStr">
        <is>
          <t>Bakery</t>
        </is>
      </c>
      <c r="G240" s="6" t="inlineStr">
        <is>
          <t>Bread</t>
        </is>
      </c>
      <c r="H240" s="6" t="inlineStr">
        <is>
          <t>yes</t>
        </is>
      </c>
      <c r="I240" s="6" t="inlineStr">
        <is>
          <t>Plant-based non-core</t>
        </is>
      </c>
      <c r="J240" s="6" t="inlineStr">
        <is>
          <t>B</t>
        </is>
      </c>
      <c r="K240" s="6" t="inlineStr">
        <is>
          <t>Follows the class</t>
        </is>
      </c>
      <c r="L240" s="6" t="n">
        <v>8.199999999999999</v>
      </c>
      <c r="M240" s="6" t="inlineStr">
        <is>
          <t>Declared by the retailer</t>
        </is>
      </c>
      <c r="N240" s="6" t="n">
        <v>8.199999999999999</v>
      </c>
      <c r="O240" s="6" t="n">
        <v>0</v>
      </c>
      <c r="P240" s="6" t="inlineStr">
        <is>
          <t>yes</t>
        </is>
      </c>
      <c r="Q240" s="6" t="inlineStr">
        <is>
          <t>whole</t>
        </is>
      </c>
      <c r="R240" s="6" t="inlineStr">
        <is>
          <t>FG5</t>
        </is>
      </c>
      <c r="S240" s="6" t="inlineStr">
        <is>
          <t>refined grain</t>
        </is>
      </c>
      <c r="T240" s="6" t="inlineStr">
        <is>
          <t>plant</t>
        </is>
      </c>
      <c r="U240" s="6" t="n"/>
      <c r="V240" s="6" t="n"/>
      <c r="W240" s="6" t="n">
        <v>1</v>
      </c>
      <c r="X240" s="6" t="n">
        <v>0.25</v>
      </c>
      <c r="Y240" s="6" t="inlineStr">
        <is>
          <t>declared</t>
        </is>
      </c>
      <c r="Z240" s="8" t="n">
        <v>132822</v>
      </c>
      <c r="AA240" s="9">
        <f>IF(H240="yes",Z240*X240,0)</f>
        <v/>
      </c>
      <c r="AB240" s="9">
        <f>IF(H240="yes",AA240*N(L240)/100,0)</f>
        <v/>
      </c>
      <c r="AC240" s="9">
        <f>IF(H240="yes",AA240*N(N240)/100,0)</f>
        <v/>
      </c>
      <c r="AD240" s="9">
        <f>IF(H240="yes",AA240*N(O240)/100,0)</f>
        <v/>
      </c>
      <c r="AE240" s="10">
        <f>IF(P240="yes",AA240/1000,0)</f>
        <v/>
      </c>
      <c r="AF240" s="10">
        <f>IF(R240="FG2",AE240*W240,AE240)</f>
        <v/>
      </c>
    </row>
    <row r="241">
      <c r="A241" s="6" t="inlineStr">
        <is>
          <t>HM00239</t>
        </is>
      </c>
      <c r="B241" s="7" t="inlineStr">
        <is>
          <t>8712345661670</t>
        </is>
      </c>
      <c r="C241" s="6" t="inlineStr">
        <is>
          <t>HM OAT DRINK BARISTA 6X1L</t>
        </is>
      </c>
      <c r="D241" s="6" t="inlineStr">
        <is>
          <t>Oat drink, barista edition, 6x1l</t>
        </is>
      </c>
      <c r="E241" s="6" t="inlineStr">
        <is>
          <t>Harbour Market</t>
        </is>
      </c>
      <c r="F241" s="6" t="inlineStr">
        <is>
          <t>Plant-Based</t>
        </is>
      </c>
      <c r="G241" s="6" t="inlineStr">
        <is>
          <t>Plant Drinks</t>
        </is>
      </c>
      <c r="H241" s="6" t="inlineStr">
        <is>
          <t>yes</t>
        </is>
      </c>
      <c r="I241" s="6" t="inlineStr">
        <is>
          <t>Plant-based core</t>
        </is>
      </c>
      <c r="J241" s="6" t="inlineStr">
        <is>
          <t>A</t>
        </is>
      </c>
      <c r="K241" s="6" t="inlineStr">
        <is>
          <t>All ingredients on one side</t>
        </is>
      </c>
      <c r="L241" s="6" t="n">
        <v>1</v>
      </c>
      <c r="M241" s="6" t="inlineStr">
        <is>
          <t>Declared by the retailer</t>
        </is>
      </c>
      <c r="N241" s="6" t="n">
        <v>1</v>
      </c>
      <c r="O241" s="6" t="n">
        <v>0</v>
      </c>
      <c r="P241" s="6" t="inlineStr">
        <is>
          <t>yes</t>
        </is>
      </c>
      <c r="Q241" s="6" t="inlineStr">
        <is>
          <t>whole</t>
        </is>
      </c>
      <c r="R241" s="6" t="inlineStr">
        <is>
          <t>FG2</t>
        </is>
      </c>
      <c r="S241" s="6" t="inlineStr">
        <is>
          <t>dairy alternatives</t>
        </is>
      </c>
      <c r="T241" s="6" t="inlineStr">
        <is>
          <t>plant</t>
        </is>
      </c>
      <c r="U241" s="6" t="n"/>
      <c r="V241" s="6" t="n"/>
      <c r="W241" s="6" t="n">
        <v>1</v>
      </c>
      <c r="X241" s="6" t="n">
        <v>6.18</v>
      </c>
      <c r="Y241" s="6" t="inlineStr">
        <is>
          <t>declared</t>
        </is>
      </c>
      <c r="Z241" s="8" t="n">
        <v>32103</v>
      </c>
      <c r="AA241" s="9">
        <f>IF(H241="yes",Z241*X241,0)</f>
        <v/>
      </c>
      <c r="AB241" s="9">
        <f>IF(H241="yes",AA241*N(L241)/100,0)</f>
        <v/>
      </c>
      <c r="AC241" s="9">
        <f>IF(H241="yes",AA241*N(N241)/100,0)</f>
        <v/>
      </c>
      <c r="AD241" s="9">
        <f>IF(H241="yes",AA241*N(O241)/100,0)</f>
        <v/>
      </c>
      <c r="AE241" s="10">
        <f>IF(P241="yes",AA241/1000,0)</f>
        <v/>
      </c>
      <c r="AF241" s="10">
        <f>IF(R241="FG2",AE241*W241,AE241)</f>
        <v/>
      </c>
    </row>
    <row r="242">
      <c r="A242" s="6" t="inlineStr">
        <is>
          <t>HM00240</t>
        </is>
      </c>
      <c r="B242" s="7" t="inlineStr">
        <is>
          <t>4012345037371</t>
        </is>
      </c>
      <c r="C242" s="6" t="inlineStr">
        <is>
          <t>HM SEA BASS FLT 4X125G</t>
        </is>
      </c>
      <c r="D242" s="6" t="inlineStr">
        <is>
          <t>Sea bass fillets, 4x125g</t>
        </is>
      </c>
      <c r="E242" s="6" t="inlineStr">
        <is>
          <t>Harbour Market</t>
        </is>
      </c>
      <c r="F242" s="6" t="inlineStr">
        <is>
          <t>Fish &amp; Seafood</t>
        </is>
      </c>
      <c r="G242" s="6" t="inlineStr">
        <is>
          <t>Fresh Fish</t>
        </is>
      </c>
      <c r="H242" s="6" t="inlineStr">
        <is>
          <t>yes</t>
        </is>
      </c>
      <c r="I242" s="6" t="inlineStr">
        <is>
          <t>Animal core</t>
        </is>
      </c>
      <c r="J242" s="6" t="inlineStr">
        <is>
          <t>A</t>
        </is>
      </c>
      <c r="K242" s="6" t="inlineStr">
        <is>
          <t>All ingredients on one side</t>
        </is>
      </c>
      <c r="L242" s="6" t="n">
        <v>19.7</v>
      </c>
      <c r="M242" s="6" t="inlineStr">
        <is>
          <t>Open Food Facts, by EAN</t>
        </is>
      </c>
      <c r="N242" s="6" t="n">
        <v>0</v>
      </c>
      <c r="O242" s="6" t="n">
        <v>19.7</v>
      </c>
      <c r="P242" s="6" t="inlineStr">
        <is>
          <t>yes</t>
        </is>
      </c>
      <c r="Q242" s="6" t="inlineStr">
        <is>
          <t>whole</t>
        </is>
      </c>
      <c r="R242" s="6" t="inlineStr">
        <is>
          <t>FG1</t>
        </is>
      </c>
      <c r="S242" s="6" t="inlineStr">
        <is>
          <t>fish shellfish</t>
        </is>
      </c>
      <c r="T242" s="6" t="inlineStr">
        <is>
          <t>animal</t>
        </is>
      </c>
      <c r="U242" s="6" t="n"/>
      <c r="V242" s="6" t="n"/>
      <c r="W242" s="6" t="n">
        <v>1</v>
      </c>
      <c r="X242" s="6" t="n">
        <v>0.5</v>
      </c>
      <c r="Y242" s="6" t="inlineStr">
        <is>
          <t>declared</t>
        </is>
      </c>
      <c r="Z242" s="8" t="n">
        <v>49189</v>
      </c>
      <c r="AA242" s="9">
        <f>IF(H242="yes",Z242*X242,0)</f>
        <v/>
      </c>
      <c r="AB242" s="9">
        <f>IF(H242="yes",AA242*N(L242)/100,0)</f>
        <v/>
      </c>
      <c r="AC242" s="9">
        <f>IF(H242="yes",AA242*N(N242)/100,0)</f>
        <v/>
      </c>
      <c r="AD242" s="9">
        <f>IF(H242="yes",AA242*N(O242)/100,0)</f>
        <v/>
      </c>
      <c r="AE242" s="10">
        <f>IF(P242="yes",AA242/1000,0)</f>
        <v/>
      </c>
      <c r="AF242" s="10">
        <f>IF(R242="FG2",AE242*W242,AE242)</f>
        <v/>
      </c>
    </row>
    <row r="243">
      <c r="A243" s="6" t="inlineStr">
        <is>
          <t>HM00241</t>
        </is>
      </c>
      <c r="B243" s="7" t="inlineStr">
        <is>
          <t>4012345070354</t>
        </is>
      </c>
      <c r="C243" s="6" t="inlineStr">
        <is>
          <t>ALDERWICK MATURE CHEDDAR 10SL 250G</t>
        </is>
      </c>
      <c r="D243" s="6" t="inlineStr">
        <is>
          <t>Mature cheddar, 10sl 250g</t>
        </is>
      </c>
      <c r="E243" s="6" t="inlineStr">
        <is>
          <t>Alderwick</t>
        </is>
      </c>
      <c r="F243" s="6" t="inlineStr">
        <is>
          <t>Cheese</t>
        </is>
      </c>
      <c r="G243" s="6" t="inlineStr">
        <is>
          <t>Hard Cheese</t>
        </is>
      </c>
      <c r="H243" s="6" t="inlineStr">
        <is>
          <t>yes</t>
        </is>
      </c>
      <c r="I243" s="6" t="inlineStr">
        <is>
          <t>Animal core</t>
        </is>
      </c>
      <c r="J243" s="6" t="inlineStr">
        <is>
          <t>A</t>
        </is>
      </c>
      <c r="K243" s="6" t="inlineStr">
        <is>
          <t>All ingredients on one side</t>
        </is>
      </c>
      <c r="L243" s="6" t="n">
        <v>25</v>
      </c>
      <c r="M243" s="6" t="inlineStr">
        <is>
          <t>Declared by the retailer</t>
        </is>
      </c>
      <c r="N243" s="6" t="n">
        <v>0</v>
      </c>
      <c r="O243" s="6" t="n">
        <v>25</v>
      </c>
      <c r="P243" s="6" t="inlineStr">
        <is>
          <t>yes</t>
        </is>
      </c>
      <c r="Q243" s="6" t="inlineStr">
        <is>
          <t>whole</t>
        </is>
      </c>
      <c r="R243" s="6" t="inlineStr">
        <is>
          <t>FG2</t>
        </is>
      </c>
      <c r="S243" s="6" t="inlineStr">
        <is>
          <t>dairy</t>
        </is>
      </c>
      <c r="T243" s="6" t="inlineStr">
        <is>
          <t>animal</t>
        </is>
      </c>
      <c r="U243" s="6" t="n"/>
      <c r="V243" s="6" t="n"/>
      <c r="W243" s="6" t="n">
        <v>10</v>
      </c>
      <c r="X243" s="6" t="n">
        <v>0.25</v>
      </c>
      <c r="Y243" s="6" t="inlineStr">
        <is>
          <t>declared</t>
        </is>
      </c>
      <c r="Z243" s="8" t="n">
        <v>13547</v>
      </c>
      <c r="AA243" s="9">
        <f>IF(H243="yes",Z243*X243,0)</f>
        <v/>
      </c>
      <c r="AB243" s="9">
        <f>IF(H243="yes",AA243*N(L243)/100,0)</f>
        <v/>
      </c>
      <c r="AC243" s="9">
        <f>IF(H243="yes",AA243*N(N243)/100,0)</f>
        <v/>
      </c>
      <c r="AD243" s="9">
        <f>IF(H243="yes",AA243*N(O243)/100,0)</f>
        <v/>
      </c>
      <c r="AE243" s="10">
        <f>IF(P243="yes",AA243/1000,0)</f>
        <v/>
      </c>
      <c r="AF243" s="10">
        <f>IF(R243="FG2",AE243*W243,AE243)</f>
        <v/>
      </c>
    </row>
    <row r="244">
      <c r="A244" s="6" t="inlineStr">
        <is>
          <t>HM00242</t>
        </is>
      </c>
      <c r="B244" s="7" t="inlineStr">
        <is>
          <t>8712345760045</t>
        </is>
      </c>
      <c r="C244" s="6" t="inlineStr">
        <is>
          <t>HM ORANGES 6PK</t>
        </is>
      </c>
      <c r="D244" s="6" t="inlineStr">
        <is>
          <t>Oranges, 6pk</t>
        </is>
      </c>
      <c r="E244" s="6" t="inlineStr">
        <is>
          <t>Harbour Market</t>
        </is>
      </c>
      <c r="F244" s="6" t="inlineStr">
        <is>
          <t>Fruit &amp; Vegetables</t>
        </is>
      </c>
      <c r="G244" s="6" t="inlineStr">
        <is>
          <t>Fruit</t>
        </is>
      </c>
      <c r="H244" s="6" t="inlineStr">
        <is>
          <t>yes</t>
        </is>
      </c>
      <c r="I244" s="6" t="inlineStr">
        <is>
          <t>Plant-based non-core</t>
        </is>
      </c>
      <c r="J244" s="6" t="inlineStr">
        <is>
          <t>B</t>
        </is>
      </c>
      <c r="K244" s="6" t="inlineStr">
        <is>
          <t>Follows the class</t>
        </is>
      </c>
      <c r="L244" s="6" t="n">
        <v>0.93</v>
      </c>
      <c r="M244" s="6" t="inlineStr">
        <is>
          <t>Median of the family</t>
        </is>
      </c>
      <c r="N244" s="6" t="n">
        <v>0.93</v>
      </c>
      <c r="O244" s="6" t="n">
        <v>0</v>
      </c>
      <c r="P244" s="6" t="inlineStr">
        <is>
          <t>yes</t>
        </is>
      </c>
      <c r="Q244" s="6" t="inlineStr">
        <is>
          <t>whole</t>
        </is>
      </c>
      <c r="R244" s="6" t="inlineStr">
        <is>
          <t>FG4</t>
        </is>
      </c>
      <c r="S244" s="6" t="n"/>
      <c r="T244" s="6" t="inlineStr">
        <is>
          <t>plant</t>
        </is>
      </c>
      <c r="U244" s="6" t="n"/>
      <c r="V244" s="6" t="n"/>
      <c r="W244" s="6" t="n">
        <v>1</v>
      </c>
      <c r="X244" s="6" t="n">
        <v>0.9</v>
      </c>
      <c r="Y244" s="6" t="inlineStr">
        <is>
          <t>declared</t>
        </is>
      </c>
      <c r="Z244" s="8" t="n">
        <v>39553</v>
      </c>
      <c r="AA244" s="9">
        <f>IF(H244="yes",Z244*X244,0)</f>
        <v/>
      </c>
      <c r="AB244" s="9">
        <f>IF(H244="yes",AA244*N(L244)/100,0)</f>
        <v/>
      </c>
      <c r="AC244" s="9">
        <f>IF(H244="yes",AA244*N(N244)/100,0)</f>
        <v/>
      </c>
      <c r="AD244" s="9">
        <f>IF(H244="yes",AA244*N(O244)/100,0)</f>
        <v/>
      </c>
      <c r="AE244" s="10">
        <f>IF(P244="yes",AA244/1000,0)</f>
        <v/>
      </c>
      <c r="AF244" s="10">
        <f>IF(R244="FG2",AE244*W244,AE244)</f>
        <v/>
      </c>
    </row>
    <row r="245">
      <c r="A245" s="6" t="inlineStr">
        <is>
          <t>HM00243</t>
        </is>
      </c>
      <c r="B245" s="7" t="inlineStr">
        <is>
          <t>5012345963150</t>
        </is>
      </c>
      <c r="C245" s="6" t="inlineStr">
        <is>
          <t>BF BURGERS 4PK 454G TARROW</t>
        </is>
      </c>
      <c r="D245" s="6" t="inlineStr">
        <is>
          <t>Beef burgers, 4 pack, 454g</t>
        </is>
      </c>
      <c r="E245" s="6" t="inlineStr">
        <is>
          <t>Tarrow Farm</t>
        </is>
      </c>
      <c r="F245" s="6" t="inlineStr">
        <is>
          <t>Fresh Meat &amp; Poultry</t>
        </is>
      </c>
      <c r="G245" s="6" t="inlineStr">
        <is>
          <t>Sausages &amp; Burgers</t>
        </is>
      </c>
      <c r="H245" s="6" t="inlineStr">
        <is>
          <t>yes</t>
        </is>
      </c>
      <c r="I245" s="6" t="inlineStr">
        <is>
          <t>Animal core</t>
        </is>
      </c>
      <c r="J245" s="6" t="inlineStr">
        <is>
          <t>B</t>
        </is>
      </c>
      <c r="K245" s="6" t="inlineStr">
        <is>
          <t>First ingredient (step 4a)</t>
        </is>
      </c>
      <c r="L245" s="6" t="n">
        <v>14.7</v>
      </c>
      <c r="M245" s="6" t="inlineStr">
        <is>
          <t>Open Food Facts, by EAN</t>
        </is>
      </c>
      <c r="N245" s="6" t="n">
        <v>0</v>
      </c>
      <c r="O245" s="6" t="n">
        <v>14.7</v>
      </c>
      <c r="P245" s="6" t="inlineStr">
        <is>
          <t>yes</t>
        </is>
      </c>
      <c r="Q245" s="6" t="inlineStr">
        <is>
          <t>whole</t>
        </is>
      </c>
      <c r="R245" s="6" t="inlineStr">
        <is>
          <t>FG1</t>
        </is>
      </c>
      <c r="S245" s="6" t="inlineStr">
        <is>
          <t>red meat</t>
        </is>
      </c>
      <c r="T245" s="6" t="inlineStr">
        <is>
          <t>animal</t>
        </is>
      </c>
      <c r="U245" s="6" t="n"/>
      <c r="V245" s="6" t="n"/>
      <c r="W245" s="6" t="n">
        <v>1</v>
      </c>
      <c r="X245" s="6" t="n">
        <v>0.454</v>
      </c>
      <c r="Y245" s="6" t="inlineStr">
        <is>
          <t>declared</t>
        </is>
      </c>
      <c r="Z245" s="8" t="n">
        <v>94628</v>
      </c>
      <c r="AA245" s="9">
        <f>IF(H245="yes",Z245*X245,0)</f>
        <v/>
      </c>
      <c r="AB245" s="9">
        <f>IF(H245="yes",AA245*N(L245)/100,0)</f>
        <v/>
      </c>
      <c r="AC245" s="9">
        <f>IF(H245="yes",AA245*N(N245)/100,0)</f>
        <v/>
      </c>
      <c r="AD245" s="9">
        <f>IF(H245="yes",AA245*N(O245)/100,0)</f>
        <v/>
      </c>
      <c r="AE245" s="10">
        <f>IF(P245="yes",AA245/1000,0)</f>
        <v/>
      </c>
      <c r="AF245" s="10">
        <f>IF(R245="FG2",AE245*W245,AE245)</f>
        <v/>
      </c>
    </row>
    <row r="246">
      <c r="A246" s="6" t="inlineStr">
        <is>
          <t>HM00244</t>
        </is>
      </c>
      <c r="B246" s="7" t="inlineStr">
        <is>
          <t>3012345819282</t>
        </is>
      </c>
      <c r="C246" s="6" t="inlineStr">
        <is>
          <t>HM VEGAN SLICES 200G</t>
        </is>
      </c>
      <c r="D246" s="6" t="inlineStr">
        <is>
          <t>Vegan cheese-style slices, 200g</t>
        </is>
      </c>
      <c r="E246" s="6" t="inlineStr">
        <is>
          <t>Harbour Market</t>
        </is>
      </c>
      <c r="F246" s="6" t="inlineStr">
        <is>
          <t>Plant-Based</t>
        </is>
      </c>
      <c r="G246" s="6" t="inlineStr">
        <is>
          <t>Dairy Alternatives</t>
        </is>
      </c>
      <c r="H246" s="6" t="inlineStr">
        <is>
          <t>yes</t>
        </is>
      </c>
      <c r="I246" s="6" t="inlineStr">
        <is>
          <t>Plant-based core</t>
        </is>
      </c>
      <c r="J246" s="6" t="inlineStr">
        <is>
          <t>A</t>
        </is>
      </c>
      <c r="K246" s="6" t="inlineStr">
        <is>
          <t>All ingredients on one side</t>
        </is>
      </c>
      <c r="L246" s="6" t="n">
        <v>1</v>
      </c>
      <c r="M246" s="6" t="inlineStr">
        <is>
          <t>Declared by the retailer</t>
        </is>
      </c>
      <c r="N246" s="6" t="n">
        <v>1</v>
      </c>
      <c r="O246" s="6" t="n">
        <v>0</v>
      </c>
      <c r="P246" s="6" t="inlineStr">
        <is>
          <t>yes</t>
        </is>
      </c>
      <c r="Q246" s="6" t="inlineStr">
        <is>
          <t>whole</t>
        </is>
      </c>
      <c r="R246" s="6" t="inlineStr">
        <is>
          <t>FG2</t>
        </is>
      </c>
      <c r="S246" s="6" t="inlineStr">
        <is>
          <t>dairy alternatives</t>
        </is>
      </c>
      <c r="T246" s="6" t="inlineStr">
        <is>
          <t>plant</t>
        </is>
      </c>
      <c r="U246" s="6" t="n"/>
      <c r="V246" s="6" t="n"/>
      <c r="W246" s="6" t="n">
        <v>1</v>
      </c>
      <c r="X246" s="6" t="n">
        <v>0.2</v>
      </c>
      <c r="Y246" s="6" t="inlineStr">
        <is>
          <t>declared</t>
        </is>
      </c>
      <c r="Z246" s="8" t="n">
        <v>3372</v>
      </c>
      <c r="AA246" s="9">
        <f>IF(H246="yes",Z246*X246,0)</f>
        <v/>
      </c>
      <c r="AB246" s="9">
        <f>IF(H246="yes",AA246*N(L246)/100,0)</f>
        <v/>
      </c>
      <c r="AC246" s="9">
        <f>IF(H246="yes",AA246*N(N246)/100,0)</f>
        <v/>
      </c>
      <c r="AD246" s="9">
        <f>IF(H246="yes",AA246*N(O246)/100,0)</f>
        <v/>
      </c>
      <c r="AE246" s="10">
        <f>IF(P246="yes",AA246/1000,0)</f>
        <v/>
      </c>
      <c r="AF246" s="10">
        <f>IF(R246="FG2",AE246*W246,AE246)</f>
        <v/>
      </c>
    </row>
    <row r="247">
      <c r="A247" s="6" t="inlineStr">
        <is>
          <t>HM00245</t>
        </is>
      </c>
      <c r="B247" s="7" t="inlineStr">
        <is>
          <t>8712345219741</t>
        </is>
      </c>
      <c r="C247" s="6" t="inlineStr">
        <is>
          <t>CHICKPEAS IN WATER 400G ORVALIS</t>
        </is>
      </c>
      <c r="D247" s="6" t="inlineStr">
        <is>
          <t>Chickpeas in water, 400g</t>
        </is>
      </c>
      <c r="E247" s="6" t="inlineStr">
        <is>
          <t>Orvalis</t>
        </is>
      </c>
      <c r="F247" s="6" t="inlineStr">
        <is>
          <t>Grocery</t>
        </is>
      </c>
      <c r="G247" s="6" t="inlineStr">
        <is>
          <t>Pulses</t>
        </is>
      </c>
      <c r="H247" s="6" t="inlineStr">
        <is>
          <t>yes</t>
        </is>
      </c>
      <c r="I247" s="6" t="inlineStr">
        <is>
          <t>Plant-based core</t>
        </is>
      </c>
      <c r="J247" s="6" t="inlineStr">
        <is>
          <t>A</t>
        </is>
      </c>
      <c r="K247" s="6" t="inlineStr">
        <is>
          <t>All ingredients on one side</t>
        </is>
      </c>
      <c r="L247" s="6" t="n">
        <v>6.8</v>
      </c>
      <c r="M247" s="6" t="inlineStr">
        <is>
          <t>Altera reference base</t>
        </is>
      </c>
      <c r="N247" s="6" t="n">
        <v>6.8</v>
      </c>
      <c r="O247" s="6" t="n">
        <v>0</v>
      </c>
      <c r="P247" s="6" t="inlineStr">
        <is>
          <t>yes</t>
        </is>
      </c>
      <c r="Q247" s="6" t="inlineStr">
        <is>
          <t>whole</t>
        </is>
      </c>
      <c r="R247" s="6" t="inlineStr">
        <is>
          <t>FG1</t>
        </is>
      </c>
      <c r="S247" s="6" t="inlineStr">
        <is>
          <t>pulses</t>
        </is>
      </c>
      <c r="T247" s="6" t="inlineStr">
        <is>
          <t>plant</t>
        </is>
      </c>
      <c r="U247" s="6" t="n"/>
      <c r="V247" s="6" t="n"/>
      <c r="W247" s="6" t="n">
        <v>1</v>
      </c>
      <c r="X247" s="6" t="n">
        <v>0.4</v>
      </c>
      <c r="Y247" s="6" t="inlineStr">
        <is>
          <t>declared</t>
        </is>
      </c>
      <c r="Z247" s="8" t="n">
        <v>38253</v>
      </c>
      <c r="AA247" s="9">
        <f>IF(H247="yes",Z247*X247,0)</f>
        <v/>
      </c>
      <c r="AB247" s="9">
        <f>IF(H247="yes",AA247*N(L247)/100,0)</f>
        <v/>
      </c>
      <c r="AC247" s="9">
        <f>IF(H247="yes",AA247*N(N247)/100,0)</f>
        <v/>
      </c>
      <c r="AD247" s="9">
        <f>IF(H247="yes",AA247*N(O247)/100,0)</f>
        <v/>
      </c>
      <c r="AE247" s="10">
        <f>IF(P247="yes",AA247/1000,0)</f>
        <v/>
      </c>
      <c r="AF247" s="10">
        <f>IF(R247="FG2",AE247*W247,AE247)</f>
        <v/>
      </c>
    </row>
    <row r="248">
      <c r="A248" s="6" t="inlineStr">
        <is>
          <t>HM00246</t>
        </is>
      </c>
      <c r="B248" s="7" t="inlineStr">
        <is>
          <t>3012345671835</t>
        </is>
      </c>
      <c r="C248" s="6" t="inlineStr">
        <is>
          <t>HM SARDINES OLV OIL 125G</t>
        </is>
      </c>
      <c r="D248" s="6" t="inlineStr">
        <is>
          <t>Sardines in olive oil, 125g</t>
        </is>
      </c>
      <c r="E248" s="6" t="inlineStr">
        <is>
          <t>Harbour Market</t>
        </is>
      </c>
      <c r="F248" s="6" t="inlineStr">
        <is>
          <t>Fish &amp; Seafood</t>
        </is>
      </c>
      <c r="G248" s="6" t="inlineStr">
        <is>
          <t>Canned Fish</t>
        </is>
      </c>
      <c r="H248" s="6" t="inlineStr">
        <is>
          <t>yes</t>
        </is>
      </c>
      <c r="I248" s="6" t="inlineStr">
        <is>
          <t>Animal core</t>
        </is>
      </c>
      <c r="J248" s="6" t="inlineStr">
        <is>
          <t>A</t>
        </is>
      </c>
      <c r="K248" s="6" t="inlineStr">
        <is>
          <t>All ingredients on one side</t>
        </is>
      </c>
      <c r="L248" s="6" t="n">
        <v>23</v>
      </c>
      <c r="M248" s="6" t="inlineStr">
        <is>
          <t>Open Food Facts, by EAN</t>
        </is>
      </c>
      <c r="N248" s="6" t="n">
        <v>0</v>
      </c>
      <c r="O248" s="6" t="n">
        <v>23</v>
      </c>
      <c r="P248" s="6" t="inlineStr">
        <is>
          <t>yes</t>
        </is>
      </c>
      <c r="Q248" s="6" t="inlineStr">
        <is>
          <t>whole</t>
        </is>
      </c>
      <c r="R248" s="6" t="inlineStr">
        <is>
          <t>FG1</t>
        </is>
      </c>
      <c r="S248" s="6" t="inlineStr">
        <is>
          <t>fish shellfish</t>
        </is>
      </c>
      <c r="T248" s="6" t="inlineStr">
        <is>
          <t>animal</t>
        </is>
      </c>
      <c r="U248" s="6" t="n"/>
      <c r="V248" s="6" t="n"/>
      <c r="W248" s="6" t="n">
        <v>1</v>
      </c>
      <c r="X248" s="6" t="n">
        <v>0.125</v>
      </c>
      <c r="Y248" s="6" t="inlineStr">
        <is>
          <t>declared</t>
        </is>
      </c>
      <c r="Z248" s="8" t="n">
        <v>32314</v>
      </c>
      <c r="AA248" s="9">
        <f>IF(H248="yes",Z248*X248,0)</f>
        <v/>
      </c>
      <c r="AB248" s="9">
        <f>IF(H248="yes",AA248*N(L248)/100,0)</f>
        <v/>
      </c>
      <c r="AC248" s="9">
        <f>IF(H248="yes",AA248*N(N248)/100,0)</f>
        <v/>
      </c>
      <c r="AD248" s="9">
        <f>IF(H248="yes",AA248*N(O248)/100,0)</f>
        <v/>
      </c>
      <c r="AE248" s="10">
        <f>IF(P248="yes",AA248/1000,0)</f>
        <v/>
      </c>
      <c r="AF248" s="10">
        <f>IF(R248="FG2",AE248*W248,AE248)</f>
        <v/>
      </c>
    </row>
    <row r="249">
      <c r="A249" s="6" t="inlineStr">
        <is>
          <t>HM00247</t>
        </is>
      </c>
      <c r="B249" s="7" t="inlineStr">
        <is>
          <t>4012345555738</t>
        </is>
      </c>
      <c r="C249" s="6" t="inlineStr">
        <is>
          <t>KESTREL SEA BASS FLT 240G</t>
        </is>
      </c>
      <c r="D249" s="6" t="inlineStr">
        <is>
          <t>Sea bass fillets, 240g</t>
        </is>
      </c>
      <c r="E249" s="6" t="inlineStr">
        <is>
          <t>Kestrel Bay</t>
        </is>
      </c>
      <c r="F249" s="6" t="inlineStr">
        <is>
          <t>Fish &amp; Seafood</t>
        </is>
      </c>
      <c r="G249" s="6" t="inlineStr">
        <is>
          <t>Fresh Fish</t>
        </is>
      </c>
      <c r="H249" s="6" t="inlineStr">
        <is>
          <t>yes</t>
        </is>
      </c>
      <c r="I249" s="6" t="inlineStr">
        <is>
          <t>Animal core</t>
        </is>
      </c>
      <c r="J249" s="6" t="inlineStr">
        <is>
          <t>B</t>
        </is>
      </c>
      <c r="K249" s="6" t="inlineStr">
        <is>
          <t>Follows the class</t>
        </is>
      </c>
      <c r="L249" s="6" t="n">
        <v>19.7</v>
      </c>
      <c r="M249" s="6" t="inlineStr">
        <is>
          <t>Declared by the retailer</t>
        </is>
      </c>
      <c r="N249" s="6" t="n">
        <v>0</v>
      </c>
      <c r="O249" s="6" t="n">
        <v>19.7</v>
      </c>
      <c r="P249" s="6" t="inlineStr">
        <is>
          <t>yes</t>
        </is>
      </c>
      <c r="Q249" s="6" t="inlineStr">
        <is>
          <t>whole</t>
        </is>
      </c>
      <c r="R249" s="6" t="inlineStr">
        <is>
          <t>FG1</t>
        </is>
      </c>
      <c r="S249" s="6" t="inlineStr">
        <is>
          <t>fish shellfish</t>
        </is>
      </c>
      <c r="T249" s="6" t="inlineStr">
        <is>
          <t>animal</t>
        </is>
      </c>
      <c r="U249" s="6" t="n"/>
      <c r="V249" s="6" t="n"/>
      <c r="W249" s="6" t="n">
        <v>1</v>
      </c>
      <c r="X249" s="6" t="n">
        <v>0.24</v>
      </c>
      <c r="Y249" s="6" t="inlineStr">
        <is>
          <t>declared</t>
        </is>
      </c>
      <c r="Z249" s="8" t="n">
        <v>177230</v>
      </c>
      <c r="AA249" s="9">
        <f>IF(H249="yes",Z249*X249,0)</f>
        <v/>
      </c>
      <c r="AB249" s="9">
        <f>IF(H249="yes",AA249*N(L249)/100,0)</f>
        <v/>
      </c>
      <c r="AC249" s="9">
        <f>IF(H249="yes",AA249*N(N249)/100,0)</f>
        <v/>
      </c>
      <c r="AD249" s="9">
        <f>IF(H249="yes",AA249*N(O249)/100,0)</f>
        <v/>
      </c>
      <c r="AE249" s="10">
        <f>IF(P249="yes",AA249/1000,0)</f>
        <v/>
      </c>
      <c r="AF249" s="10">
        <f>IF(R249="FG2",AE249*W249,AE249)</f>
        <v/>
      </c>
    </row>
    <row r="250">
      <c r="A250" s="6" t="inlineStr">
        <is>
          <t>HM00248</t>
        </is>
      </c>
      <c r="B250" s="7" t="inlineStr">
        <is>
          <t>0012345858161</t>
        </is>
      </c>
      <c r="C250" s="6" t="inlineStr">
        <is>
          <t>HM BF BURGERS 4PK 400G</t>
        </is>
      </c>
      <c r="D250" s="6" t="inlineStr">
        <is>
          <t>Beef burgers, 4 pack, 400g</t>
        </is>
      </c>
      <c r="E250" s="6" t="inlineStr">
        <is>
          <t>Harbour Market</t>
        </is>
      </c>
      <c r="F250" s="6" t="inlineStr">
        <is>
          <t>Fresh Meat &amp; Poultry</t>
        </is>
      </c>
      <c r="G250" s="6" t="inlineStr">
        <is>
          <t>Sausages &amp; Burgers</t>
        </is>
      </c>
      <c r="H250" s="6" t="inlineStr">
        <is>
          <t>yes</t>
        </is>
      </c>
      <c r="I250" s="6" t="inlineStr">
        <is>
          <t>Animal core</t>
        </is>
      </c>
      <c r="J250" s="6" t="inlineStr">
        <is>
          <t>B</t>
        </is>
      </c>
      <c r="K250" s="6" t="inlineStr">
        <is>
          <t>First ingredient (step 4a)</t>
        </is>
      </c>
      <c r="L250" s="6" t="n">
        <v>14.7</v>
      </c>
      <c r="M250" s="6" t="inlineStr">
        <is>
          <t>Name match (CIQUAL / NEVO)</t>
        </is>
      </c>
      <c r="N250" s="6" t="n">
        <v>0</v>
      </c>
      <c r="O250" s="6" t="n">
        <v>14.7</v>
      </c>
      <c r="P250" s="6" t="inlineStr">
        <is>
          <t>yes</t>
        </is>
      </c>
      <c r="Q250" s="6" t="inlineStr">
        <is>
          <t>whole</t>
        </is>
      </c>
      <c r="R250" s="6" t="inlineStr">
        <is>
          <t>FG1</t>
        </is>
      </c>
      <c r="S250" s="6" t="inlineStr">
        <is>
          <t>red meat</t>
        </is>
      </c>
      <c r="T250" s="6" t="inlineStr">
        <is>
          <t>animal</t>
        </is>
      </c>
      <c r="U250" s="6" t="n"/>
      <c r="V250" s="6" t="n"/>
      <c r="W250" s="6" t="n">
        <v>1</v>
      </c>
      <c r="X250" s="6" t="n">
        <v>0.4</v>
      </c>
      <c r="Y250" s="6" t="inlineStr">
        <is>
          <t>declared</t>
        </is>
      </c>
      <c r="Z250" s="8" t="n">
        <v>24930</v>
      </c>
      <c r="AA250" s="9">
        <f>IF(H250="yes",Z250*X250,0)</f>
        <v/>
      </c>
      <c r="AB250" s="9">
        <f>IF(H250="yes",AA250*N(L250)/100,0)</f>
        <v/>
      </c>
      <c r="AC250" s="9">
        <f>IF(H250="yes",AA250*N(N250)/100,0)</f>
        <v/>
      </c>
      <c r="AD250" s="9">
        <f>IF(H250="yes",AA250*N(O250)/100,0)</f>
        <v/>
      </c>
      <c r="AE250" s="10">
        <f>IF(P250="yes",AA250/1000,0)</f>
        <v/>
      </c>
      <c r="AF250" s="10">
        <f>IF(R250="FG2",AE250*W250,AE250)</f>
        <v/>
      </c>
    </row>
    <row r="251">
      <c r="A251" s="6" t="inlineStr">
        <is>
          <t>HM00249</t>
        </is>
      </c>
      <c r="B251" s="7" t="inlineStr">
        <is>
          <t>2486207341860</t>
        </is>
      </c>
      <c r="C251" s="6" t="inlineStr">
        <is>
          <t>HM STRAWBERRIES KG</t>
        </is>
      </c>
      <c r="D251" s="6" t="inlineStr">
        <is>
          <t>Strawberries</t>
        </is>
      </c>
      <c r="E251" s="6" t="inlineStr">
        <is>
          <t>Harbour Market</t>
        </is>
      </c>
      <c r="F251" s="6" t="inlineStr">
        <is>
          <t>Fruit &amp; Vegetables</t>
        </is>
      </c>
      <c r="G251" s="6" t="inlineStr">
        <is>
          <t>Fruit</t>
        </is>
      </c>
      <c r="H251" s="6" t="inlineStr">
        <is>
          <t>yes</t>
        </is>
      </c>
      <c r="I251" s="6" t="inlineStr">
        <is>
          <t>Plant-based non-core</t>
        </is>
      </c>
      <c r="J251" s="6" t="inlineStr">
        <is>
          <t>B</t>
        </is>
      </c>
      <c r="K251" s="6" t="inlineStr">
        <is>
          <t>Follows the class</t>
        </is>
      </c>
      <c r="L251" s="6" t="n">
        <v>0.67</v>
      </c>
      <c r="M251" s="6" t="inlineStr">
        <is>
          <t>Name match (CIQUAL / NEVO)</t>
        </is>
      </c>
      <c r="N251" s="6" t="n">
        <v>0.67</v>
      </c>
      <c r="O251" s="6" t="n">
        <v>0</v>
      </c>
      <c r="P251" s="6" t="inlineStr">
        <is>
          <t>yes</t>
        </is>
      </c>
      <c r="Q251" s="6" t="inlineStr">
        <is>
          <t>whole</t>
        </is>
      </c>
      <c r="R251" s="6" t="inlineStr">
        <is>
          <t>FG4</t>
        </is>
      </c>
      <c r="S251" s="6" t="n"/>
      <c r="T251" s="6" t="inlineStr">
        <is>
          <t>plant</t>
        </is>
      </c>
      <c r="U251" s="6" t="n"/>
      <c r="V251" s="6" t="n"/>
      <c r="W251" s="6" t="n">
        <v>1</v>
      </c>
      <c r="X251" s="6" t="n">
        <v>1</v>
      </c>
      <c r="Y251" s="6" t="inlineStr">
        <is>
          <t>variable</t>
        </is>
      </c>
      <c r="Z251" s="8" t="n">
        <v>11043</v>
      </c>
      <c r="AA251" s="9">
        <f>IF(H251="yes",Z251*X251,0)</f>
        <v/>
      </c>
      <c r="AB251" s="9">
        <f>IF(H251="yes",AA251*N(L251)/100,0)</f>
        <v/>
      </c>
      <c r="AC251" s="9">
        <f>IF(H251="yes",AA251*N(N251)/100,0)</f>
        <v/>
      </c>
      <c r="AD251" s="9">
        <f>IF(H251="yes",AA251*N(O251)/100,0)</f>
        <v/>
      </c>
      <c r="AE251" s="10">
        <f>IF(P251="yes",AA251/1000,0)</f>
        <v/>
      </c>
      <c r="AF251" s="10">
        <f>IF(R251="FG2",AE251*W251,AE251)</f>
        <v/>
      </c>
    </row>
    <row r="252">
      <c r="A252" s="6" t="inlineStr">
        <is>
          <t>HM00250</t>
        </is>
      </c>
      <c r="B252" s="7" t="inlineStr">
        <is>
          <t>8712345800949</t>
        </is>
      </c>
      <c r="C252" s="6" t="inlineStr">
        <is>
          <t>BRAMBLECOTE WHOLEMEAL SLICED 800G</t>
        </is>
      </c>
      <c r="D252" s="6" t="inlineStr">
        <is>
          <t>Wholemeal sliced bread, 800g</t>
        </is>
      </c>
      <c r="E252" s="6" t="inlineStr">
        <is>
          <t>Bramblecote</t>
        </is>
      </c>
      <c r="F252" s="6" t="inlineStr">
        <is>
          <t>Bakery</t>
        </is>
      </c>
      <c r="G252" s="6" t="inlineStr">
        <is>
          <t>Bread</t>
        </is>
      </c>
      <c r="H252" s="6" t="inlineStr">
        <is>
          <t>yes</t>
        </is>
      </c>
      <c r="I252" s="6" t="inlineStr">
        <is>
          <t>Plant-based non-core</t>
        </is>
      </c>
      <c r="J252" s="6" t="inlineStr">
        <is>
          <t>B</t>
        </is>
      </c>
      <c r="K252" s="6" t="inlineStr">
        <is>
          <t>Follows the class</t>
        </is>
      </c>
      <c r="L252" s="6" t="n">
        <v>10</v>
      </c>
      <c r="M252" s="6" t="inlineStr">
        <is>
          <t>Declared by the retailer</t>
        </is>
      </c>
      <c r="N252" s="6" t="n">
        <v>10</v>
      </c>
      <c r="O252" s="6" t="n">
        <v>0</v>
      </c>
      <c r="P252" s="6" t="inlineStr">
        <is>
          <t>yes</t>
        </is>
      </c>
      <c r="Q252" s="6" t="inlineStr">
        <is>
          <t>whole</t>
        </is>
      </c>
      <c r="R252" s="6" t="inlineStr">
        <is>
          <t>FG5</t>
        </is>
      </c>
      <c r="S252" s="6" t="inlineStr">
        <is>
          <t>whole grain</t>
        </is>
      </c>
      <c r="T252" s="6" t="inlineStr">
        <is>
          <t>plant</t>
        </is>
      </c>
      <c r="U252" s="6" t="n"/>
      <c r="V252" s="6" t="n"/>
      <c r="W252" s="6" t="n">
        <v>1</v>
      </c>
      <c r="X252" s="6" t="n">
        <v>0.8</v>
      </c>
      <c r="Y252" s="6" t="inlineStr">
        <is>
          <t>declared</t>
        </is>
      </c>
      <c r="Z252" s="8" t="n">
        <v>16441</v>
      </c>
      <c r="AA252" s="9">
        <f>IF(H252="yes",Z252*X252,0)</f>
        <v/>
      </c>
      <c r="AB252" s="9">
        <f>IF(H252="yes",AA252*N(L252)/100,0)</f>
        <v/>
      </c>
      <c r="AC252" s="9">
        <f>IF(H252="yes",AA252*N(N252)/100,0)</f>
        <v/>
      </c>
      <c r="AD252" s="9">
        <f>IF(H252="yes",AA252*N(O252)/100,0)</f>
        <v/>
      </c>
      <c r="AE252" s="10">
        <f>IF(P252="yes",AA252/1000,0)</f>
        <v/>
      </c>
      <c r="AF252" s="10">
        <f>IF(R252="FG2",AE252*W252,AE252)</f>
        <v/>
      </c>
    </row>
    <row r="253">
      <c r="A253" s="6" t="inlineStr">
        <is>
          <t>HM00251</t>
        </is>
      </c>
      <c r="B253" s="7" t="inlineStr">
        <is>
          <t>4012345280975</t>
        </is>
      </c>
      <c r="C253" s="6" t="inlineStr">
        <is>
          <t>HM HONEY ROAST HAM 400G</t>
        </is>
      </c>
      <c r="D253" s="6" t="inlineStr">
        <is>
          <t>Honey-roast ham, 400g</t>
        </is>
      </c>
      <c r="E253" s="6" t="inlineStr">
        <is>
          <t>Harbour Market</t>
        </is>
      </c>
      <c r="F253" s="6" t="inlineStr">
        <is>
          <t>Deli</t>
        </is>
      </c>
      <c r="G253" s="6" t="inlineStr">
        <is>
          <t>Cooked Meats</t>
        </is>
      </c>
      <c r="H253" s="6" t="inlineStr">
        <is>
          <t>yes</t>
        </is>
      </c>
      <c r="I253" s="6" t="inlineStr">
        <is>
          <t>Animal core</t>
        </is>
      </c>
      <c r="J253" s="6" t="inlineStr">
        <is>
          <t>A</t>
        </is>
      </c>
      <c r="K253" s="6" t="inlineStr">
        <is>
          <t>All ingredients on one side</t>
        </is>
      </c>
      <c r="L253" s="6" t="n">
        <v>18.2</v>
      </c>
      <c r="M253" s="6" t="inlineStr">
        <is>
          <t>Declared by the retailer</t>
        </is>
      </c>
      <c r="N253" s="6" t="n">
        <v>0</v>
      </c>
      <c r="O253" s="6" t="n">
        <v>18.2</v>
      </c>
      <c r="P253" s="6" t="inlineStr">
        <is>
          <t>yes</t>
        </is>
      </c>
      <c r="Q253" s="6" t="inlineStr">
        <is>
          <t>whole</t>
        </is>
      </c>
      <c r="R253" s="6" t="inlineStr">
        <is>
          <t>FG1</t>
        </is>
      </c>
      <c r="S253" s="6" t="inlineStr">
        <is>
          <t>red meat</t>
        </is>
      </c>
      <c r="T253" s="6" t="inlineStr">
        <is>
          <t>animal</t>
        </is>
      </c>
      <c r="U253" s="6" t="n"/>
      <c r="V253" s="6" t="n"/>
      <c r="W253" s="6" t="n">
        <v>1</v>
      </c>
      <c r="X253" s="6" t="n">
        <v>0.4</v>
      </c>
      <c r="Y253" s="6" t="inlineStr">
        <is>
          <t>declared</t>
        </is>
      </c>
      <c r="Z253" s="8" t="n">
        <v>96989</v>
      </c>
      <c r="AA253" s="9">
        <f>IF(H253="yes",Z253*X253,0)</f>
        <v/>
      </c>
      <c r="AB253" s="9">
        <f>IF(H253="yes",AA253*N(L253)/100,0)</f>
        <v/>
      </c>
      <c r="AC253" s="9">
        <f>IF(H253="yes",AA253*N(N253)/100,0)</f>
        <v/>
      </c>
      <c r="AD253" s="9">
        <f>IF(H253="yes",AA253*N(O253)/100,0)</f>
        <v/>
      </c>
      <c r="AE253" s="10">
        <f>IF(P253="yes",AA253/1000,0)</f>
        <v/>
      </c>
      <c r="AF253" s="10">
        <f>IF(R253="FG2",AE253*W253,AE253)</f>
        <v/>
      </c>
    </row>
    <row r="254">
      <c r="A254" s="6" t="inlineStr">
        <is>
          <t>HM00252</t>
        </is>
      </c>
      <c r="B254" s="7" t="inlineStr">
        <is>
          <t>4012345395389</t>
        </is>
      </c>
      <c r="C254" s="6" t="inlineStr">
        <is>
          <t>HM PROSECCO 75CL</t>
        </is>
      </c>
      <c r="D254" s="6" t="inlineStr">
        <is>
          <t>Prosecco, 75cl</t>
        </is>
      </c>
      <c r="E254" s="6" t="inlineStr">
        <is>
          <t>Harbour Market</t>
        </is>
      </c>
      <c r="F254" s="6" t="inlineStr">
        <is>
          <t>Beer, Wine &amp; Spirits</t>
        </is>
      </c>
      <c r="G254" s="6" t="inlineStr">
        <is>
          <t>Wine</t>
        </is>
      </c>
      <c r="H254" s="6" t="inlineStr">
        <is>
          <t>yes</t>
        </is>
      </c>
      <c r="I254" s="6" t="inlineStr">
        <is>
          <t>Plant-based non-core</t>
        </is>
      </c>
      <c r="J254" s="6" t="inlineStr">
        <is>
          <t>B</t>
        </is>
      </c>
      <c r="K254" s="6" t="inlineStr">
        <is>
          <t>Follows the class</t>
        </is>
      </c>
      <c r="L254" s="6" t="n">
        <v>0.1</v>
      </c>
      <c r="M254" s="6" t="inlineStr">
        <is>
          <t>Declared by the retailer</t>
        </is>
      </c>
      <c r="N254" s="6" t="n">
        <v>0.1</v>
      </c>
      <c r="O254" s="6" t="n">
        <v>0</v>
      </c>
      <c r="P254" s="6" t="inlineStr">
        <is>
          <t>no</t>
        </is>
      </c>
      <c r="Q254" s="6" t="n"/>
      <c r="R254" s="6" t="n"/>
      <c r="S254" s="6" t="n"/>
      <c r="T254" s="6" t="n"/>
      <c r="U254" s="6" t="n"/>
      <c r="V254" s="6" t="inlineStr">
        <is>
          <t>alcohol</t>
        </is>
      </c>
      <c r="W254" s="6" t="n">
        <v>1</v>
      </c>
      <c r="X254" s="6" t="n">
        <v>0.75</v>
      </c>
      <c r="Y254" s="6" t="inlineStr">
        <is>
          <t>declared</t>
        </is>
      </c>
      <c r="Z254" s="8" t="n">
        <v>6058</v>
      </c>
      <c r="AA254" s="9">
        <f>IF(H254="yes",Z254*X254,0)</f>
        <v/>
      </c>
      <c r="AB254" s="9">
        <f>IF(H254="yes",AA254*N(L254)/100,0)</f>
        <v/>
      </c>
      <c r="AC254" s="9">
        <f>IF(H254="yes",AA254*N(N254)/100,0)</f>
        <v/>
      </c>
      <c r="AD254" s="9">
        <f>IF(H254="yes",AA254*N(O254)/100,0)</f>
        <v/>
      </c>
      <c r="AE254" s="10">
        <f>IF(P254="yes",AA254/1000,0)</f>
        <v/>
      </c>
      <c r="AF254" s="10">
        <f>IF(R254="FG2",AE254*W254,AE254)</f>
        <v/>
      </c>
    </row>
    <row r="255">
      <c r="A255" s="6" t="inlineStr">
        <is>
          <t>HM00253</t>
        </is>
      </c>
      <c r="B255" s="7" t="inlineStr">
        <is>
          <t>3012345656528</t>
        </is>
      </c>
      <c r="C255" s="6" t="inlineStr">
        <is>
          <t>HM BLUEBERRIES 500G</t>
        </is>
      </c>
      <c r="D255" s="6" t="inlineStr">
        <is>
          <t>Blueberries, 500g</t>
        </is>
      </c>
      <c r="E255" s="6" t="inlineStr">
        <is>
          <t>Harbour Market</t>
        </is>
      </c>
      <c r="F255" s="6" t="inlineStr">
        <is>
          <t>Fruit &amp; Vegetables</t>
        </is>
      </c>
      <c r="G255" s="6" t="inlineStr">
        <is>
          <t>Fruit</t>
        </is>
      </c>
      <c r="H255" s="6" t="inlineStr">
        <is>
          <t>yes</t>
        </is>
      </c>
      <c r="I255" s="6" t="inlineStr">
        <is>
          <t>Plant-based non-core</t>
        </is>
      </c>
      <c r="J255" s="6" t="inlineStr">
        <is>
          <t>B</t>
        </is>
      </c>
      <c r="K255" s="6" t="inlineStr">
        <is>
          <t>Follows the class</t>
        </is>
      </c>
      <c r="L255" s="6" t="n">
        <v>0.68</v>
      </c>
      <c r="M255" s="6" t="inlineStr">
        <is>
          <t>Name match (CIQUAL / NEVO)</t>
        </is>
      </c>
      <c r="N255" s="6" t="n">
        <v>0.68</v>
      </c>
      <c r="O255" s="6" t="n">
        <v>0</v>
      </c>
      <c r="P255" s="6" t="inlineStr">
        <is>
          <t>yes</t>
        </is>
      </c>
      <c r="Q255" s="6" t="inlineStr">
        <is>
          <t>whole</t>
        </is>
      </c>
      <c r="R255" s="6" t="inlineStr">
        <is>
          <t>FG4</t>
        </is>
      </c>
      <c r="S255" s="6" t="n"/>
      <c r="T255" s="6" t="inlineStr">
        <is>
          <t>plant</t>
        </is>
      </c>
      <c r="U255" s="6" t="n"/>
      <c r="V255" s="6" t="n"/>
      <c r="W255" s="6" t="n">
        <v>1</v>
      </c>
      <c r="X255" s="6" t="n">
        <v>0.5</v>
      </c>
      <c r="Y255" s="6" t="inlineStr">
        <is>
          <t>declared</t>
        </is>
      </c>
      <c r="Z255" s="8" t="n">
        <v>17467</v>
      </c>
      <c r="AA255" s="9">
        <f>IF(H255="yes",Z255*X255,0)</f>
        <v/>
      </c>
      <c r="AB255" s="9">
        <f>IF(H255="yes",AA255*N(L255)/100,0)</f>
        <v/>
      </c>
      <c r="AC255" s="9">
        <f>IF(H255="yes",AA255*N(N255)/100,0)</f>
        <v/>
      </c>
      <c r="AD255" s="9">
        <f>IF(H255="yes",AA255*N(O255)/100,0)</f>
        <v/>
      </c>
      <c r="AE255" s="10">
        <f>IF(P255="yes",AA255/1000,0)</f>
        <v/>
      </c>
      <c r="AF255" s="10">
        <f>IF(R255="FG2",AE255*W255,AE255)</f>
        <v/>
      </c>
    </row>
    <row r="256">
      <c r="A256" s="6" t="inlineStr">
        <is>
          <t>HM00254</t>
        </is>
      </c>
      <c r="B256" s="7" t="inlineStr">
        <is>
          <t>0012345375217</t>
        </is>
      </c>
      <c r="C256" s="6" t="inlineStr">
        <is>
          <t>SOLVANE HOUMOUS CLASSIC 200G</t>
        </is>
      </c>
      <c r="D256" s="6" t="inlineStr">
        <is>
          <t>Classic houmous, 200g</t>
        </is>
      </c>
      <c r="E256" s="6" t="inlineStr">
        <is>
          <t>Solvane</t>
        </is>
      </c>
      <c r="F256" s="6" t="inlineStr">
        <is>
          <t>Deli</t>
        </is>
      </c>
      <c r="G256" s="6" t="inlineStr">
        <is>
          <t>Dips</t>
        </is>
      </c>
      <c r="H256" s="6" t="inlineStr">
        <is>
          <t>yes</t>
        </is>
      </c>
      <c r="I256" s="6" t="inlineStr">
        <is>
          <t>Plant-based core</t>
        </is>
      </c>
      <c r="J256" s="6" t="inlineStr">
        <is>
          <t>A</t>
        </is>
      </c>
      <c r="K256" s="6" t="inlineStr">
        <is>
          <t>All ingredients on one side</t>
        </is>
      </c>
      <c r="L256" s="6" t="n">
        <v>6.9</v>
      </c>
      <c r="M256" s="6" t="inlineStr">
        <is>
          <t>Name match (CIQUAL / NEVO)</t>
        </is>
      </c>
      <c r="N256" s="6" t="n">
        <v>6.9</v>
      </c>
      <c r="O256" s="6" t="n">
        <v>0</v>
      </c>
      <c r="P256" s="6" t="inlineStr">
        <is>
          <t>yes</t>
        </is>
      </c>
      <c r="Q256" s="6" t="inlineStr">
        <is>
          <t>whole</t>
        </is>
      </c>
      <c r="R256" s="6" t="inlineStr">
        <is>
          <t>FG1</t>
        </is>
      </c>
      <c r="S256" s="6" t="inlineStr">
        <is>
          <t>pulses</t>
        </is>
      </c>
      <c r="T256" s="6" t="inlineStr">
        <is>
          <t>plant</t>
        </is>
      </c>
      <c r="U256" s="6" t="n"/>
      <c r="V256" s="6" t="n"/>
      <c r="W256" s="6" t="n">
        <v>1</v>
      </c>
      <c r="X256" s="6" t="n">
        <v>0.2</v>
      </c>
      <c r="Y256" s="6" t="inlineStr">
        <is>
          <t>declared</t>
        </is>
      </c>
      <c r="Z256" s="8" t="n">
        <v>270455</v>
      </c>
      <c r="AA256" s="9">
        <f>IF(H256="yes",Z256*X256,0)</f>
        <v/>
      </c>
      <c r="AB256" s="9">
        <f>IF(H256="yes",AA256*N(L256)/100,0)</f>
        <v/>
      </c>
      <c r="AC256" s="9">
        <f>IF(H256="yes",AA256*N(N256)/100,0)</f>
        <v/>
      </c>
      <c r="AD256" s="9">
        <f>IF(H256="yes",AA256*N(O256)/100,0)</f>
        <v/>
      </c>
      <c r="AE256" s="10">
        <f>IF(P256="yes",AA256/1000,0)</f>
        <v/>
      </c>
      <c r="AF256" s="10">
        <f>IF(R256="FG2",AE256*W256,AE256)</f>
        <v/>
      </c>
    </row>
    <row r="257">
      <c r="A257" s="6" t="inlineStr">
        <is>
          <t>HM00255</t>
        </is>
      </c>
      <c r="B257" s="7" t="inlineStr">
        <is>
          <t>4012345999983</t>
        </is>
      </c>
      <c r="C257" s="6" t="inlineStr">
        <is>
          <t>STRAWB ICE CREAM 1.8L MARLOWE</t>
        </is>
      </c>
      <c r="D257" s="6" t="inlineStr">
        <is>
          <t>Strawberry ice cream, 1.8l</t>
        </is>
      </c>
      <c r="E257" s="6" t="inlineStr">
        <is>
          <t>Marlowe</t>
        </is>
      </c>
      <c r="F257" s="6" t="inlineStr">
        <is>
          <t>Frozen</t>
        </is>
      </c>
      <c r="G257" s="6" t="inlineStr">
        <is>
          <t>Ice Cream</t>
        </is>
      </c>
      <c r="H257" s="6" t="inlineStr">
        <is>
          <t>yes</t>
        </is>
      </c>
      <c r="I257" s="6" t="inlineStr">
        <is>
          <t>Animal core</t>
        </is>
      </c>
      <c r="J257" s="6" t="inlineStr">
        <is>
          <t>B</t>
        </is>
      </c>
      <c r="K257" s="6" t="inlineStr">
        <is>
          <t>First ingredient (step 4a)</t>
        </is>
      </c>
      <c r="L257" s="6" t="n">
        <v>3.4</v>
      </c>
      <c r="M257" s="6" t="inlineStr">
        <is>
          <t>Name match (CIQUAL / NEVO)</t>
        </is>
      </c>
      <c r="N257" s="6" t="n">
        <v>0</v>
      </c>
      <c r="O257" s="6" t="n">
        <v>3.4</v>
      </c>
      <c r="P257" s="6" t="inlineStr">
        <is>
          <t>yes</t>
        </is>
      </c>
      <c r="Q257" s="6" t="inlineStr">
        <is>
          <t>whole</t>
        </is>
      </c>
      <c r="R257" s="6" t="inlineStr">
        <is>
          <t>FG7</t>
        </is>
      </c>
      <c r="S257" s="6" t="n"/>
      <c r="T257" s="6" t="inlineStr">
        <is>
          <t>animal</t>
        </is>
      </c>
      <c r="U257" s="6" t="n"/>
      <c r="V257" s="6" t="n"/>
      <c r="W257" s="6" t="n">
        <v>1</v>
      </c>
      <c r="X257" s="6" t="n">
        <v>1</v>
      </c>
      <c r="Y257" s="6" t="inlineStr">
        <is>
          <t>declared</t>
        </is>
      </c>
      <c r="Z257" s="8" t="n">
        <v>19696</v>
      </c>
      <c r="AA257" s="9">
        <f>IF(H257="yes",Z257*X257,0)</f>
        <v/>
      </c>
      <c r="AB257" s="9">
        <f>IF(H257="yes",AA257*N(L257)/100,0)</f>
        <v/>
      </c>
      <c r="AC257" s="9">
        <f>IF(H257="yes",AA257*N(N257)/100,0)</f>
        <v/>
      </c>
      <c r="AD257" s="9">
        <f>IF(H257="yes",AA257*N(O257)/100,0)</f>
        <v/>
      </c>
      <c r="AE257" s="10">
        <f>IF(P257="yes",AA257/1000,0)</f>
        <v/>
      </c>
      <c r="AF257" s="10">
        <f>IF(R257="FG2",AE257*W257,AE257)</f>
        <v/>
      </c>
    </row>
    <row r="258">
      <c r="A258" s="6" t="inlineStr">
        <is>
          <t>HM00256</t>
        </is>
      </c>
      <c r="B258" s="7" t="inlineStr">
        <is>
          <t>3012345867603</t>
        </is>
      </c>
      <c r="C258" s="6" t="inlineStr">
        <is>
          <t>HM CHERRY TOMATOES EACH</t>
        </is>
      </c>
      <c r="D258" s="6" t="inlineStr">
        <is>
          <t>Cherry tomatoes</t>
        </is>
      </c>
      <c r="E258" s="6" t="inlineStr">
        <is>
          <t>Harbour Market</t>
        </is>
      </c>
      <c r="F258" s="6" t="inlineStr">
        <is>
          <t>Fruit &amp; Vegetables</t>
        </is>
      </c>
      <c r="G258" s="6" t="inlineStr">
        <is>
          <t>Vegetables</t>
        </is>
      </c>
      <c r="H258" s="6" t="inlineStr">
        <is>
          <t>yes</t>
        </is>
      </c>
      <c r="I258" s="6" t="inlineStr">
        <is>
          <t>Plant-based non-core</t>
        </is>
      </c>
      <c r="J258" s="6" t="inlineStr">
        <is>
          <t>B</t>
        </is>
      </c>
      <c r="K258" s="6" t="inlineStr">
        <is>
          <t>Follows the class</t>
        </is>
      </c>
      <c r="L258" s="6" t="n">
        <v>0.9399999999999999</v>
      </c>
      <c r="M258" s="6" t="inlineStr">
        <is>
          <t>Median of the family</t>
        </is>
      </c>
      <c r="N258" s="6" t="n">
        <v>0.9399999999999999</v>
      </c>
      <c r="O258" s="6" t="n">
        <v>0</v>
      </c>
      <c r="P258" s="6" t="inlineStr">
        <is>
          <t>yes</t>
        </is>
      </c>
      <c r="Q258" s="6" t="inlineStr">
        <is>
          <t>whole</t>
        </is>
      </c>
      <c r="R258" s="6" t="inlineStr">
        <is>
          <t>FG4</t>
        </is>
      </c>
      <c r="S258" s="6" t="n"/>
      <c r="T258" s="6" t="inlineStr">
        <is>
          <t>plant</t>
        </is>
      </c>
      <c r="U258" s="6" t="n"/>
      <c r="V258" s="6" t="n"/>
      <c r="W258" s="6" t="n">
        <v>1</v>
      </c>
      <c r="X258" s="6" t="n">
        <v>0.3</v>
      </c>
      <c r="Y258" s="6" t="inlineStr">
        <is>
          <t>typical_piece</t>
        </is>
      </c>
      <c r="Z258" s="8" t="n">
        <v>13411</v>
      </c>
      <c r="AA258" s="9">
        <f>IF(H258="yes",Z258*X258,0)</f>
        <v/>
      </c>
      <c r="AB258" s="9">
        <f>IF(H258="yes",AA258*N(L258)/100,0)</f>
        <v/>
      </c>
      <c r="AC258" s="9">
        <f>IF(H258="yes",AA258*N(N258)/100,0)</f>
        <v/>
      </c>
      <c r="AD258" s="9">
        <f>IF(H258="yes",AA258*N(O258)/100,0)</f>
        <v/>
      </c>
      <c r="AE258" s="10">
        <f>IF(P258="yes",AA258/1000,0)</f>
        <v/>
      </c>
      <c r="AF258" s="10">
        <f>IF(R258="FG2",AE258*W258,AE258)</f>
        <v/>
      </c>
    </row>
    <row r="259">
      <c r="A259" s="6" t="inlineStr">
        <is>
          <t>HM00257</t>
        </is>
      </c>
      <c r="B259" s="7" t="inlineStr">
        <is>
          <t>5012345440699</t>
        </is>
      </c>
      <c r="C259" s="6" t="inlineStr">
        <is>
          <t>HM CHERRY TOMATOES 1KG</t>
        </is>
      </c>
      <c r="D259" s="6" t="inlineStr">
        <is>
          <t>Cherry tomatoes, 1kg</t>
        </is>
      </c>
      <c r="E259" s="6" t="inlineStr">
        <is>
          <t>Harbour Market</t>
        </is>
      </c>
      <c r="F259" s="6" t="inlineStr">
        <is>
          <t>Fruit &amp; Vegetables</t>
        </is>
      </c>
      <c r="G259" s="6" t="inlineStr">
        <is>
          <t>Vegetables</t>
        </is>
      </c>
      <c r="H259" s="6" t="inlineStr">
        <is>
          <t>yes</t>
        </is>
      </c>
      <c r="I259" s="6" t="inlineStr">
        <is>
          <t>Plant-based non-core</t>
        </is>
      </c>
      <c r="J259" s="6" t="inlineStr">
        <is>
          <t>B</t>
        </is>
      </c>
      <c r="K259" s="6" t="inlineStr">
        <is>
          <t>Follows the class</t>
        </is>
      </c>
      <c r="L259" s="6" t="n">
        <v>0.91</v>
      </c>
      <c r="M259" s="6" t="inlineStr">
        <is>
          <t>Declared by the retailer</t>
        </is>
      </c>
      <c r="N259" s="6" t="n">
        <v>0.91</v>
      </c>
      <c r="O259" s="6" t="n">
        <v>0</v>
      </c>
      <c r="P259" s="6" t="inlineStr">
        <is>
          <t>yes</t>
        </is>
      </c>
      <c r="Q259" s="6" t="inlineStr">
        <is>
          <t>whole</t>
        </is>
      </c>
      <c r="R259" s="6" t="inlineStr">
        <is>
          <t>FG4</t>
        </is>
      </c>
      <c r="S259" s="6" t="n"/>
      <c r="T259" s="6" t="inlineStr">
        <is>
          <t>plant</t>
        </is>
      </c>
      <c r="U259" s="6" t="n"/>
      <c r="V259" s="6" t="n"/>
      <c r="W259" s="6" t="n">
        <v>1</v>
      </c>
      <c r="X259" s="6" t="n">
        <v>1</v>
      </c>
      <c r="Y259" s="6" t="inlineStr">
        <is>
          <t>declared</t>
        </is>
      </c>
      <c r="Z259" s="8" t="n">
        <v>51458</v>
      </c>
      <c r="AA259" s="9">
        <f>IF(H259="yes",Z259*X259,0)</f>
        <v/>
      </c>
      <c r="AB259" s="9">
        <f>IF(H259="yes",AA259*N(L259)/100,0)</f>
        <v/>
      </c>
      <c r="AC259" s="9">
        <f>IF(H259="yes",AA259*N(N259)/100,0)</f>
        <v/>
      </c>
      <c r="AD259" s="9">
        <f>IF(H259="yes",AA259*N(O259)/100,0)</f>
        <v/>
      </c>
      <c r="AE259" s="10">
        <f>IF(P259="yes",AA259/1000,0)</f>
        <v/>
      </c>
      <c r="AF259" s="10">
        <f>IF(R259="FG2",AE259*W259,AE259)</f>
        <v/>
      </c>
    </row>
    <row r="260">
      <c r="A260" s="6" t="inlineStr">
        <is>
          <t>HM00258</t>
        </is>
      </c>
      <c r="B260" s="7" t="inlineStr">
        <is>
          <t>3012345111928</t>
        </is>
      </c>
      <c r="C260" s="6" t="inlineStr">
        <is>
          <t>HM HOUMOUS CARAMEL ONION 300G</t>
        </is>
      </c>
      <c r="D260" s="6" t="inlineStr">
        <is>
          <t>Caramelised onion houmous, 300g</t>
        </is>
      </c>
      <c r="E260" s="6" t="inlineStr">
        <is>
          <t>Harbour Market</t>
        </is>
      </c>
      <c r="F260" s="6" t="inlineStr">
        <is>
          <t>Deli</t>
        </is>
      </c>
      <c r="G260" s="6" t="inlineStr">
        <is>
          <t>Dips</t>
        </is>
      </c>
      <c r="H260" s="6" t="inlineStr">
        <is>
          <t>yes</t>
        </is>
      </c>
      <c r="I260" s="6" t="inlineStr">
        <is>
          <t>Plant-based core</t>
        </is>
      </c>
      <c r="J260" s="6" t="inlineStr">
        <is>
          <t>A</t>
        </is>
      </c>
      <c r="K260" s="6" t="inlineStr">
        <is>
          <t>All ingredients on one side</t>
        </is>
      </c>
      <c r="L260" s="6" t="n">
        <v>6.8</v>
      </c>
      <c r="M260" s="6" t="inlineStr">
        <is>
          <t>Name match (CIQUAL / NEVO)</t>
        </is>
      </c>
      <c r="N260" s="6" t="n">
        <v>6.8</v>
      </c>
      <c r="O260" s="6" t="n">
        <v>0</v>
      </c>
      <c r="P260" s="6" t="inlineStr">
        <is>
          <t>yes</t>
        </is>
      </c>
      <c r="Q260" s="6" t="inlineStr">
        <is>
          <t>whole</t>
        </is>
      </c>
      <c r="R260" s="6" t="inlineStr">
        <is>
          <t>FG1</t>
        </is>
      </c>
      <c r="S260" s="6" t="inlineStr">
        <is>
          <t>pulses</t>
        </is>
      </c>
      <c r="T260" s="6" t="inlineStr">
        <is>
          <t>plant</t>
        </is>
      </c>
      <c r="U260" s="6" t="n"/>
      <c r="V260" s="6" t="n"/>
      <c r="W260" s="6" t="n">
        <v>1</v>
      </c>
      <c r="X260" s="6" t="n">
        <v>0.3</v>
      </c>
      <c r="Y260" s="6" t="inlineStr">
        <is>
          <t>declared</t>
        </is>
      </c>
      <c r="Z260" s="8" t="n">
        <v>28657</v>
      </c>
      <c r="AA260" s="9">
        <f>IF(H260="yes",Z260*X260,0)</f>
        <v/>
      </c>
      <c r="AB260" s="9">
        <f>IF(H260="yes",AA260*N(L260)/100,0)</f>
        <v/>
      </c>
      <c r="AC260" s="9">
        <f>IF(H260="yes",AA260*N(N260)/100,0)</f>
        <v/>
      </c>
      <c r="AD260" s="9">
        <f>IF(H260="yes",AA260*N(O260)/100,0)</f>
        <v/>
      </c>
      <c r="AE260" s="10">
        <f>IF(P260="yes",AA260/1000,0)</f>
        <v/>
      </c>
      <c r="AF260" s="10">
        <f>IF(R260="FG2",AE260*W260,AE260)</f>
        <v/>
      </c>
    </row>
    <row r="261">
      <c r="A261" s="6" t="inlineStr">
        <is>
          <t>HM00259</t>
        </is>
      </c>
      <c r="B261" s="7" t="inlineStr">
        <is>
          <t>4012345574500</t>
        </is>
      </c>
      <c r="C261" s="6" t="inlineStr">
        <is>
          <t>HM STILL WATER 1.5L</t>
        </is>
      </c>
      <c r="D261" s="6" t="inlineStr">
        <is>
          <t>Still mineral water, 1.5l</t>
        </is>
      </c>
      <c r="E261" s="6" t="inlineStr">
        <is>
          <t>Harbour Market</t>
        </is>
      </c>
      <c r="F261" s="6" t="inlineStr">
        <is>
          <t>Soft Drinks &amp; Water</t>
        </is>
      </c>
      <c r="G261" s="6" t="inlineStr">
        <is>
          <t>Water</t>
        </is>
      </c>
      <c r="H261" s="6" t="inlineStr">
        <is>
          <t>yes</t>
        </is>
      </c>
      <c r="I261" s="6" t="inlineStr">
        <is>
          <t>Plant-based non-core</t>
        </is>
      </c>
      <c r="J261" s="6" t="inlineStr">
        <is>
          <t>B</t>
        </is>
      </c>
      <c r="K261" s="6" t="inlineStr">
        <is>
          <t>Follows the class</t>
        </is>
      </c>
      <c r="L261" s="6" t="n">
        <v>0</v>
      </c>
      <c r="M261" s="6" t="inlineStr">
        <is>
          <t>Median of the family</t>
        </is>
      </c>
      <c r="N261" s="6" t="n">
        <v>0</v>
      </c>
      <c r="O261" s="6" t="n">
        <v>0</v>
      </c>
      <c r="P261" s="6" t="inlineStr">
        <is>
          <t>no</t>
        </is>
      </c>
      <c r="Q261" s="6" t="n"/>
      <c r="R261" s="6" t="n"/>
      <c r="S261" s="6" t="n"/>
      <c r="T261" s="6" t="n"/>
      <c r="U261" s="6" t="n"/>
      <c r="V261" s="6" t="inlineStr">
        <is>
          <t>beverage</t>
        </is>
      </c>
      <c r="W261" s="6" t="n">
        <v>1</v>
      </c>
      <c r="X261" s="6" t="n">
        <v>1.5</v>
      </c>
      <c r="Y261" s="6" t="inlineStr">
        <is>
          <t>declared</t>
        </is>
      </c>
      <c r="Z261" s="8" t="n">
        <v>26379</v>
      </c>
      <c r="AA261" s="9">
        <f>IF(H261="yes",Z261*X261,0)</f>
        <v/>
      </c>
      <c r="AB261" s="9">
        <f>IF(H261="yes",AA261*N(L261)/100,0)</f>
        <v/>
      </c>
      <c r="AC261" s="9">
        <f>IF(H261="yes",AA261*N(N261)/100,0)</f>
        <v/>
      </c>
      <c r="AD261" s="9">
        <f>IF(H261="yes",AA261*N(O261)/100,0)</f>
        <v/>
      </c>
      <c r="AE261" s="10">
        <f>IF(P261="yes",AA261/1000,0)</f>
        <v/>
      </c>
      <c r="AF261" s="10">
        <f>IF(R261="FG2",AE261*W261,AE261)</f>
        <v/>
      </c>
    </row>
    <row r="262">
      <c r="A262" s="6" t="inlineStr">
        <is>
          <t>HM00260</t>
        </is>
      </c>
      <c r="B262" s="7" t="inlineStr">
        <is>
          <t>5012345948751</t>
        </is>
      </c>
      <c r="C262" s="6" t="inlineStr">
        <is>
          <t>HM BASMATI RICE 500G</t>
        </is>
      </c>
      <c r="D262" s="6" t="inlineStr">
        <is>
          <t>Basmati rice, 500g</t>
        </is>
      </c>
      <c r="E262" s="6" t="inlineStr">
        <is>
          <t>Harbour Market</t>
        </is>
      </c>
      <c r="F262" s="6" t="inlineStr">
        <is>
          <t>Grocery</t>
        </is>
      </c>
      <c r="G262" s="6" t="inlineStr">
        <is>
          <t>Rice &amp; Grains</t>
        </is>
      </c>
      <c r="H262" s="6" t="inlineStr">
        <is>
          <t>yes</t>
        </is>
      </c>
      <c r="I262" s="6" t="inlineStr">
        <is>
          <t>Plant-based non-core</t>
        </is>
      </c>
      <c r="J262" s="6" t="inlineStr">
        <is>
          <t>A</t>
        </is>
      </c>
      <c r="K262" s="6" t="inlineStr">
        <is>
          <t>All ingredients on one side</t>
        </is>
      </c>
      <c r="L262" s="6" t="n">
        <v>7.3</v>
      </c>
      <c r="M262" s="6" t="inlineStr">
        <is>
          <t>Name match (CIQUAL / NEVO)</t>
        </is>
      </c>
      <c r="N262" s="6" t="n">
        <v>7.3</v>
      </c>
      <c r="O262" s="6" t="n">
        <v>0</v>
      </c>
      <c r="P262" s="6" t="inlineStr">
        <is>
          <t>yes</t>
        </is>
      </c>
      <c r="Q262" s="6" t="inlineStr">
        <is>
          <t>whole</t>
        </is>
      </c>
      <c r="R262" s="6" t="inlineStr">
        <is>
          <t>FG5</t>
        </is>
      </c>
      <c r="S262" s="6" t="inlineStr">
        <is>
          <t>refined grain</t>
        </is>
      </c>
      <c r="T262" s="6" t="inlineStr">
        <is>
          <t>plant</t>
        </is>
      </c>
      <c r="U262" s="6" t="n"/>
      <c r="V262" s="6" t="n"/>
      <c r="W262" s="6" t="n">
        <v>1</v>
      </c>
      <c r="X262" s="6" t="n">
        <v>0.5</v>
      </c>
      <c r="Y262" s="6" t="inlineStr">
        <is>
          <t>declared</t>
        </is>
      </c>
      <c r="Z262" s="8" t="n">
        <v>32325</v>
      </c>
      <c r="AA262" s="9">
        <f>IF(H262="yes",Z262*X262,0)</f>
        <v/>
      </c>
      <c r="AB262" s="9">
        <f>IF(H262="yes",AA262*N(L262)/100,0)</f>
        <v/>
      </c>
      <c r="AC262" s="9">
        <f>IF(H262="yes",AA262*N(N262)/100,0)</f>
        <v/>
      </c>
      <c r="AD262" s="9">
        <f>IF(H262="yes",AA262*N(O262)/100,0)</f>
        <v/>
      </c>
      <c r="AE262" s="10">
        <f>IF(P262="yes",AA262/1000,0)</f>
        <v/>
      </c>
      <c r="AF262" s="10">
        <f>IF(R262="FG2",AE262*W262,AE262)</f>
        <v/>
      </c>
    </row>
    <row r="263">
      <c r="A263" s="6" t="inlineStr">
        <is>
          <t>HM00261</t>
        </is>
      </c>
      <c r="B263" s="7" t="inlineStr">
        <is>
          <t>3012345136068</t>
        </is>
      </c>
      <c r="C263" s="6" t="inlineStr">
        <is>
          <t>HM TEALIGHTS 50PK EACH</t>
        </is>
      </c>
      <c r="D263" s="6" t="inlineStr">
        <is>
          <t>Tealights</t>
        </is>
      </c>
      <c r="E263" s="6" t="inlineStr">
        <is>
          <t>Harbour Market</t>
        </is>
      </c>
      <c r="F263" s="6" t="inlineStr">
        <is>
          <t>Household</t>
        </is>
      </c>
      <c r="G263" s="6" t="inlineStr">
        <is>
          <t>Household</t>
        </is>
      </c>
      <c r="H263" s="6" t="inlineStr">
        <is>
          <t>no</t>
        </is>
      </c>
      <c r="I263" s="6" t="n"/>
      <c r="J263" s="6" t="n"/>
      <c r="K263" s="6" t="n"/>
      <c r="L263" s="6" t="n"/>
      <c r="M263" s="6" t="n"/>
      <c r="N263" s="6" t="n"/>
      <c r="O263" s="6" t="n"/>
      <c r="P263" s="6" t="inlineStr">
        <is>
          <t>no</t>
        </is>
      </c>
      <c r="Q263" s="6" t="n"/>
      <c r="R263" s="6" t="n"/>
      <c r="S263" s="6" t="n"/>
      <c r="T263" s="6" t="n"/>
      <c r="U263" s="6" t="n"/>
      <c r="V263" s="6" t="n"/>
      <c r="W263" s="6" t="n">
        <v>1</v>
      </c>
      <c r="X263" s="6" t="n">
        <v>0.2</v>
      </c>
      <c r="Y263" s="6" t="inlineStr">
        <is>
          <t>declared</t>
        </is>
      </c>
      <c r="Z263" s="8" t="n">
        <v>13891</v>
      </c>
      <c r="AA263" s="9">
        <f>IF(H263="yes",Z263*X263,0)</f>
        <v/>
      </c>
      <c r="AB263" s="9">
        <f>IF(H263="yes",AA263*N(L263)/100,0)</f>
        <v/>
      </c>
      <c r="AC263" s="9">
        <f>IF(H263="yes",AA263*N(N263)/100,0)</f>
        <v/>
      </c>
      <c r="AD263" s="9">
        <f>IF(H263="yes",AA263*N(O263)/100,0)</f>
        <v/>
      </c>
      <c r="AE263" s="10">
        <f>IF(P263="yes",AA263/1000,0)</f>
        <v/>
      </c>
      <c r="AF263" s="10">
        <f>IF(R263="FG2",AE263*W263,AE263)</f>
        <v/>
      </c>
    </row>
    <row r="264">
      <c r="A264" s="6" t="inlineStr">
        <is>
          <t>HM00262</t>
        </is>
      </c>
      <c r="B264" s="7" t="inlineStr">
        <is>
          <t>5012345859880</t>
        </is>
      </c>
      <c r="C264" s="6" t="inlineStr">
        <is>
          <t>INSTANT COFFEE 200G VELOCE</t>
        </is>
      </c>
      <c r="D264" s="6" t="inlineStr">
        <is>
          <t>Instant coffee, 200g</t>
        </is>
      </c>
      <c r="E264" s="6" t="inlineStr">
        <is>
          <t>Veloce</t>
        </is>
      </c>
      <c r="F264" s="6" t="inlineStr">
        <is>
          <t>Grocery</t>
        </is>
      </c>
      <c r="G264" s="6" t="inlineStr">
        <is>
          <t>Tea &amp; Coffee</t>
        </is>
      </c>
      <c r="H264" s="6" t="inlineStr">
        <is>
          <t>yes</t>
        </is>
      </c>
      <c r="I264" s="6" t="inlineStr">
        <is>
          <t>Plant-based non-core</t>
        </is>
      </c>
      <c r="J264" s="6" t="inlineStr">
        <is>
          <t>A</t>
        </is>
      </c>
      <c r="K264" s="6" t="inlineStr">
        <is>
          <t>All ingredients on one side</t>
        </is>
      </c>
      <c r="L264" s="6" t="n">
        <v>8.199999999999999</v>
      </c>
      <c r="M264" s="6" t="inlineStr">
        <is>
          <t>Name match (CIQUAL / NEVO)</t>
        </is>
      </c>
      <c r="N264" s="6" t="n">
        <v>8.199999999999999</v>
      </c>
      <c r="O264" s="6" t="n">
        <v>0</v>
      </c>
      <c r="P264" s="6" t="inlineStr">
        <is>
          <t>no</t>
        </is>
      </c>
      <c r="Q264" s="6" t="n"/>
      <c r="R264" s="6" t="n"/>
      <c r="S264" s="6" t="n"/>
      <c r="T264" s="6" t="n"/>
      <c r="U264" s="6" t="n"/>
      <c r="V264" s="6" t="inlineStr">
        <is>
          <t>coffee tea</t>
        </is>
      </c>
      <c r="W264" s="6" t="n">
        <v>1</v>
      </c>
      <c r="X264" s="6" t="n">
        <v>0.2</v>
      </c>
      <c r="Y264" s="6" t="inlineStr">
        <is>
          <t>label</t>
        </is>
      </c>
      <c r="Z264" s="8" t="n">
        <v>23299</v>
      </c>
      <c r="AA264" s="9">
        <f>IF(H264="yes",Z264*X264,0)</f>
        <v/>
      </c>
      <c r="AB264" s="9">
        <f>IF(H264="yes",AA264*N(L264)/100,0)</f>
        <v/>
      </c>
      <c r="AC264" s="9">
        <f>IF(H264="yes",AA264*N(N264)/100,0)</f>
        <v/>
      </c>
      <c r="AD264" s="9">
        <f>IF(H264="yes",AA264*N(O264)/100,0)</f>
        <v/>
      </c>
      <c r="AE264" s="10">
        <f>IF(P264="yes",AA264/1000,0)</f>
        <v/>
      </c>
      <c r="AF264" s="10">
        <f>IF(R264="FG2",AE264*W264,AE264)</f>
        <v/>
      </c>
    </row>
    <row r="265">
      <c r="A265" s="6" t="inlineStr">
        <is>
          <t>HM00263</t>
        </is>
      </c>
      <c r="B265" s="7" t="inlineStr">
        <is>
          <t>3012345319959</t>
        </is>
      </c>
      <c r="C265" s="6" t="inlineStr">
        <is>
          <t>HM CLOSED CUP MUSHROOMS 500G</t>
        </is>
      </c>
      <c r="D265" s="6" t="inlineStr">
        <is>
          <t>Closed cup mushrooms, 500g</t>
        </is>
      </c>
      <c r="E265" s="6" t="inlineStr">
        <is>
          <t>Harbour Market</t>
        </is>
      </c>
      <c r="F265" s="6" t="inlineStr">
        <is>
          <t>Fruit &amp; Vegetables</t>
        </is>
      </c>
      <c r="G265" s="6" t="inlineStr">
        <is>
          <t>Vegetables</t>
        </is>
      </c>
      <c r="H265" s="6" t="inlineStr">
        <is>
          <t>yes</t>
        </is>
      </c>
      <c r="I265" s="6" t="inlineStr">
        <is>
          <t>Plant-based non-core</t>
        </is>
      </c>
      <c r="J265" s="6" t="inlineStr">
        <is>
          <t>B</t>
        </is>
      </c>
      <c r="K265" s="6" t="inlineStr">
        <is>
          <t>Follows the class</t>
        </is>
      </c>
      <c r="L265" s="6" t="n">
        <v>3.2</v>
      </c>
      <c r="M265" s="6" t="inlineStr">
        <is>
          <t>Altera reference base</t>
        </is>
      </c>
      <c r="N265" s="6" t="n">
        <v>3.2</v>
      </c>
      <c r="O265" s="6" t="n">
        <v>0</v>
      </c>
      <c r="P265" s="6" t="inlineStr">
        <is>
          <t>yes</t>
        </is>
      </c>
      <c r="Q265" s="6" t="inlineStr">
        <is>
          <t>whole</t>
        </is>
      </c>
      <c r="R265" s="6" t="inlineStr">
        <is>
          <t>FG4</t>
        </is>
      </c>
      <c r="S265" s="6" t="n"/>
      <c r="T265" s="6" t="inlineStr">
        <is>
          <t>plant</t>
        </is>
      </c>
      <c r="U265" s="6" t="n"/>
      <c r="V265" s="6" t="n"/>
      <c r="W265" s="6" t="n">
        <v>1</v>
      </c>
      <c r="X265" s="6" t="n">
        <v>0.5</v>
      </c>
      <c r="Y265" s="6" t="inlineStr">
        <is>
          <t>declared</t>
        </is>
      </c>
      <c r="Z265" s="8" t="n">
        <v>60888</v>
      </c>
      <c r="AA265" s="9">
        <f>IF(H265="yes",Z265*X265,0)</f>
        <v/>
      </c>
      <c r="AB265" s="9">
        <f>IF(H265="yes",AA265*N(L265)/100,0)</f>
        <v/>
      </c>
      <c r="AC265" s="9">
        <f>IF(H265="yes",AA265*N(N265)/100,0)</f>
        <v/>
      </c>
      <c r="AD265" s="9">
        <f>IF(H265="yes",AA265*N(O265)/100,0)</f>
        <v/>
      </c>
      <c r="AE265" s="10">
        <f>IF(P265="yes",AA265/1000,0)</f>
        <v/>
      </c>
      <c r="AF265" s="10">
        <f>IF(R265="FG2",AE265*W265,AE265)</f>
        <v/>
      </c>
    </row>
    <row r="266">
      <c r="A266" s="6" t="inlineStr">
        <is>
          <t>HM00264</t>
        </is>
      </c>
      <c r="B266" s="7" t="inlineStr">
        <is>
          <t>5012345560304</t>
        </is>
      </c>
      <c r="C266" s="6" t="inlineStr">
        <is>
          <t>HM MAYONNAISE 400G</t>
        </is>
      </c>
      <c r="D266" s="6" t="inlineStr">
        <is>
          <t>Mayonnaise, 400g</t>
        </is>
      </c>
      <c r="E266" s="6" t="inlineStr">
        <is>
          <t>Harbour Market</t>
        </is>
      </c>
      <c r="F266" s="6" t="inlineStr">
        <is>
          <t>Grocery</t>
        </is>
      </c>
      <c r="G266" s="6" t="inlineStr">
        <is>
          <t>Condiments</t>
        </is>
      </c>
      <c r="H266" s="6" t="inlineStr">
        <is>
          <t>yes</t>
        </is>
      </c>
      <c r="I266" s="6" t="inlineStr">
        <is>
          <t>Animal core</t>
        </is>
      </c>
      <c r="J266" s="6" t="inlineStr">
        <is>
          <t>A</t>
        </is>
      </c>
      <c r="K266" s="6" t="inlineStr">
        <is>
          <t>All ingredients on one side</t>
        </is>
      </c>
      <c r="L266" s="6" t="n">
        <v>1.1</v>
      </c>
      <c r="M266" s="6" t="inlineStr">
        <is>
          <t>Median of the family</t>
        </is>
      </c>
      <c r="N266" s="6" t="n">
        <v>0</v>
      </c>
      <c r="O266" s="6" t="n">
        <v>1.1</v>
      </c>
      <c r="P266" s="6" t="inlineStr">
        <is>
          <t>no</t>
        </is>
      </c>
      <c r="Q266" s="6" t="n"/>
      <c r="R266" s="6" t="n"/>
      <c r="S266" s="6" t="n"/>
      <c r="T266" s="6" t="n"/>
      <c r="U266" s="6" t="n"/>
      <c r="V266" s="6" t="inlineStr">
        <is>
          <t>condiment</t>
        </is>
      </c>
      <c r="W266" s="6" t="n">
        <v>1</v>
      </c>
      <c r="X266" s="6" t="n">
        <v>0.4</v>
      </c>
      <c r="Y266" s="6" t="inlineStr">
        <is>
          <t>declared</t>
        </is>
      </c>
      <c r="Z266" s="8" t="n">
        <v>25605</v>
      </c>
      <c r="AA266" s="9">
        <f>IF(H266="yes",Z266*X266,0)</f>
        <v/>
      </c>
      <c r="AB266" s="9">
        <f>IF(H266="yes",AA266*N(L266)/100,0)</f>
        <v/>
      </c>
      <c r="AC266" s="9">
        <f>IF(H266="yes",AA266*N(N266)/100,0)</f>
        <v/>
      </c>
      <c r="AD266" s="9">
        <f>IF(H266="yes",AA266*N(O266)/100,0)</f>
        <v/>
      </c>
      <c r="AE266" s="10">
        <f>IF(P266="yes",AA266/1000,0)</f>
        <v/>
      </c>
      <c r="AF266" s="10">
        <f>IF(R266="FG2",AE266*W266,AE266)</f>
        <v/>
      </c>
    </row>
    <row r="267">
      <c r="A267" s="6" t="inlineStr">
        <is>
          <t>HM00265</t>
        </is>
      </c>
      <c r="B267" s="7" t="inlineStr">
        <is>
          <t>5012345195407</t>
        </is>
      </c>
      <c r="C267" s="6" t="inlineStr">
        <is>
          <t>HM HAM TRIM 400G</t>
        </is>
      </c>
      <c r="D267" s="6" t="inlineStr">
        <is>
          <t>Ham trimmings, 400g</t>
        </is>
      </c>
      <c r="E267" s="6" t="inlineStr">
        <is>
          <t>Harbour Market</t>
        </is>
      </c>
      <c r="F267" s="6" t="inlineStr">
        <is>
          <t>Deli</t>
        </is>
      </c>
      <c r="G267" s="6" t="inlineStr">
        <is>
          <t>Cooked Meats</t>
        </is>
      </c>
      <c r="H267" s="6" t="inlineStr">
        <is>
          <t>yes</t>
        </is>
      </c>
      <c r="I267" s="6" t="inlineStr">
        <is>
          <t>Animal core</t>
        </is>
      </c>
      <c r="J267" s="6" t="inlineStr">
        <is>
          <t>A</t>
        </is>
      </c>
      <c r="K267" s="6" t="inlineStr">
        <is>
          <t>All ingredients on one side</t>
        </is>
      </c>
      <c r="L267" s="6" t="n">
        <v>18.5</v>
      </c>
      <c r="M267" s="6" t="inlineStr">
        <is>
          <t>Declared by the retailer</t>
        </is>
      </c>
      <c r="N267" s="6" t="n">
        <v>0</v>
      </c>
      <c r="O267" s="6" t="n">
        <v>18.5</v>
      </c>
      <c r="P267" s="6" t="inlineStr">
        <is>
          <t>yes</t>
        </is>
      </c>
      <c r="Q267" s="6" t="inlineStr">
        <is>
          <t>whole</t>
        </is>
      </c>
      <c r="R267" s="6" t="inlineStr">
        <is>
          <t>FG1</t>
        </is>
      </c>
      <c r="S267" s="6" t="inlineStr">
        <is>
          <t>red meat</t>
        </is>
      </c>
      <c r="T267" s="6" t="inlineStr">
        <is>
          <t>animal</t>
        </is>
      </c>
      <c r="U267" s="6" t="n"/>
      <c r="V267" s="6" t="n"/>
      <c r="W267" s="6" t="n">
        <v>1</v>
      </c>
      <c r="X267" s="6" t="n">
        <v>0.4</v>
      </c>
      <c r="Y267" s="6" t="inlineStr">
        <is>
          <t>declared</t>
        </is>
      </c>
      <c r="Z267" s="8" t="n">
        <v>28185</v>
      </c>
      <c r="AA267" s="9">
        <f>IF(H267="yes",Z267*X267,0)</f>
        <v/>
      </c>
      <c r="AB267" s="9">
        <f>IF(H267="yes",AA267*N(L267)/100,0)</f>
        <v/>
      </c>
      <c r="AC267" s="9">
        <f>IF(H267="yes",AA267*N(N267)/100,0)</f>
        <v/>
      </c>
      <c r="AD267" s="9">
        <f>IF(H267="yes",AA267*N(O267)/100,0)</f>
        <v/>
      </c>
      <c r="AE267" s="10">
        <f>IF(P267="yes",AA267/1000,0)</f>
        <v/>
      </c>
      <c r="AF267" s="10">
        <f>IF(R267="FG2",AE267*W267,AE267)</f>
        <v/>
      </c>
    </row>
    <row r="268">
      <c r="A268" s="6" t="inlineStr">
        <is>
          <t>HM00266</t>
        </is>
      </c>
      <c r="B268" s="7" t="inlineStr">
        <is>
          <t>3012345918664</t>
        </is>
      </c>
      <c r="C268" s="6" t="inlineStr">
        <is>
          <t>CHOC CHIP COOKIES 400G MARLOWE</t>
        </is>
      </c>
      <c r="D268" s="6" t="inlineStr">
        <is>
          <t>Chocolate chip cookies, 400g</t>
        </is>
      </c>
      <c r="E268" s="6" t="inlineStr">
        <is>
          <t>Marlowe</t>
        </is>
      </c>
      <c r="F268" s="6" t="inlineStr">
        <is>
          <t>Breakfast &amp; Snacks</t>
        </is>
      </c>
      <c r="G268" s="6" t="inlineStr">
        <is>
          <t>Biscuits</t>
        </is>
      </c>
      <c r="H268" s="6" t="inlineStr">
        <is>
          <t>yes</t>
        </is>
      </c>
      <c r="I268" s="6" t="inlineStr">
        <is>
          <t>Animal &amp; plant composite</t>
        </is>
      </c>
      <c r="J268" s="6" t="inlineStr">
        <is>
          <t>B</t>
        </is>
      </c>
      <c r="K268" s="6" t="inlineStr">
        <is>
          <t>50/50 convention</t>
        </is>
      </c>
      <c r="L268" s="6" t="n">
        <v>6.1</v>
      </c>
      <c r="M268" s="6" t="inlineStr">
        <is>
          <t>Name match (CIQUAL / NEVO)</t>
        </is>
      </c>
      <c r="N268" s="6" t="n">
        <v>3.05</v>
      </c>
      <c r="O268" s="6" t="n">
        <v>3.05</v>
      </c>
      <c r="P268" s="6" t="inlineStr">
        <is>
          <t>yes</t>
        </is>
      </c>
      <c r="Q268" s="6" t="inlineStr">
        <is>
          <t>whole</t>
        </is>
      </c>
      <c r="R268" s="6" t="inlineStr">
        <is>
          <t>FG7</t>
        </is>
      </c>
      <c r="S268" s="6" t="n"/>
      <c r="T268" s="6" t="inlineStr">
        <is>
          <t>plant</t>
        </is>
      </c>
      <c r="U268" s="6" t="n"/>
      <c r="V268" s="6" t="n"/>
      <c r="W268" s="6" t="n">
        <v>1</v>
      </c>
      <c r="X268" s="6" t="n">
        <v>0.4</v>
      </c>
      <c r="Y268" s="6" t="inlineStr">
        <is>
          <t>declared</t>
        </is>
      </c>
      <c r="Z268" s="8" t="n">
        <v>20903</v>
      </c>
      <c r="AA268" s="9">
        <f>IF(H268="yes",Z268*X268,0)</f>
        <v/>
      </c>
      <c r="AB268" s="9">
        <f>IF(H268="yes",AA268*N(L268)/100,0)</f>
        <v/>
      </c>
      <c r="AC268" s="9">
        <f>IF(H268="yes",AA268*N(N268)/100,0)</f>
        <v/>
      </c>
      <c r="AD268" s="9">
        <f>IF(H268="yes",AA268*N(O268)/100,0)</f>
        <v/>
      </c>
      <c r="AE268" s="10">
        <f>IF(P268="yes",AA268/1000,0)</f>
        <v/>
      </c>
      <c r="AF268" s="10">
        <f>IF(R268="FG2",AE268*W268,AE268)</f>
        <v/>
      </c>
    </row>
    <row r="269">
      <c r="A269" s="6" t="inlineStr">
        <is>
          <t>HM00267</t>
        </is>
      </c>
      <c r="B269" s="7" t="inlineStr">
        <is>
          <t>2820503816140</t>
        </is>
      </c>
      <c r="C269" s="6" t="inlineStr">
        <is>
          <t>HM CLEMENTINES KG</t>
        </is>
      </c>
      <c r="D269" s="6" t="inlineStr">
        <is>
          <t>Clementines</t>
        </is>
      </c>
      <c r="E269" s="6" t="inlineStr">
        <is>
          <t>Harbour Market</t>
        </is>
      </c>
      <c r="F269" s="6" t="inlineStr">
        <is>
          <t>Fruit &amp; Vegetables</t>
        </is>
      </c>
      <c r="G269" s="6" t="inlineStr">
        <is>
          <t>Fruit</t>
        </is>
      </c>
      <c r="H269" s="6" t="inlineStr">
        <is>
          <t>yes</t>
        </is>
      </c>
      <c r="I269" s="6" t="inlineStr">
        <is>
          <t>Plant-based non-core</t>
        </is>
      </c>
      <c r="J269" s="6" t="inlineStr">
        <is>
          <t>B</t>
        </is>
      </c>
      <c r="K269" s="6" t="inlineStr">
        <is>
          <t>Follows the class</t>
        </is>
      </c>
      <c r="L269" s="6" t="n">
        <v>0.83</v>
      </c>
      <c r="M269" s="6" t="inlineStr">
        <is>
          <t>Declared by the retailer</t>
        </is>
      </c>
      <c r="N269" s="6" t="n">
        <v>0.83</v>
      </c>
      <c r="O269" s="6" t="n">
        <v>0</v>
      </c>
      <c r="P269" s="6" t="inlineStr">
        <is>
          <t>yes</t>
        </is>
      </c>
      <c r="Q269" s="6" t="inlineStr">
        <is>
          <t>whole</t>
        </is>
      </c>
      <c r="R269" s="6" t="inlineStr">
        <is>
          <t>FG4</t>
        </is>
      </c>
      <c r="S269" s="6" t="n"/>
      <c r="T269" s="6" t="inlineStr">
        <is>
          <t>plant</t>
        </is>
      </c>
      <c r="U269" s="6" t="n"/>
      <c r="V269" s="6" t="n"/>
      <c r="W269" s="6" t="n">
        <v>1</v>
      </c>
      <c r="X269" s="6" t="n">
        <v>1</v>
      </c>
      <c r="Y269" s="6" t="inlineStr">
        <is>
          <t>variable</t>
        </is>
      </c>
      <c r="Z269" s="8" t="n">
        <v>85028</v>
      </c>
      <c r="AA269" s="9">
        <f>IF(H269="yes",Z269*X269,0)</f>
        <v/>
      </c>
      <c r="AB269" s="9">
        <f>IF(H269="yes",AA269*N(L269)/100,0)</f>
        <v/>
      </c>
      <c r="AC269" s="9">
        <f>IF(H269="yes",AA269*N(N269)/100,0)</f>
        <v/>
      </c>
      <c r="AD269" s="9">
        <f>IF(H269="yes",AA269*N(O269)/100,0)</f>
        <v/>
      </c>
      <c r="AE269" s="10">
        <f>IF(P269="yes",AA269/1000,0)</f>
        <v/>
      </c>
      <c r="AF269" s="10">
        <f>IF(R269="FG2",AE269*W269,AE269)</f>
        <v/>
      </c>
    </row>
    <row r="270">
      <c r="A270" s="6" t="inlineStr">
        <is>
          <t>HM00268</t>
        </is>
      </c>
      <c r="B270" s="7" t="inlineStr">
        <is>
          <t>8712345435592</t>
        </is>
      </c>
      <c r="C270" s="6" t="inlineStr">
        <is>
          <t>HM HOUMOUS CLASSIC 300G</t>
        </is>
      </c>
      <c r="D270" s="6" t="inlineStr">
        <is>
          <t>Classic houmous, 300g</t>
        </is>
      </c>
      <c r="E270" s="6" t="inlineStr">
        <is>
          <t>Harbour Market</t>
        </is>
      </c>
      <c r="F270" s="6" t="inlineStr">
        <is>
          <t>Deli</t>
        </is>
      </c>
      <c r="G270" s="6" t="inlineStr">
        <is>
          <t>Dips</t>
        </is>
      </c>
      <c r="H270" s="6" t="inlineStr">
        <is>
          <t>yes</t>
        </is>
      </c>
      <c r="I270" s="6" t="inlineStr">
        <is>
          <t>Plant-based core</t>
        </is>
      </c>
      <c r="J270" s="6" t="inlineStr">
        <is>
          <t>A</t>
        </is>
      </c>
      <c r="K270" s="6" t="inlineStr">
        <is>
          <t>All ingredients on one side</t>
        </is>
      </c>
      <c r="L270" s="6" t="n">
        <v>6.6</v>
      </c>
      <c r="M270" s="6" t="inlineStr">
        <is>
          <t>Name match (CIQUAL / NEVO)</t>
        </is>
      </c>
      <c r="N270" s="6" t="n">
        <v>6.6</v>
      </c>
      <c r="O270" s="6" t="n">
        <v>0</v>
      </c>
      <c r="P270" s="6" t="inlineStr">
        <is>
          <t>yes</t>
        </is>
      </c>
      <c r="Q270" s="6" t="inlineStr">
        <is>
          <t>whole</t>
        </is>
      </c>
      <c r="R270" s="6" t="inlineStr">
        <is>
          <t>FG1</t>
        </is>
      </c>
      <c r="S270" s="6" t="inlineStr">
        <is>
          <t>pulses</t>
        </is>
      </c>
      <c r="T270" s="6" t="inlineStr">
        <is>
          <t>plant</t>
        </is>
      </c>
      <c r="U270" s="6" t="n"/>
      <c r="V270" s="6" t="n"/>
      <c r="W270" s="6" t="n">
        <v>1</v>
      </c>
      <c r="X270" s="6" t="n">
        <v>0.3</v>
      </c>
      <c r="Y270" s="6" t="inlineStr">
        <is>
          <t>declared</t>
        </is>
      </c>
      <c r="Z270" s="8" t="n">
        <v>22478</v>
      </c>
      <c r="AA270" s="9">
        <f>IF(H270="yes",Z270*X270,0)</f>
        <v/>
      </c>
      <c r="AB270" s="9">
        <f>IF(H270="yes",AA270*N(L270)/100,0)</f>
        <v/>
      </c>
      <c r="AC270" s="9">
        <f>IF(H270="yes",AA270*N(N270)/100,0)</f>
        <v/>
      </c>
      <c r="AD270" s="9">
        <f>IF(H270="yes",AA270*N(O270)/100,0)</f>
        <v/>
      </c>
      <c r="AE270" s="10">
        <f>IF(P270="yes",AA270/1000,0)</f>
        <v/>
      </c>
      <c r="AF270" s="10">
        <f>IF(R270="FG2",AE270*W270,AE270)</f>
        <v/>
      </c>
    </row>
    <row r="271">
      <c r="A271" s="6" t="inlineStr">
        <is>
          <t>HM00269</t>
        </is>
      </c>
      <c r="B271" s="7" t="inlineStr">
        <is>
          <t>4012345133905</t>
        </is>
      </c>
      <c r="C271" s="6" t="inlineStr">
        <is>
          <t>MAC CHEESE 400G QUILLAN</t>
        </is>
      </c>
      <c r="D271" s="6" t="inlineStr">
        <is>
          <t>Macaroni cheese, 400g</t>
        </is>
      </c>
      <c r="E271" s="6" t="inlineStr">
        <is>
          <t>Quillan</t>
        </is>
      </c>
      <c r="F271" s="6" t="inlineStr">
        <is>
          <t>Ready Meals</t>
        </is>
      </c>
      <c r="G271" s="6" t="inlineStr">
        <is>
          <t>Ready Meals</t>
        </is>
      </c>
      <c r="H271" s="6" t="inlineStr">
        <is>
          <t>yes</t>
        </is>
      </c>
      <c r="I271" s="6" t="inlineStr">
        <is>
          <t>Animal &amp; plant composite</t>
        </is>
      </c>
      <c r="J271" s="6" t="inlineStr">
        <is>
          <t>B</t>
        </is>
      </c>
      <c r="K271" s="6" t="inlineStr">
        <is>
          <t>50/50 convention</t>
        </is>
      </c>
      <c r="L271" s="6" t="n">
        <v>8.300000000000001</v>
      </c>
      <c r="M271" s="6" t="inlineStr">
        <is>
          <t>Declared by the retailer</t>
        </is>
      </c>
      <c r="N271" s="6" t="n">
        <v>4.15</v>
      </c>
      <c r="O271" s="6" t="n">
        <v>4.15</v>
      </c>
      <c r="P271" s="6" t="inlineStr">
        <is>
          <t>yes</t>
        </is>
      </c>
      <c r="Q271" s="6" t="inlineStr">
        <is>
          <t>composite</t>
        </is>
      </c>
      <c r="R271" s="6" t="n"/>
      <c r="S271" s="6" t="n"/>
      <c r="T271" s="6" t="n"/>
      <c r="U271" s="6" t="inlineStr">
        <is>
          <t>vegetarian</t>
        </is>
      </c>
      <c r="V271" s="6" t="n"/>
      <c r="W271" s="6" t="n">
        <v>1</v>
      </c>
      <c r="X271" s="6" t="n">
        <v>0.4</v>
      </c>
      <c r="Y271" s="6" t="inlineStr">
        <is>
          <t>declared</t>
        </is>
      </c>
      <c r="Z271" s="8" t="n">
        <v>6487</v>
      </c>
      <c r="AA271" s="9">
        <f>IF(H271="yes",Z271*X271,0)</f>
        <v/>
      </c>
      <c r="AB271" s="9">
        <f>IF(H271="yes",AA271*N(L271)/100,0)</f>
        <v/>
      </c>
      <c r="AC271" s="9">
        <f>IF(H271="yes",AA271*N(N271)/100,0)</f>
        <v/>
      </c>
      <c r="AD271" s="9">
        <f>IF(H271="yes",AA271*N(O271)/100,0)</f>
        <v/>
      </c>
      <c r="AE271" s="10">
        <f>IF(P271="yes",AA271/1000,0)</f>
        <v/>
      </c>
      <c r="AF271" s="10">
        <f>IF(R271="FG2",AE271*W271,AE271)</f>
        <v/>
      </c>
    </row>
    <row r="272">
      <c r="A272" s="6" t="inlineStr">
        <is>
          <t>HM00270</t>
        </is>
      </c>
      <c r="B272" s="7" t="inlineStr">
        <is>
          <t>8712345249564</t>
        </is>
      </c>
      <c r="C272" s="6" t="inlineStr">
        <is>
          <t>HM LEAF SPINACH 500G</t>
        </is>
      </c>
      <c r="D272" s="6" t="inlineStr">
        <is>
          <t>Leaf spinach, 500g</t>
        </is>
      </c>
      <c r="E272" s="6" t="inlineStr">
        <is>
          <t>Harbour Market</t>
        </is>
      </c>
      <c r="F272" s="6" t="inlineStr">
        <is>
          <t>Frozen</t>
        </is>
      </c>
      <c r="G272" s="6" t="inlineStr">
        <is>
          <t>Frozen Vegetables</t>
        </is>
      </c>
      <c r="H272" s="6" t="inlineStr">
        <is>
          <t>yes</t>
        </is>
      </c>
      <c r="I272" s="6" t="inlineStr">
        <is>
          <t>Plant-based non-core</t>
        </is>
      </c>
      <c r="J272" s="6" t="inlineStr">
        <is>
          <t>A</t>
        </is>
      </c>
      <c r="K272" s="6" t="inlineStr">
        <is>
          <t>All ingredients on one side</t>
        </is>
      </c>
      <c r="L272" s="6" t="n">
        <v>2.8</v>
      </c>
      <c r="M272" s="6" t="inlineStr">
        <is>
          <t>Declared by the retailer</t>
        </is>
      </c>
      <c r="N272" s="6" t="n">
        <v>2.8</v>
      </c>
      <c r="O272" s="6" t="n">
        <v>0</v>
      </c>
      <c r="P272" s="6" t="inlineStr">
        <is>
          <t>yes</t>
        </is>
      </c>
      <c r="Q272" s="6" t="inlineStr">
        <is>
          <t>whole</t>
        </is>
      </c>
      <c r="R272" s="6" t="inlineStr">
        <is>
          <t>FG4</t>
        </is>
      </c>
      <c r="S272" s="6" t="n"/>
      <c r="T272" s="6" t="inlineStr">
        <is>
          <t>plant</t>
        </is>
      </c>
      <c r="U272" s="6" t="n"/>
      <c r="V272" s="6" t="n"/>
      <c r="W272" s="6" t="n">
        <v>1</v>
      </c>
      <c r="X272" s="6" t="n">
        <v>0.5</v>
      </c>
      <c r="Y272" s="6" t="inlineStr">
        <is>
          <t>label</t>
        </is>
      </c>
      <c r="Z272" s="8" t="n">
        <v>48971</v>
      </c>
      <c r="AA272" s="9">
        <f>IF(H272="yes",Z272*X272,0)</f>
        <v/>
      </c>
      <c r="AB272" s="9">
        <f>IF(H272="yes",AA272*N(L272)/100,0)</f>
        <v/>
      </c>
      <c r="AC272" s="9">
        <f>IF(H272="yes",AA272*N(N272)/100,0)</f>
        <v/>
      </c>
      <c r="AD272" s="9">
        <f>IF(H272="yes",AA272*N(O272)/100,0)</f>
        <v/>
      </c>
      <c r="AE272" s="10">
        <f>IF(P272="yes",AA272/1000,0)</f>
        <v/>
      </c>
      <c r="AF272" s="10">
        <f>IF(R272="FG2",AE272*W272,AE272)</f>
        <v/>
      </c>
    </row>
    <row r="273">
      <c r="A273" s="6" t="inlineStr">
        <is>
          <t>HM00271</t>
        </is>
      </c>
      <c r="B273" s="7" t="inlineStr">
        <is>
          <t>4012345113723</t>
        </is>
      </c>
      <c r="C273" s="6" t="inlineStr">
        <is>
          <t>HM PINEAPPLE EACH</t>
        </is>
      </c>
      <c r="D273" s="6" t="inlineStr">
        <is>
          <t>Pineapple</t>
        </is>
      </c>
      <c r="E273" s="6" t="inlineStr">
        <is>
          <t>Harbour Market</t>
        </is>
      </c>
      <c r="F273" s="6" t="inlineStr">
        <is>
          <t>Fruit &amp; Vegetables</t>
        </is>
      </c>
      <c r="G273" s="6" t="inlineStr">
        <is>
          <t>Exotic Fruit</t>
        </is>
      </c>
      <c r="H273" s="6" t="inlineStr">
        <is>
          <t>yes</t>
        </is>
      </c>
      <c r="I273" s="6" t="inlineStr">
        <is>
          <t>Plant-based non-core</t>
        </is>
      </c>
      <c r="J273" s="6" t="inlineStr">
        <is>
          <t>B</t>
        </is>
      </c>
      <c r="K273" s="6" t="inlineStr">
        <is>
          <t>Follows the class</t>
        </is>
      </c>
      <c r="L273" s="6" t="n">
        <v>0.52</v>
      </c>
      <c r="M273" s="6" t="inlineStr">
        <is>
          <t>Declared by the retailer</t>
        </is>
      </c>
      <c r="N273" s="6" t="n">
        <v>0.52</v>
      </c>
      <c r="O273" s="6" t="n">
        <v>0</v>
      </c>
      <c r="P273" s="6" t="inlineStr">
        <is>
          <t>yes</t>
        </is>
      </c>
      <c r="Q273" s="6" t="inlineStr">
        <is>
          <t>whole</t>
        </is>
      </c>
      <c r="R273" s="6" t="inlineStr">
        <is>
          <t>FG4</t>
        </is>
      </c>
      <c r="S273" s="6" t="n"/>
      <c r="T273" s="6" t="inlineStr">
        <is>
          <t>plant</t>
        </is>
      </c>
      <c r="U273" s="6" t="n"/>
      <c r="V273" s="6" t="n"/>
      <c r="W273" s="6" t="n">
        <v>1</v>
      </c>
      <c r="X273" s="6" t="n">
        <v>1.1</v>
      </c>
      <c r="Y273" s="6" t="inlineStr">
        <is>
          <t>typical_piece</t>
        </is>
      </c>
      <c r="Z273" s="8" t="n">
        <v>24187</v>
      </c>
      <c r="AA273" s="9">
        <f>IF(H273="yes",Z273*X273,0)</f>
        <v/>
      </c>
      <c r="AB273" s="9">
        <f>IF(H273="yes",AA273*N(L273)/100,0)</f>
        <v/>
      </c>
      <c r="AC273" s="9">
        <f>IF(H273="yes",AA273*N(N273)/100,0)</f>
        <v/>
      </c>
      <c r="AD273" s="9">
        <f>IF(H273="yes",AA273*N(O273)/100,0)</f>
        <v/>
      </c>
      <c r="AE273" s="10">
        <f>IF(P273="yes",AA273/1000,0)</f>
        <v/>
      </c>
      <c r="AF273" s="10">
        <f>IF(R273="FG2",AE273*W273,AE273)</f>
        <v/>
      </c>
    </row>
    <row r="274">
      <c r="A274" s="6" t="inlineStr">
        <is>
          <t>HM00272</t>
        </is>
      </c>
      <c r="B274" s="7" t="inlineStr">
        <is>
          <t>5012345707839</t>
        </is>
      </c>
      <c r="C274" s="6" t="inlineStr">
        <is>
          <t>HM GARLIC 4PK 1KG</t>
        </is>
      </c>
      <c r="D274" s="6" t="inlineStr">
        <is>
          <t>Garlic bulbs, 1kg</t>
        </is>
      </c>
      <c r="E274" s="6" t="inlineStr">
        <is>
          <t>Harbour Market</t>
        </is>
      </c>
      <c r="F274" s="6" t="inlineStr">
        <is>
          <t>Fruit &amp; Vegetables</t>
        </is>
      </c>
      <c r="G274" s="6" t="inlineStr">
        <is>
          <t>Vegetables</t>
        </is>
      </c>
      <c r="H274" s="6" t="inlineStr">
        <is>
          <t>yes</t>
        </is>
      </c>
      <c r="I274" s="6" t="inlineStr">
        <is>
          <t>Plant-based non-core</t>
        </is>
      </c>
      <c r="J274" s="6" t="inlineStr">
        <is>
          <t>B</t>
        </is>
      </c>
      <c r="K274" s="6" t="inlineStr">
        <is>
          <t>Follows the class</t>
        </is>
      </c>
      <c r="L274" s="6" t="n">
        <v>6.2</v>
      </c>
      <c r="M274" s="6" t="inlineStr">
        <is>
          <t>Declared by the retailer</t>
        </is>
      </c>
      <c r="N274" s="6" t="n">
        <v>6.2</v>
      </c>
      <c r="O274" s="6" t="n">
        <v>0</v>
      </c>
      <c r="P274" s="6" t="inlineStr">
        <is>
          <t>yes</t>
        </is>
      </c>
      <c r="Q274" s="6" t="inlineStr">
        <is>
          <t>whole</t>
        </is>
      </c>
      <c r="R274" s="6" t="inlineStr">
        <is>
          <t>FG4</t>
        </is>
      </c>
      <c r="S274" s="6" t="n"/>
      <c r="T274" s="6" t="inlineStr">
        <is>
          <t>plant</t>
        </is>
      </c>
      <c r="U274" s="6" t="n"/>
      <c r="V274" s="6" t="n"/>
      <c r="W274" s="6" t="n">
        <v>1</v>
      </c>
      <c r="X274" s="6" t="n">
        <v>1</v>
      </c>
      <c r="Y274" s="6" t="inlineStr">
        <is>
          <t>declared</t>
        </is>
      </c>
      <c r="Z274" s="8" t="n">
        <v>57979</v>
      </c>
      <c r="AA274" s="9">
        <f>IF(H274="yes",Z274*X274,0)</f>
        <v/>
      </c>
      <c r="AB274" s="9">
        <f>IF(H274="yes",AA274*N(L274)/100,0)</f>
        <v/>
      </c>
      <c r="AC274" s="9">
        <f>IF(H274="yes",AA274*N(N274)/100,0)</f>
        <v/>
      </c>
      <c r="AD274" s="9">
        <f>IF(H274="yes",AA274*N(O274)/100,0)</f>
        <v/>
      </c>
      <c r="AE274" s="10">
        <f>IF(P274="yes",AA274/1000,0)</f>
        <v/>
      </c>
      <c r="AF274" s="10">
        <f>IF(R274="FG2",AE274*W274,AE274)</f>
        <v/>
      </c>
    </row>
    <row r="275">
      <c r="A275" s="6" t="inlineStr">
        <is>
          <t>HM00273</t>
        </is>
      </c>
      <c r="B275" s="7" t="inlineStr">
        <is>
          <t>8712345836122</t>
        </is>
      </c>
      <c r="C275" s="6" t="inlineStr">
        <is>
          <t>HM BF MINCE 15% 400G</t>
        </is>
      </c>
      <c r="D275" s="6" t="inlineStr">
        <is>
          <t>Beef mince, 15% fat, 400g</t>
        </is>
      </c>
      <c r="E275" s="6" t="inlineStr">
        <is>
          <t>Harbour Market</t>
        </is>
      </c>
      <c r="F275" s="6" t="inlineStr">
        <is>
          <t>Fresh Meat &amp; Poultry</t>
        </is>
      </c>
      <c r="G275" s="6" t="inlineStr">
        <is>
          <t>Beef</t>
        </is>
      </c>
      <c r="H275" s="6" t="inlineStr">
        <is>
          <t>yes</t>
        </is>
      </c>
      <c r="I275" s="6" t="inlineStr">
        <is>
          <t>Animal core</t>
        </is>
      </c>
      <c r="J275" s="6" t="inlineStr">
        <is>
          <t>B</t>
        </is>
      </c>
      <c r="K275" s="6" t="inlineStr">
        <is>
          <t>Follows the class</t>
        </is>
      </c>
      <c r="L275" s="6" t="n">
        <v>19.3</v>
      </c>
      <c r="M275" s="6" t="inlineStr">
        <is>
          <t>Median of the family</t>
        </is>
      </c>
      <c r="N275" s="6" t="n">
        <v>0</v>
      </c>
      <c r="O275" s="6" t="n">
        <v>19.3</v>
      </c>
      <c r="P275" s="6" t="inlineStr">
        <is>
          <t>yes</t>
        </is>
      </c>
      <c r="Q275" s="6" t="inlineStr">
        <is>
          <t>whole</t>
        </is>
      </c>
      <c r="R275" s="6" t="inlineStr">
        <is>
          <t>FG1</t>
        </is>
      </c>
      <c r="S275" s="6" t="inlineStr">
        <is>
          <t>red meat</t>
        </is>
      </c>
      <c r="T275" s="6" t="inlineStr">
        <is>
          <t>animal</t>
        </is>
      </c>
      <c r="U275" s="6" t="n"/>
      <c r="V275" s="6" t="n"/>
      <c r="W275" s="6" t="n">
        <v>1</v>
      </c>
      <c r="X275" s="6" t="n">
        <v>0.4</v>
      </c>
      <c r="Y275" s="6" t="inlineStr">
        <is>
          <t>declared</t>
        </is>
      </c>
      <c r="Z275" s="8" t="n">
        <v>462546</v>
      </c>
      <c r="AA275" s="9">
        <f>IF(H275="yes",Z275*X275,0)</f>
        <v/>
      </c>
      <c r="AB275" s="9">
        <f>IF(H275="yes",AA275*N(L275)/100,0)</f>
        <v/>
      </c>
      <c r="AC275" s="9">
        <f>IF(H275="yes",AA275*N(N275)/100,0)</f>
        <v/>
      </c>
      <c r="AD275" s="9">
        <f>IF(H275="yes",AA275*N(O275)/100,0)</f>
        <v/>
      </c>
      <c r="AE275" s="10">
        <f>IF(P275="yes",AA275/1000,0)</f>
        <v/>
      </c>
      <c r="AF275" s="10">
        <f>IF(R275="FG2",AE275*W275,AE275)</f>
        <v/>
      </c>
    </row>
    <row r="276">
      <c r="A276" s="6" t="inlineStr">
        <is>
          <t>HM00274</t>
        </is>
      </c>
      <c r="B276" s="7" t="inlineStr">
        <is>
          <t>8712345077167</t>
        </is>
      </c>
      <c r="C276" s="6" t="inlineStr">
        <is>
          <t>HM BF MINCE 5% 750G</t>
        </is>
      </c>
      <c r="D276" s="6" t="inlineStr">
        <is>
          <t>Beef mince, 5% fat, 750g</t>
        </is>
      </c>
      <c r="E276" s="6" t="inlineStr">
        <is>
          <t>Harbour Market</t>
        </is>
      </c>
      <c r="F276" s="6" t="inlineStr">
        <is>
          <t>Fresh Meat &amp; Poultry</t>
        </is>
      </c>
      <c r="G276" s="6" t="inlineStr">
        <is>
          <t>Beef</t>
        </is>
      </c>
      <c r="H276" s="6" t="inlineStr">
        <is>
          <t>yes</t>
        </is>
      </c>
      <c r="I276" s="6" t="inlineStr">
        <is>
          <t>Animal core</t>
        </is>
      </c>
      <c r="J276" s="6" t="inlineStr">
        <is>
          <t>B</t>
        </is>
      </c>
      <c r="K276" s="6" t="inlineStr">
        <is>
          <t>Follows the class</t>
        </is>
      </c>
      <c r="L276" s="6" t="n">
        <v>21.3</v>
      </c>
      <c r="M276" s="6" t="inlineStr">
        <is>
          <t>Altera reference base</t>
        </is>
      </c>
      <c r="N276" s="6" t="n">
        <v>0</v>
      </c>
      <c r="O276" s="6" t="n">
        <v>21.3</v>
      </c>
      <c r="P276" s="6" t="inlineStr">
        <is>
          <t>yes</t>
        </is>
      </c>
      <c r="Q276" s="6" t="inlineStr">
        <is>
          <t>whole</t>
        </is>
      </c>
      <c r="R276" s="6" t="inlineStr">
        <is>
          <t>FG1</t>
        </is>
      </c>
      <c r="S276" s="6" t="inlineStr">
        <is>
          <t>red meat</t>
        </is>
      </c>
      <c r="T276" s="6" t="inlineStr">
        <is>
          <t>animal</t>
        </is>
      </c>
      <c r="U276" s="6" t="n"/>
      <c r="V276" s="6" t="n"/>
      <c r="W276" s="6" t="n">
        <v>1</v>
      </c>
      <c r="X276" s="6" t="n">
        <v>0.75</v>
      </c>
      <c r="Y276" s="6" t="inlineStr">
        <is>
          <t>declared</t>
        </is>
      </c>
      <c r="Z276" s="8" t="n">
        <v>88471</v>
      </c>
      <c r="AA276" s="9">
        <f>IF(H276="yes",Z276*X276,0)</f>
        <v/>
      </c>
      <c r="AB276" s="9">
        <f>IF(H276="yes",AA276*N(L276)/100,0)</f>
        <v/>
      </c>
      <c r="AC276" s="9">
        <f>IF(H276="yes",AA276*N(N276)/100,0)</f>
        <v/>
      </c>
      <c r="AD276" s="9">
        <f>IF(H276="yes",AA276*N(O276)/100,0)</f>
        <v/>
      </c>
      <c r="AE276" s="10">
        <f>IF(P276="yes",AA276/1000,0)</f>
        <v/>
      </c>
      <c r="AF276" s="10">
        <f>IF(R276="FG2",AE276*W276,AE276)</f>
        <v/>
      </c>
    </row>
    <row r="277">
      <c r="A277" s="6" t="inlineStr">
        <is>
          <t>HM00275</t>
        </is>
      </c>
      <c r="B277" s="7" t="inlineStr">
        <is>
          <t>3012345163194</t>
        </is>
      </c>
      <c r="C277" s="6" t="inlineStr">
        <is>
          <t>SOLVANE OAT DRINK 1L</t>
        </is>
      </c>
      <c r="D277" s="6" t="inlineStr">
        <is>
          <t>Oat drink, 1l</t>
        </is>
      </c>
      <c r="E277" s="6" t="inlineStr">
        <is>
          <t>Solvane</t>
        </is>
      </c>
      <c r="F277" s="6" t="inlineStr">
        <is>
          <t>Plant-Based</t>
        </is>
      </c>
      <c r="G277" s="6" t="inlineStr">
        <is>
          <t>Plant Drinks</t>
        </is>
      </c>
      <c r="H277" s="6" t="inlineStr">
        <is>
          <t>yes</t>
        </is>
      </c>
      <c r="I277" s="6" t="inlineStr">
        <is>
          <t>Plant-based core</t>
        </is>
      </c>
      <c r="J277" s="6" t="inlineStr">
        <is>
          <t>A</t>
        </is>
      </c>
      <c r="K277" s="6" t="inlineStr">
        <is>
          <t>All ingredients on one side</t>
        </is>
      </c>
      <c r="L277" s="6" t="n">
        <v>1</v>
      </c>
      <c r="M277" s="6" t="inlineStr">
        <is>
          <t>Open Food Facts, by EAN</t>
        </is>
      </c>
      <c r="N277" s="6" t="n">
        <v>1</v>
      </c>
      <c r="O277" s="6" t="n">
        <v>0</v>
      </c>
      <c r="P277" s="6" t="inlineStr">
        <is>
          <t>yes</t>
        </is>
      </c>
      <c r="Q277" s="6" t="inlineStr">
        <is>
          <t>whole</t>
        </is>
      </c>
      <c r="R277" s="6" t="inlineStr">
        <is>
          <t>FG2</t>
        </is>
      </c>
      <c r="S277" s="6" t="inlineStr">
        <is>
          <t>dairy alternatives</t>
        </is>
      </c>
      <c r="T277" s="6" t="inlineStr">
        <is>
          <t>plant</t>
        </is>
      </c>
      <c r="U277" s="6" t="n"/>
      <c r="V277" s="6" t="n"/>
      <c r="W277" s="6" t="n">
        <v>1</v>
      </c>
      <c r="X277" s="6" t="n">
        <v>1.03</v>
      </c>
      <c r="Y277" s="6" t="inlineStr">
        <is>
          <t>declared</t>
        </is>
      </c>
      <c r="Z277" s="8" t="n">
        <v>63631</v>
      </c>
      <c r="AA277" s="9">
        <f>IF(H277="yes",Z277*X277,0)</f>
        <v/>
      </c>
      <c r="AB277" s="9">
        <f>IF(H277="yes",AA277*N(L277)/100,0)</f>
        <v/>
      </c>
      <c r="AC277" s="9">
        <f>IF(H277="yes",AA277*N(N277)/100,0)</f>
        <v/>
      </c>
      <c r="AD277" s="9">
        <f>IF(H277="yes",AA277*N(O277)/100,0)</f>
        <v/>
      </c>
      <c r="AE277" s="10">
        <f>IF(P277="yes",AA277/1000,0)</f>
        <v/>
      </c>
      <c r="AF277" s="10">
        <f>IF(R277="FG2",AE277*W277,AE277)</f>
        <v/>
      </c>
    </row>
    <row r="278">
      <c r="A278" s="6" t="inlineStr">
        <is>
          <t>HM00276</t>
        </is>
      </c>
      <c r="B278" s="7" t="inlineStr">
        <is>
          <t>2625799418610</t>
        </is>
      </c>
      <c r="C278" s="6" t="inlineStr">
        <is>
          <t>HM BROWN ONIONS KG</t>
        </is>
      </c>
      <c r="D278" s="6" t="inlineStr">
        <is>
          <t>Brown onions</t>
        </is>
      </c>
      <c r="E278" s="6" t="inlineStr">
        <is>
          <t>Harbour Market</t>
        </is>
      </c>
      <c r="F278" s="6" t="inlineStr">
        <is>
          <t>Fruit &amp; Vegetables</t>
        </is>
      </c>
      <c r="G278" s="6" t="inlineStr">
        <is>
          <t>Vegetables</t>
        </is>
      </c>
      <c r="H278" s="6" t="inlineStr">
        <is>
          <t>yes</t>
        </is>
      </c>
      <c r="I278" s="6" t="inlineStr">
        <is>
          <t>Plant-based non-core</t>
        </is>
      </c>
      <c r="J278" s="6" t="inlineStr">
        <is>
          <t>B</t>
        </is>
      </c>
      <c r="K278" s="6" t="inlineStr">
        <is>
          <t>Follows the class</t>
        </is>
      </c>
      <c r="L278" s="6" t="n">
        <v>1.1</v>
      </c>
      <c r="M278" s="6" t="inlineStr">
        <is>
          <t>Name match (CIQUAL / NEVO)</t>
        </is>
      </c>
      <c r="N278" s="6" t="n">
        <v>1.1</v>
      </c>
      <c r="O278" s="6" t="n">
        <v>0</v>
      </c>
      <c r="P278" s="6" t="inlineStr">
        <is>
          <t>yes</t>
        </is>
      </c>
      <c r="Q278" s="6" t="inlineStr">
        <is>
          <t>whole</t>
        </is>
      </c>
      <c r="R278" s="6" t="inlineStr">
        <is>
          <t>FG4</t>
        </is>
      </c>
      <c r="S278" s="6" t="n"/>
      <c r="T278" s="6" t="inlineStr">
        <is>
          <t>plant</t>
        </is>
      </c>
      <c r="U278" s="6" t="n"/>
      <c r="V278" s="6" t="n"/>
      <c r="W278" s="6" t="n">
        <v>1</v>
      </c>
      <c r="X278" s="6" t="n">
        <v>1</v>
      </c>
      <c r="Y278" s="6" t="inlineStr">
        <is>
          <t>variable</t>
        </is>
      </c>
      <c r="Z278" s="8" t="n">
        <v>55719</v>
      </c>
      <c r="AA278" s="9">
        <f>IF(H278="yes",Z278*X278,0)</f>
        <v/>
      </c>
      <c r="AB278" s="9">
        <f>IF(H278="yes",AA278*N(L278)/100,0)</f>
        <v/>
      </c>
      <c r="AC278" s="9">
        <f>IF(H278="yes",AA278*N(N278)/100,0)</f>
        <v/>
      </c>
      <c r="AD278" s="9">
        <f>IF(H278="yes",AA278*N(O278)/100,0)</f>
        <v/>
      </c>
      <c r="AE278" s="10">
        <f>IF(P278="yes",AA278/1000,0)</f>
        <v/>
      </c>
      <c r="AF278" s="10">
        <f>IF(R278="FG2",AE278*W278,AE278)</f>
        <v/>
      </c>
    </row>
    <row r="279">
      <c r="A279" s="6" t="inlineStr">
        <is>
          <t>HM00277</t>
        </is>
      </c>
      <c r="B279" s="7" t="inlineStr">
        <is>
          <t>3012345751889</t>
        </is>
      </c>
      <c r="C279" s="6" t="inlineStr">
        <is>
          <t>HM RED LEICESTER 10SL 250G</t>
        </is>
      </c>
      <c r="D279" s="6" t="inlineStr">
        <is>
          <t>Red Leicester, 10sl 250g</t>
        </is>
      </c>
      <c r="E279" s="6" t="inlineStr">
        <is>
          <t>Harbour Market</t>
        </is>
      </c>
      <c r="F279" s="6" t="inlineStr">
        <is>
          <t>Cheese</t>
        </is>
      </c>
      <c r="G279" s="6" t="inlineStr">
        <is>
          <t>Hard Cheese</t>
        </is>
      </c>
      <c r="H279" s="6" t="inlineStr">
        <is>
          <t>yes</t>
        </is>
      </c>
      <c r="I279" s="6" t="inlineStr">
        <is>
          <t>Animal core</t>
        </is>
      </c>
      <c r="J279" s="6" t="inlineStr">
        <is>
          <t>A</t>
        </is>
      </c>
      <c r="K279" s="6" t="inlineStr">
        <is>
          <t>All ingredients on one side</t>
        </is>
      </c>
      <c r="L279" s="6" t="n">
        <v>25.2</v>
      </c>
      <c r="M279" s="6" t="inlineStr">
        <is>
          <t>Declared by the retailer</t>
        </is>
      </c>
      <c r="N279" s="6" t="n">
        <v>0</v>
      </c>
      <c r="O279" s="6" t="n">
        <v>25.2</v>
      </c>
      <c r="P279" s="6" t="inlineStr">
        <is>
          <t>yes</t>
        </is>
      </c>
      <c r="Q279" s="6" t="inlineStr">
        <is>
          <t>whole</t>
        </is>
      </c>
      <c r="R279" s="6" t="inlineStr">
        <is>
          <t>FG2</t>
        </is>
      </c>
      <c r="S279" s="6" t="inlineStr">
        <is>
          <t>dairy</t>
        </is>
      </c>
      <c r="T279" s="6" t="inlineStr">
        <is>
          <t>animal</t>
        </is>
      </c>
      <c r="U279" s="6" t="n"/>
      <c r="V279" s="6" t="n"/>
      <c r="W279" s="6" t="n">
        <v>10</v>
      </c>
      <c r="X279" s="6" t="n">
        <v>0.25</v>
      </c>
      <c r="Y279" s="6" t="inlineStr">
        <is>
          <t>declared</t>
        </is>
      </c>
      <c r="Z279" s="8" t="n">
        <v>63459</v>
      </c>
      <c r="AA279" s="9">
        <f>IF(H279="yes",Z279*X279,0)</f>
        <v/>
      </c>
      <c r="AB279" s="9">
        <f>IF(H279="yes",AA279*N(L279)/100,0)</f>
        <v/>
      </c>
      <c r="AC279" s="9">
        <f>IF(H279="yes",AA279*N(N279)/100,0)</f>
        <v/>
      </c>
      <c r="AD279" s="9">
        <f>IF(H279="yes",AA279*N(O279)/100,0)</f>
        <v/>
      </c>
      <c r="AE279" s="10">
        <f>IF(P279="yes",AA279/1000,0)</f>
        <v/>
      </c>
      <c r="AF279" s="10">
        <f>IF(R279="FG2",AE279*W279,AE279)</f>
        <v/>
      </c>
    </row>
    <row r="280">
      <c r="A280" s="6" t="inlineStr">
        <is>
          <t>HM00278</t>
        </is>
      </c>
      <c r="B280" s="7" t="inlineStr">
        <is>
          <t>4012345090352</t>
        </is>
      </c>
      <c r="C280" s="6" t="inlineStr">
        <is>
          <t>HM CUMBERLAND SAUSAGES 454G</t>
        </is>
      </c>
      <c r="D280" s="6" t="inlineStr">
        <is>
          <t>Cumberland sausages, 454g</t>
        </is>
      </c>
      <c r="E280" s="6" t="inlineStr">
        <is>
          <t>Harbour Market</t>
        </is>
      </c>
      <c r="F280" s="6" t="inlineStr">
        <is>
          <t>Fresh Meat &amp; Poultry</t>
        </is>
      </c>
      <c r="G280" s="6" t="inlineStr">
        <is>
          <t>Sausages &amp; Burgers</t>
        </is>
      </c>
      <c r="H280" s="6" t="inlineStr">
        <is>
          <t>yes</t>
        </is>
      </c>
      <c r="I280" s="6" t="inlineStr">
        <is>
          <t>Animal core</t>
        </is>
      </c>
      <c r="J280" s="6" t="inlineStr">
        <is>
          <t>B</t>
        </is>
      </c>
      <c r="K280" s="6" t="inlineStr">
        <is>
          <t>First ingredient (step 4a)</t>
        </is>
      </c>
      <c r="L280" s="6" t="n">
        <v>14.5</v>
      </c>
      <c r="M280" s="6" t="inlineStr">
        <is>
          <t>Altera reference base</t>
        </is>
      </c>
      <c r="N280" s="6" t="n">
        <v>0</v>
      </c>
      <c r="O280" s="6" t="n">
        <v>14.5</v>
      </c>
      <c r="P280" s="6" t="inlineStr">
        <is>
          <t>yes</t>
        </is>
      </c>
      <c r="Q280" s="6" t="inlineStr">
        <is>
          <t>whole</t>
        </is>
      </c>
      <c r="R280" s="6" t="inlineStr">
        <is>
          <t>FG1</t>
        </is>
      </c>
      <c r="S280" s="6" t="inlineStr">
        <is>
          <t>red meat</t>
        </is>
      </c>
      <c r="T280" s="6" t="inlineStr">
        <is>
          <t>animal</t>
        </is>
      </c>
      <c r="U280" s="6" t="n"/>
      <c r="V280" s="6" t="n"/>
      <c r="W280" s="6" t="n">
        <v>1</v>
      </c>
      <c r="X280" s="6" t="n">
        <v>0.454</v>
      </c>
      <c r="Y280" s="6" t="inlineStr">
        <is>
          <t>declared</t>
        </is>
      </c>
      <c r="Z280" s="8" t="n">
        <v>57752</v>
      </c>
      <c r="AA280" s="9">
        <f>IF(H280="yes",Z280*X280,0)</f>
        <v/>
      </c>
      <c r="AB280" s="9">
        <f>IF(H280="yes",AA280*N(L280)/100,0)</f>
        <v/>
      </c>
      <c r="AC280" s="9">
        <f>IF(H280="yes",AA280*N(N280)/100,0)</f>
        <v/>
      </c>
      <c r="AD280" s="9">
        <f>IF(H280="yes",AA280*N(O280)/100,0)</f>
        <v/>
      </c>
      <c r="AE280" s="10">
        <f>IF(P280="yes",AA280/1000,0)</f>
        <v/>
      </c>
      <c r="AF280" s="10">
        <f>IF(R280="FG2",AE280*W280,AE280)</f>
        <v/>
      </c>
    </row>
    <row r="281">
      <c r="A281" s="6" t="inlineStr">
        <is>
          <t>HM00279</t>
        </is>
      </c>
      <c r="B281" s="7" t="inlineStr">
        <is>
          <t>5012345748467</t>
        </is>
      </c>
      <c r="C281" s="6" t="inlineStr">
        <is>
          <t>HM SKYR NAT 1KG</t>
        </is>
      </c>
      <c r="D281" s="6" t="inlineStr">
        <is>
          <t>Natural skyr, 1kg</t>
        </is>
      </c>
      <c r="E281" s="6" t="inlineStr">
        <is>
          <t>Harbour Market</t>
        </is>
      </c>
      <c r="F281" s="6" t="inlineStr">
        <is>
          <t>Dairy &amp; Eggs</t>
        </is>
      </c>
      <c r="G281" s="6" t="inlineStr">
        <is>
          <t>Yoghurt</t>
        </is>
      </c>
      <c r="H281" s="6" t="inlineStr">
        <is>
          <t>yes</t>
        </is>
      </c>
      <c r="I281" s="6" t="inlineStr">
        <is>
          <t>Animal core</t>
        </is>
      </c>
      <c r="J281" s="6" t="inlineStr">
        <is>
          <t>A</t>
        </is>
      </c>
      <c r="K281" s="6" t="inlineStr">
        <is>
          <t>All ingredients on one side</t>
        </is>
      </c>
      <c r="L281" s="6" t="n">
        <v>11.2</v>
      </c>
      <c r="M281" s="6" t="inlineStr">
        <is>
          <t>Name match (CIQUAL / NEVO)</t>
        </is>
      </c>
      <c r="N281" s="6" t="n">
        <v>0</v>
      </c>
      <c r="O281" s="6" t="n">
        <v>11.2</v>
      </c>
      <c r="P281" s="6" t="inlineStr">
        <is>
          <t>yes</t>
        </is>
      </c>
      <c r="Q281" s="6" t="inlineStr">
        <is>
          <t>whole</t>
        </is>
      </c>
      <c r="R281" s="6" t="inlineStr">
        <is>
          <t>FG2</t>
        </is>
      </c>
      <c r="S281" s="6" t="inlineStr">
        <is>
          <t>dairy</t>
        </is>
      </c>
      <c r="T281" s="6" t="inlineStr">
        <is>
          <t>animal</t>
        </is>
      </c>
      <c r="U281" s="6" t="n"/>
      <c r="V281" s="6" t="n"/>
      <c r="W281" s="6" t="n">
        <v>1</v>
      </c>
      <c r="X281" s="6" t="n">
        <v>1</v>
      </c>
      <c r="Y281" s="6" t="inlineStr">
        <is>
          <t>declared</t>
        </is>
      </c>
      <c r="Z281" s="8" t="n">
        <v>25526</v>
      </c>
      <c r="AA281" s="9">
        <f>IF(H281="yes",Z281*X281,0)</f>
        <v/>
      </c>
      <c r="AB281" s="9">
        <f>IF(H281="yes",AA281*N(L281)/100,0)</f>
        <v/>
      </c>
      <c r="AC281" s="9">
        <f>IF(H281="yes",AA281*N(N281)/100,0)</f>
        <v/>
      </c>
      <c r="AD281" s="9">
        <f>IF(H281="yes",AA281*N(O281)/100,0)</f>
        <v/>
      </c>
      <c r="AE281" s="10">
        <f>IF(P281="yes",AA281/1000,0)</f>
        <v/>
      </c>
      <c r="AF281" s="10">
        <f>IF(R281="FG2",AE281*W281,AE281)</f>
        <v/>
      </c>
    </row>
    <row r="282">
      <c r="A282" s="6" t="inlineStr">
        <is>
          <t>HM00280</t>
        </is>
      </c>
      <c r="B282" s="7" t="inlineStr">
        <is>
          <t>4012345051568</t>
        </is>
      </c>
      <c r="C282" s="6" t="inlineStr">
        <is>
          <t>HM FUSILLI 1KG</t>
        </is>
      </c>
      <c r="D282" s="6" t="inlineStr">
        <is>
          <t>Fusilli, 1kg</t>
        </is>
      </c>
      <c r="E282" s="6" t="inlineStr">
        <is>
          <t>Harbour Market</t>
        </is>
      </c>
      <c r="F282" s="6" t="inlineStr">
        <is>
          <t>Grocery</t>
        </is>
      </c>
      <c r="G282" s="6" t="inlineStr">
        <is>
          <t>Pasta</t>
        </is>
      </c>
      <c r="H282" s="6" t="inlineStr">
        <is>
          <t>yes</t>
        </is>
      </c>
      <c r="I282" s="6" t="inlineStr">
        <is>
          <t>Plant-based non-core</t>
        </is>
      </c>
      <c r="J282" s="6" t="inlineStr">
        <is>
          <t>A</t>
        </is>
      </c>
      <c r="K282" s="6" t="inlineStr">
        <is>
          <t>All ingredients on one side</t>
        </is>
      </c>
      <c r="L282" s="6" t="n">
        <v>13.1</v>
      </c>
      <c r="M282" s="6" t="inlineStr">
        <is>
          <t>Declared by the retailer</t>
        </is>
      </c>
      <c r="N282" s="6" t="n">
        <v>13.1</v>
      </c>
      <c r="O282" s="6" t="n">
        <v>0</v>
      </c>
      <c r="P282" s="6" t="inlineStr">
        <is>
          <t>yes</t>
        </is>
      </c>
      <c r="Q282" s="6" t="inlineStr">
        <is>
          <t>whole</t>
        </is>
      </c>
      <c r="R282" s="6" t="inlineStr">
        <is>
          <t>FG5</t>
        </is>
      </c>
      <c r="S282" s="6" t="inlineStr">
        <is>
          <t>refined grain</t>
        </is>
      </c>
      <c r="T282" s="6" t="inlineStr">
        <is>
          <t>plant</t>
        </is>
      </c>
      <c r="U282" s="6" t="n"/>
      <c r="V282" s="6" t="n"/>
      <c r="W282" s="6" t="n">
        <v>1</v>
      </c>
      <c r="X282" s="6" t="n">
        <v>1</v>
      </c>
      <c r="Y282" s="6" t="inlineStr">
        <is>
          <t>label</t>
        </is>
      </c>
      <c r="Z282" s="8" t="n">
        <v>21504</v>
      </c>
      <c r="AA282" s="9">
        <f>IF(H282="yes",Z282*X282,0)</f>
        <v/>
      </c>
      <c r="AB282" s="9">
        <f>IF(H282="yes",AA282*N(L282)/100,0)</f>
        <v/>
      </c>
      <c r="AC282" s="9">
        <f>IF(H282="yes",AA282*N(N282)/100,0)</f>
        <v/>
      </c>
      <c r="AD282" s="9">
        <f>IF(H282="yes",AA282*N(O282)/100,0)</f>
        <v/>
      </c>
      <c r="AE282" s="10">
        <f>IF(P282="yes",AA282/1000,0)</f>
        <v/>
      </c>
      <c r="AF282" s="10">
        <f>IF(R282="FG2",AE282*W282,AE282)</f>
        <v/>
      </c>
    </row>
    <row r="283">
      <c r="A283" s="6" t="inlineStr">
        <is>
          <t>HM00281</t>
        </is>
      </c>
      <c r="B283" s="7" t="inlineStr">
        <is>
          <t>3012345223812</t>
        </is>
      </c>
      <c r="C283" s="6" t="inlineStr">
        <is>
          <t>HM PORK SHLDR JOINT 1KG</t>
        </is>
      </c>
      <c r="D283" s="6" t="inlineStr">
        <is>
          <t>Pork shoulder joint, 1kg</t>
        </is>
      </c>
      <c r="E283" s="6" t="inlineStr">
        <is>
          <t>Harbour Market</t>
        </is>
      </c>
      <c r="F283" s="6" t="inlineStr">
        <is>
          <t>Fresh Meat &amp; Poultry</t>
        </is>
      </c>
      <c r="G283" s="6" t="inlineStr">
        <is>
          <t>Pork</t>
        </is>
      </c>
      <c r="H283" s="6" t="inlineStr">
        <is>
          <t>yes</t>
        </is>
      </c>
      <c r="I283" s="6" t="inlineStr">
        <is>
          <t>Animal core</t>
        </is>
      </c>
      <c r="J283" s="6" t="inlineStr">
        <is>
          <t>B</t>
        </is>
      </c>
      <c r="K283" s="6" t="inlineStr">
        <is>
          <t>Follows the class</t>
        </is>
      </c>
      <c r="L283" s="6" t="n">
        <v>20.8</v>
      </c>
      <c r="M283" s="6" t="inlineStr">
        <is>
          <t>Median of the family</t>
        </is>
      </c>
      <c r="N283" s="6" t="n">
        <v>0</v>
      </c>
      <c r="O283" s="6" t="n">
        <v>20.8</v>
      </c>
      <c r="P283" s="6" t="inlineStr">
        <is>
          <t>yes</t>
        </is>
      </c>
      <c r="Q283" s="6" t="inlineStr">
        <is>
          <t>whole</t>
        </is>
      </c>
      <c r="R283" s="6" t="inlineStr">
        <is>
          <t>FG1</t>
        </is>
      </c>
      <c r="S283" s="6" t="inlineStr">
        <is>
          <t>red meat</t>
        </is>
      </c>
      <c r="T283" s="6" t="inlineStr">
        <is>
          <t>animal</t>
        </is>
      </c>
      <c r="U283" s="6" t="n"/>
      <c r="V283" s="6" t="n"/>
      <c r="W283" s="6" t="n">
        <v>1</v>
      </c>
      <c r="X283" s="6" t="n">
        <v>1</v>
      </c>
      <c r="Y283" s="6" t="inlineStr">
        <is>
          <t>declared</t>
        </is>
      </c>
      <c r="Z283" s="8" t="n">
        <v>40632</v>
      </c>
      <c r="AA283" s="9">
        <f>IF(H283="yes",Z283*X283,0)</f>
        <v/>
      </c>
      <c r="AB283" s="9">
        <f>IF(H283="yes",AA283*N(L283)/100,0)</f>
        <v/>
      </c>
      <c r="AC283" s="9">
        <f>IF(H283="yes",AA283*N(N283)/100,0)</f>
        <v/>
      </c>
      <c r="AD283" s="9">
        <f>IF(H283="yes",AA283*N(O283)/100,0)</f>
        <v/>
      </c>
      <c r="AE283" s="10">
        <f>IF(P283="yes",AA283/1000,0)</f>
        <v/>
      </c>
      <c r="AF283" s="10">
        <f>IF(R283="FG2",AE283*W283,AE283)</f>
        <v/>
      </c>
    </row>
    <row r="284">
      <c r="A284" s="6" t="inlineStr">
        <is>
          <t>HM00282</t>
        </is>
      </c>
      <c r="B284" s="7" t="inlineStr">
        <is>
          <t>3012345916011</t>
        </is>
      </c>
      <c r="C284" s="6" t="inlineStr">
        <is>
          <t>NUVELLE STILL WATER 1.5L</t>
        </is>
      </c>
      <c r="D284" s="6" t="inlineStr">
        <is>
          <t>Still mineral water, 1.5l</t>
        </is>
      </c>
      <c r="E284" s="6" t="inlineStr">
        <is>
          <t>Nuvelle</t>
        </is>
      </c>
      <c r="F284" s="6" t="inlineStr">
        <is>
          <t>Soft Drinks &amp; Water</t>
        </is>
      </c>
      <c r="G284" s="6" t="inlineStr">
        <is>
          <t>Water</t>
        </is>
      </c>
      <c r="H284" s="6" t="inlineStr">
        <is>
          <t>yes</t>
        </is>
      </c>
      <c r="I284" s="6" t="inlineStr">
        <is>
          <t>Plant-based non-core</t>
        </is>
      </c>
      <c r="J284" s="6" t="inlineStr">
        <is>
          <t>B</t>
        </is>
      </c>
      <c r="K284" s="6" t="inlineStr">
        <is>
          <t>Follows the class</t>
        </is>
      </c>
      <c r="L284" s="6" t="n">
        <v>0</v>
      </c>
      <c r="M284" s="6" t="inlineStr">
        <is>
          <t>Median of the family</t>
        </is>
      </c>
      <c r="N284" s="6" t="n">
        <v>0</v>
      </c>
      <c r="O284" s="6" t="n">
        <v>0</v>
      </c>
      <c r="P284" s="6" t="inlineStr">
        <is>
          <t>no</t>
        </is>
      </c>
      <c r="Q284" s="6" t="n"/>
      <c r="R284" s="6" t="n"/>
      <c r="S284" s="6" t="n"/>
      <c r="T284" s="6" t="n"/>
      <c r="U284" s="6" t="n"/>
      <c r="V284" s="6" t="inlineStr">
        <is>
          <t>beverage</t>
        </is>
      </c>
      <c r="W284" s="6" t="n">
        <v>1</v>
      </c>
      <c r="X284" s="6" t="n">
        <v>1.5</v>
      </c>
      <c r="Y284" s="6" t="inlineStr">
        <is>
          <t>declared</t>
        </is>
      </c>
      <c r="Z284" s="8" t="n">
        <v>80818</v>
      </c>
      <c r="AA284" s="9">
        <f>IF(H284="yes",Z284*X284,0)</f>
        <v/>
      </c>
      <c r="AB284" s="9">
        <f>IF(H284="yes",AA284*N(L284)/100,0)</f>
        <v/>
      </c>
      <c r="AC284" s="9">
        <f>IF(H284="yes",AA284*N(N284)/100,0)</f>
        <v/>
      </c>
      <c r="AD284" s="9">
        <f>IF(H284="yes",AA284*N(O284)/100,0)</f>
        <v/>
      </c>
      <c r="AE284" s="10">
        <f>IF(P284="yes",AA284/1000,0)</f>
        <v/>
      </c>
      <c r="AF284" s="10">
        <f>IF(R284="FG2",AE284*W284,AE284)</f>
        <v/>
      </c>
    </row>
    <row r="285">
      <c r="A285" s="6" t="inlineStr">
        <is>
          <t>HM00283</t>
        </is>
      </c>
      <c r="B285" s="7" t="inlineStr">
        <is>
          <t>8712345190255</t>
        </is>
      </c>
      <c r="C285" s="6" t="inlineStr">
        <is>
          <t>BF MINCE 20% 750G TARROW</t>
        </is>
      </c>
      <c r="D285" s="6" t="inlineStr">
        <is>
          <t>Beef mince, 20% fat, 750g</t>
        </is>
      </c>
      <c r="E285" s="6" t="inlineStr">
        <is>
          <t>Tarrow Farm</t>
        </is>
      </c>
      <c r="F285" s="6" t="inlineStr">
        <is>
          <t>Fresh Meat &amp; Poultry</t>
        </is>
      </c>
      <c r="G285" s="6" t="inlineStr">
        <is>
          <t>Beef</t>
        </is>
      </c>
      <c r="H285" s="6" t="inlineStr">
        <is>
          <t>yes</t>
        </is>
      </c>
      <c r="I285" s="6" t="inlineStr">
        <is>
          <t>Animal core</t>
        </is>
      </c>
      <c r="J285" s="6" t="inlineStr">
        <is>
          <t>A</t>
        </is>
      </c>
      <c r="K285" s="6" t="inlineStr">
        <is>
          <t>All ingredients on one side</t>
        </is>
      </c>
      <c r="L285" s="6" t="n">
        <v>17.9</v>
      </c>
      <c r="M285" s="6" t="inlineStr">
        <is>
          <t>Declared by the retailer</t>
        </is>
      </c>
      <c r="N285" s="6" t="n">
        <v>0</v>
      </c>
      <c r="O285" s="6" t="n">
        <v>17.9</v>
      </c>
      <c r="P285" s="6" t="inlineStr">
        <is>
          <t>yes</t>
        </is>
      </c>
      <c r="Q285" s="6" t="inlineStr">
        <is>
          <t>whole</t>
        </is>
      </c>
      <c r="R285" s="6" t="inlineStr">
        <is>
          <t>FG1</t>
        </is>
      </c>
      <c r="S285" s="6" t="inlineStr">
        <is>
          <t>red meat</t>
        </is>
      </c>
      <c r="T285" s="6" t="inlineStr">
        <is>
          <t>animal</t>
        </is>
      </c>
      <c r="U285" s="6" t="n"/>
      <c r="V285" s="6" t="n"/>
      <c r="W285" s="6" t="n">
        <v>1</v>
      </c>
      <c r="X285" s="6" t="n">
        <v>0.75</v>
      </c>
      <c r="Y285" s="6" t="inlineStr">
        <is>
          <t>declared</t>
        </is>
      </c>
      <c r="Z285" s="8" t="n">
        <v>13503</v>
      </c>
      <c r="AA285" s="9">
        <f>IF(H285="yes",Z285*X285,0)</f>
        <v/>
      </c>
      <c r="AB285" s="9">
        <f>IF(H285="yes",AA285*N(L285)/100,0)</f>
        <v/>
      </c>
      <c r="AC285" s="9">
        <f>IF(H285="yes",AA285*N(N285)/100,0)</f>
        <v/>
      </c>
      <c r="AD285" s="9">
        <f>IF(H285="yes",AA285*N(O285)/100,0)</f>
        <v/>
      </c>
      <c r="AE285" s="10">
        <f>IF(P285="yes",AA285/1000,0)</f>
        <v/>
      </c>
      <c r="AF285" s="10">
        <f>IF(R285="FG2",AE285*W285,AE285)</f>
        <v/>
      </c>
    </row>
    <row r="286">
      <c r="A286" s="6" t="inlineStr">
        <is>
          <t>HM00284</t>
        </is>
      </c>
      <c r="B286" s="7" t="inlineStr">
        <is>
          <t>3012345763554</t>
        </is>
      </c>
      <c r="C286" s="6" t="inlineStr">
        <is>
          <t>NUVELLE SPARKLING WATER 6X1.5L</t>
        </is>
      </c>
      <c r="D286" s="6" t="inlineStr">
        <is>
          <t>Sparkling mineral water, 6x1.5l</t>
        </is>
      </c>
      <c r="E286" s="6" t="inlineStr">
        <is>
          <t>Nuvelle</t>
        </is>
      </c>
      <c r="F286" s="6" t="inlineStr">
        <is>
          <t>Soft Drinks &amp; Water</t>
        </is>
      </c>
      <c r="G286" s="6" t="inlineStr">
        <is>
          <t>Water</t>
        </is>
      </c>
      <c r="H286" s="6" t="inlineStr">
        <is>
          <t>yes</t>
        </is>
      </c>
      <c r="I286" s="6" t="inlineStr">
        <is>
          <t>Plant-based non-core</t>
        </is>
      </c>
      <c r="J286" s="6" t="inlineStr">
        <is>
          <t>A</t>
        </is>
      </c>
      <c r="K286" s="6" t="inlineStr">
        <is>
          <t>All ingredients on one side</t>
        </is>
      </c>
      <c r="L286" s="6" t="n">
        <v>0</v>
      </c>
      <c r="M286" s="6" t="inlineStr">
        <is>
          <t>Name match (CIQUAL / NEVO)</t>
        </is>
      </c>
      <c r="N286" s="6" t="n">
        <v>0</v>
      </c>
      <c r="O286" s="6" t="n">
        <v>0</v>
      </c>
      <c r="P286" s="6" t="inlineStr">
        <is>
          <t>no</t>
        </is>
      </c>
      <c r="Q286" s="6" t="n"/>
      <c r="R286" s="6" t="n"/>
      <c r="S286" s="6" t="n"/>
      <c r="T286" s="6" t="n"/>
      <c r="U286" s="6" t="n"/>
      <c r="V286" s="6" t="inlineStr">
        <is>
          <t>beverage</t>
        </is>
      </c>
      <c r="W286" s="6" t="n">
        <v>1</v>
      </c>
      <c r="X286" s="6" t="n">
        <v>9</v>
      </c>
      <c r="Y286" s="6" t="inlineStr">
        <is>
          <t>declared</t>
        </is>
      </c>
      <c r="Z286" s="8" t="n">
        <v>32035</v>
      </c>
      <c r="AA286" s="9">
        <f>IF(H286="yes",Z286*X286,0)</f>
        <v/>
      </c>
      <c r="AB286" s="9">
        <f>IF(H286="yes",AA286*N(L286)/100,0)</f>
        <v/>
      </c>
      <c r="AC286" s="9">
        <f>IF(H286="yes",AA286*N(N286)/100,0)</f>
        <v/>
      </c>
      <c r="AD286" s="9">
        <f>IF(H286="yes",AA286*N(O286)/100,0)</f>
        <v/>
      </c>
      <c r="AE286" s="10">
        <f>IF(P286="yes",AA286/1000,0)</f>
        <v/>
      </c>
      <c r="AF286" s="10">
        <f>IF(R286="FG2",AE286*W286,AE286)</f>
        <v/>
      </c>
    </row>
    <row r="287">
      <c r="A287" s="6" t="inlineStr">
        <is>
          <t>HM00285</t>
        </is>
      </c>
      <c r="B287" s="7" t="inlineStr">
        <is>
          <t>3012345363167</t>
        </is>
      </c>
      <c r="C287" s="6" t="inlineStr">
        <is>
          <t>HM PORRIDGE OATS 500G</t>
        </is>
      </c>
      <c r="D287" s="6" t="inlineStr">
        <is>
          <t>Porridge oats, 500g</t>
        </is>
      </c>
      <c r="E287" s="6" t="inlineStr">
        <is>
          <t>Harbour Market</t>
        </is>
      </c>
      <c r="F287" s="6" t="inlineStr">
        <is>
          <t>Grocery</t>
        </is>
      </c>
      <c r="G287" s="6" t="inlineStr">
        <is>
          <t>Rice &amp; Grains</t>
        </is>
      </c>
      <c r="H287" s="6" t="inlineStr">
        <is>
          <t>yes</t>
        </is>
      </c>
      <c r="I287" s="6" t="inlineStr">
        <is>
          <t>Plant-based non-core</t>
        </is>
      </c>
      <c r="J287" s="6" t="inlineStr">
        <is>
          <t>B</t>
        </is>
      </c>
      <c r="K287" s="6" t="inlineStr">
        <is>
          <t>Follows the class</t>
        </is>
      </c>
      <c r="L287" s="6" t="n">
        <v>11.5</v>
      </c>
      <c r="M287" s="6" t="inlineStr">
        <is>
          <t>Declared by the retailer</t>
        </is>
      </c>
      <c r="N287" s="6" t="n">
        <v>11.5</v>
      </c>
      <c r="O287" s="6" t="n">
        <v>0</v>
      </c>
      <c r="P287" s="6" t="inlineStr">
        <is>
          <t>yes</t>
        </is>
      </c>
      <c r="Q287" s="6" t="inlineStr">
        <is>
          <t>whole</t>
        </is>
      </c>
      <c r="R287" s="6" t="inlineStr">
        <is>
          <t>FG5</t>
        </is>
      </c>
      <c r="S287" s="6" t="inlineStr">
        <is>
          <t>whole grain</t>
        </is>
      </c>
      <c r="T287" s="6" t="inlineStr">
        <is>
          <t>plant</t>
        </is>
      </c>
      <c r="U287" s="6" t="n"/>
      <c r="V287" s="6" t="n"/>
      <c r="W287" s="6" t="n">
        <v>1</v>
      </c>
      <c r="X287" s="6" t="n">
        <v>0.5</v>
      </c>
      <c r="Y287" s="6" t="inlineStr">
        <is>
          <t>label</t>
        </is>
      </c>
      <c r="Z287" s="8" t="n">
        <v>16754</v>
      </c>
      <c r="AA287" s="9">
        <f>IF(H287="yes",Z287*X287,0)</f>
        <v/>
      </c>
      <c r="AB287" s="9">
        <f>IF(H287="yes",AA287*N(L287)/100,0)</f>
        <v/>
      </c>
      <c r="AC287" s="9">
        <f>IF(H287="yes",AA287*N(N287)/100,0)</f>
        <v/>
      </c>
      <c r="AD287" s="9">
        <f>IF(H287="yes",AA287*N(O287)/100,0)</f>
        <v/>
      </c>
      <c r="AE287" s="10">
        <f>IF(P287="yes",AA287/1000,0)</f>
        <v/>
      </c>
      <c r="AF287" s="10">
        <f>IF(R287="FG2",AE287*W287,AE287)</f>
        <v/>
      </c>
    </row>
    <row r="288">
      <c r="A288" s="6" t="inlineStr">
        <is>
          <t>HM00286</t>
        </is>
      </c>
      <c r="B288" s="7" t="inlineStr">
        <is>
          <t>5012345970639</t>
        </is>
      </c>
      <c r="C288" s="6" t="inlineStr">
        <is>
          <t>HM KING PRAWNS COOKED 150G</t>
        </is>
      </c>
      <c r="D288" s="6" t="inlineStr">
        <is>
          <t>Cooked king prawns, 150g</t>
        </is>
      </c>
      <c r="E288" s="6" t="inlineStr">
        <is>
          <t>Harbour Market</t>
        </is>
      </c>
      <c r="F288" s="6" t="inlineStr">
        <is>
          <t>Fish &amp; Seafood</t>
        </is>
      </c>
      <c r="G288" s="6" t="inlineStr">
        <is>
          <t>Shellfish</t>
        </is>
      </c>
      <c r="H288" s="6" t="inlineStr">
        <is>
          <t>yes</t>
        </is>
      </c>
      <c r="I288" s="6" t="inlineStr">
        <is>
          <t>Animal core</t>
        </is>
      </c>
      <c r="J288" s="6" t="inlineStr">
        <is>
          <t>B</t>
        </is>
      </c>
      <c r="K288" s="6" t="inlineStr">
        <is>
          <t>Follows the class</t>
        </is>
      </c>
      <c r="L288" s="6" t="n">
        <v>16.4</v>
      </c>
      <c r="M288" s="6" t="inlineStr">
        <is>
          <t>Declared by the retailer</t>
        </is>
      </c>
      <c r="N288" s="6" t="n">
        <v>0</v>
      </c>
      <c r="O288" s="6" t="n">
        <v>16.4</v>
      </c>
      <c r="P288" s="6" t="inlineStr">
        <is>
          <t>yes</t>
        </is>
      </c>
      <c r="Q288" s="6" t="inlineStr">
        <is>
          <t>whole</t>
        </is>
      </c>
      <c r="R288" s="6" t="inlineStr">
        <is>
          <t>FG1</t>
        </is>
      </c>
      <c r="S288" s="6" t="inlineStr">
        <is>
          <t>fish shellfish</t>
        </is>
      </c>
      <c r="T288" s="6" t="inlineStr">
        <is>
          <t>animal</t>
        </is>
      </c>
      <c r="U288" s="6" t="n"/>
      <c r="V288" s="6" t="n"/>
      <c r="W288" s="6" t="n">
        <v>1</v>
      </c>
      <c r="X288" s="6" t="n">
        <v>0.15</v>
      </c>
      <c r="Y288" s="6" t="inlineStr">
        <is>
          <t>declared</t>
        </is>
      </c>
      <c r="Z288" s="8" t="n">
        <v>7425</v>
      </c>
      <c r="AA288" s="9">
        <f>IF(H288="yes",Z288*X288,0)</f>
        <v/>
      </c>
      <c r="AB288" s="9">
        <f>IF(H288="yes",AA288*N(L288)/100,0)</f>
        <v/>
      </c>
      <c r="AC288" s="9">
        <f>IF(H288="yes",AA288*N(N288)/100,0)</f>
        <v/>
      </c>
      <c r="AD288" s="9">
        <f>IF(H288="yes",AA288*N(O288)/100,0)</f>
        <v/>
      </c>
      <c r="AE288" s="10">
        <f>IF(P288="yes",AA288/1000,0)</f>
        <v/>
      </c>
      <c r="AF288" s="10">
        <f>IF(R288="FG2",AE288*W288,AE288)</f>
        <v/>
      </c>
    </row>
    <row r="289">
      <c r="A289" s="6" t="inlineStr">
        <is>
          <t>HM00287</t>
        </is>
      </c>
      <c r="B289" s="7" t="inlineStr">
        <is>
          <t>5012345703800</t>
        </is>
      </c>
      <c r="C289" s="6" t="inlineStr">
        <is>
          <t>ORVALIS BRAN FLAKES 1KG</t>
        </is>
      </c>
      <c r="D289" s="6" t="inlineStr">
        <is>
          <t>Bran flakes, 1kg</t>
        </is>
      </c>
      <c r="E289" s="6" t="inlineStr">
        <is>
          <t>Orvalis</t>
        </is>
      </c>
      <c r="F289" s="6" t="inlineStr">
        <is>
          <t>Breakfast &amp; Snacks</t>
        </is>
      </c>
      <c r="G289" s="6" t="inlineStr">
        <is>
          <t>Cereals</t>
        </is>
      </c>
      <c r="H289" s="6" t="inlineStr">
        <is>
          <t>yes</t>
        </is>
      </c>
      <c r="I289" s="6" t="inlineStr">
        <is>
          <t>Plant-based non-core</t>
        </is>
      </c>
      <c r="J289" s="6" t="inlineStr">
        <is>
          <t>A</t>
        </is>
      </c>
      <c r="K289" s="6" t="inlineStr">
        <is>
          <t>All ingredients on one side</t>
        </is>
      </c>
      <c r="L289" s="6" t="n">
        <v>10</v>
      </c>
      <c r="M289" s="6" t="inlineStr">
        <is>
          <t>Name match (CIQUAL / NEVO)</t>
        </is>
      </c>
      <c r="N289" s="6" t="n">
        <v>10</v>
      </c>
      <c r="O289" s="6" t="n">
        <v>0</v>
      </c>
      <c r="P289" s="6" t="inlineStr">
        <is>
          <t>yes</t>
        </is>
      </c>
      <c r="Q289" s="6" t="inlineStr">
        <is>
          <t>whole</t>
        </is>
      </c>
      <c r="R289" s="6" t="inlineStr">
        <is>
          <t>FG5</t>
        </is>
      </c>
      <c r="S289" s="6" t="inlineStr">
        <is>
          <t>whole grain</t>
        </is>
      </c>
      <c r="T289" s="6" t="inlineStr">
        <is>
          <t>plant</t>
        </is>
      </c>
      <c r="U289" s="6" t="n"/>
      <c r="V289" s="6" t="n"/>
      <c r="W289" s="6" t="n">
        <v>1</v>
      </c>
      <c r="X289" s="6" t="n">
        <v>1</v>
      </c>
      <c r="Y289" s="6" t="inlineStr">
        <is>
          <t>declared</t>
        </is>
      </c>
      <c r="Z289" s="8" t="n">
        <v>11715</v>
      </c>
      <c r="AA289" s="9">
        <f>IF(H289="yes",Z289*X289,0)</f>
        <v/>
      </c>
      <c r="AB289" s="9">
        <f>IF(H289="yes",AA289*N(L289)/100,0)</f>
        <v/>
      </c>
      <c r="AC289" s="9">
        <f>IF(H289="yes",AA289*N(N289)/100,0)</f>
        <v/>
      </c>
      <c r="AD289" s="9">
        <f>IF(H289="yes",AA289*N(O289)/100,0)</f>
        <v/>
      </c>
      <c r="AE289" s="10">
        <f>IF(P289="yes",AA289/1000,0)</f>
        <v/>
      </c>
      <c r="AF289" s="10">
        <f>IF(R289="FG2",AE289*W289,AE289)</f>
        <v/>
      </c>
    </row>
    <row r="290">
      <c r="A290" s="6" t="inlineStr">
        <is>
          <t>HM00288</t>
        </is>
      </c>
      <c r="B290" s="7" t="inlineStr">
        <is>
          <t>3012345366878</t>
        </is>
      </c>
      <c r="C290" s="6" t="inlineStr">
        <is>
          <t>HM SALMON SUSHI BOX 12PC 300G</t>
        </is>
      </c>
      <c r="D290" s="6" t="inlineStr">
        <is>
          <t>Salmon sushi selection, 12pc 300g</t>
        </is>
      </c>
      <c r="E290" s="6" t="inlineStr">
        <is>
          <t>Harbour Market</t>
        </is>
      </c>
      <c r="F290" s="6" t="inlineStr">
        <is>
          <t>Ready Meals</t>
        </is>
      </c>
      <c r="G290" s="6" t="inlineStr">
        <is>
          <t>Sushi</t>
        </is>
      </c>
      <c r="H290" s="6" t="inlineStr">
        <is>
          <t>yes</t>
        </is>
      </c>
      <c r="I290" s="6" t="inlineStr">
        <is>
          <t>Animal &amp; plant composite</t>
        </is>
      </c>
      <c r="J290" s="6" t="inlineStr">
        <is>
          <t>A</t>
        </is>
      </c>
      <c r="K290" s="6" t="inlineStr">
        <is>
          <t>NEVO food table (ratio only)</t>
        </is>
      </c>
      <c r="L290" s="6" t="n">
        <v>7</v>
      </c>
      <c r="M290" s="6" t="inlineStr">
        <is>
          <t>Declared by the retailer</t>
        </is>
      </c>
      <c r="N290" s="6" t="n">
        <v>3.15</v>
      </c>
      <c r="O290" s="6" t="n">
        <v>3.85</v>
      </c>
      <c r="P290" s="6" t="inlineStr">
        <is>
          <t>yes</t>
        </is>
      </c>
      <c r="Q290" s="6" t="inlineStr">
        <is>
          <t>composite</t>
        </is>
      </c>
      <c r="R290" s="6" t="n"/>
      <c r="S290" s="6" t="n"/>
      <c r="T290" s="6" t="n"/>
      <c r="U290" s="6" t="inlineStr">
        <is>
          <t>seafood-based</t>
        </is>
      </c>
      <c r="V290" s="6" t="n"/>
      <c r="W290" s="6" t="n">
        <v>1</v>
      </c>
      <c r="X290" s="6" t="n">
        <v>0.3</v>
      </c>
      <c r="Y290" s="6" t="inlineStr">
        <is>
          <t>declared</t>
        </is>
      </c>
      <c r="Z290" s="8" t="n">
        <v>15712</v>
      </c>
      <c r="AA290" s="9">
        <f>IF(H290="yes",Z290*X290,0)</f>
        <v/>
      </c>
      <c r="AB290" s="9">
        <f>IF(H290="yes",AA290*N(L290)/100,0)</f>
        <v/>
      </c>
      <c r="AC290" s="9">
        <f>IF(H290="yes",AA290*N(N290)/100,0)</f>
        <v/>
      </c>
      <c r="AD290" s="9">
        <f>IF(H290="yes",AA290*N(O290)/100,0)</f>
        <v/>
      </c>
      <c r="AE290" s="10">
        <f>IF(P290="yes",AA290/1000,0)</f>
        <v/>
      </c>
      <c r="AF290" s="10">
        <f>IF(R290="FG2",AE290*W290,AE290)</f>
        <v/>
      </c>
    </row>
    <row r="291">
      <c r="A291" s="6" t="inlineStr">
        <is>
          <t>HM00289</t>
        </is>
      </c>
      <c r="B291" s="7" t="inlineStr">
        <is>
          <t>5012345195490</t>
        </is>
      </c>
      <c r="C291" s="6" t="inlineStr">
        <is>
          <t>HM CHOC MILK DRINK 6X200ML</t>
        </is>
      </c>
      <c r="D291" s="6" t="inlineStr">
        <is>
          <t>Chocolate milk drink, 6x200ml</t>
        </is>
      </c>
      <c r="E291" s="6" t="inlineStr">
        <is>
          <t>Harbour Market</t>
        </is>
      </c>
      <c r="F291" s="6" t="inlineStr">
        <is>
          <t>Dairy &amp; Eggs</t>
        </is>
      </c>
      <c r="G291" s="6" t="inlineStr">
        <is>
          <t>Milk Drinks</t>
        </is>
      </c>
      <c r="H291" s="6" t="inlineStr">
        <is>
          <t>yes</t>
        </is>
      </c>
      <c r="I291" s="6" t="inlineStr">
        <is>
          <t>Animal &amp; plant composite</t>
        </is>
      </c>
      <c r="J291" s="6" t="inlineStr">
        <is>
          <t>A</t>
        </is>
      </c>
      <c r="K291" s="6" t="inlineStr">
        <is>
          <t>Ingredient list</t>
        </is>
      </c>
      <c r="L291" s="6" t="n">
        <v>3.3</v>
      </c>
      <c r="M291" s="6" t="inlineStr">
        <is>
          <t>Declared by the retailer</t>
        </is>
      </c>
      <c r="N291" s="6" t="n">
        <v>0.23</v>
      </c>
      <c r="O291" s="6" t="n">
        <v>3.07</v>
      </c>
      <c r="P291" s="6" t="inlineStr">
        <is>
          <t>yes</t>
        </is>
      </c>
      <c r="Q291" s="6" t="inlineStr">
        <is>
          <t>whole</t>
        </is>
      </c>
      <c r="R291" s="6" t="inlineStr">
        <is>
          <t>FG2</t>
        </is>
      </c>
      <c r="S291" s="6" t="inlineStr">
        <is>
          <t>dairy</t>
        </is>
      </c>
      <c r="T291" s="6" t="inlineStr">
        <is>
          <t>animal</t>
        </is>
      </c>
      <c r="U291" s="6" t="n"/>
      <c r="V291" s="6" t="n"/>
      <c r="W291" s="6" t="n">
        <v>1</v>
      </c>
      <c r="X291" s="6" t="n">
        <v>1.24</v>
      </c>
      <c r="Y291" s="6" t="inlineStr">
        <is>
          <t>declared</t>
        </is>
      </c>
      <c r="Z291" s="8" t="n">
        <v>26329</v>
      </c>
      <c r="AA291" s="9">
        <f>IF(H291="yes",Z291*X291,0)</f>
        <v/>
      </c>
      <c r="AB291" s="9">
        <f>IF(H291="yes",AA291*N(L291)/100,0)</f>
        <v/>
      </c>
      <c r="AC291" s="9">
        <f>IF(H291="yes",AA291*N(N291)/100,0)</f>
        <v/>
      </c>
      <c r="AD291" s="9">
        <f>IF(H291="yes",AA291*N(O291)/100,0)</f>
        <v/>
      </c>
      <c r="AE291" s="10">
        <f>IF(P291="yes",AA291/1000,0)</f>
        <v/>
      </c>
      <c r="AF291" s="10">
        <f>IF(R291="FG2",AE291*W291,AE291)</f>
        <v/>
      </c>
    </row>
    <row r="292">
      <c r="A292" s="6" t="inlineStr">
        <is>
          <t>HM00290</t>
        </is>
      </c>
      <c r="B292" s="7" t="inlineStr">
        <is>
          <t>3012345033206</t>
        </is>
      </c>
      <c r="C292" s="6" t="inlineStr">
        <is>
          <t>HM CARROTS 1KG</t>
        </is>
      </c>
      <c r="D292" s="6" t="inlineStr">
        <is>
          <t>Carrots, 1kg</t>
        </is>
      </c>
      <c r="E292" s="6" t="inlineStr">
        <is>
          <t>Harbour Market</t>
        </is>
      </c>
      <c r="F292" s="6" t="inlineStr">
        <is>
          <t>Fruit &amp; Vegetables</t>
        </is>
      </c>
      <c r="G292" s="6" t="inlineStr">
        <is>
          <t>Vegetables</t>
        </is>
      </c>
      <c r="H292" s="6" t="inlineStr">
        <is>
          <t>yes</t>
        </is>
      </c>
      <c r="I292" s="6" t="inlineStr">
        <is>
          <t>Plant-based non-core</t>
        </is>
      </c>
      <c r="J292" s="6" t="inlineStr">
        <is>
          <t>B</t>
        </is>
      </c>
      <c r="K292" s="6" t="inlineStr">
        <is>
          <t>Follows the class</t>
        </is>
      </c>
      <c r="L292" s="6" t="n">
        <v>0.57</v>
      </c>
      <c r="M292" s="6" t="inlineStr">
        <is>
          <t>Declared by the retailer</t>
        </is>
      </c>
      <c r="N292" s="6" t="n">
        <v>0.57</v>
      </c>
      <c r="O292" s="6" t="n">
        <v>0</v>
      </c>
      <c r="P292" s="6" t="inlineStr">
        <is>
          <t>yes</t>
        </is>
      </c>
      <c r="Q292" s="6" t="inlineStr">
        <is>
          <t>whole</t>
        </is>
      </c>
      <c r="R292" s="6" t="inlineStr">
        <is>
          <t>FG4</t>
        </is>
      </c>
      <c r="S292" s="6" t="n"/>
      <c r="T292" s="6" t="inlineStr">
        <is>
          <t>plant</t>
        </is>
      </c>
      <c r="U292" s="6" t="n"/>
      <c r="V292" s="6" t="n"/>
      <c r="W292" s="6" t="n">
        <v>1</v>
      </c>
      <c r="X292" s="6" t="n">
        <v>1</v>
      </c>
      <c r="Y292" s="6" t="inlineStr">
        <is>
          <t>declared</t>
        </is>
      </c>
      <c r="Z292" s="8" t="n">
        <v>48002</v>
      </c>
      <c r="AA292" s="9">
        <f>IF(H292="yes",Z292*X292,0)</f>
        <v/>
      </c>
      <c r="AB292" s="9">
        <f>IF(H292="yes",AA292*N(L292)/100,0)</f>
        <v/>
      </c>
      <c r="AC292" s="9">
        <f>IF(H292="yes",AA292*N(N292)/100,0)</f>
        <v/>
      </c>
      <c r="AD292" s="9">
        <f>IF(H292="yes",AA292*N(O292)/100,0)</f>
        <v/>
      </c>
      <c r="AE292" s="10">
        <f>IF(P292="yes",AA292/1000,0)</f>
        <v/>
      </c>
      <c r="AF292" s="10">
        <f>IF(R292="FG2",AE292*W292,AE292)</f>
        <v/>
      </c>
    </row>
    <row r="293">
      <c r="A293" s="6" t="inlineStr">
        <is>
          <t>HM00291</t>
        </is>
      </c>
      <c r="B293" s="7" t="inlineStr">
        <is>
          <t>3012345079389</t>
        </is>
      </c>
      <c r="C293" s="6" t="inlineStr">
        <is>
          <t>HM MILK CHOC HAZELNUT 100G</t>
        </is>
      </c>
      <c r="D293" s="6" t="inlineStr">
        <is>
          <t>Milk chocolate with hazelnuts, 100g</t>
        </is>
      </c>
      <c r="E293" s="6" t="inlineStr">
        <is>
          <t>Harbour Market</t>
        </is>
      </c>
      <c r="F293" s="6" t="inlineStr">
        <is>
          <t>Breakfast &amp; Snacks</t>
        </is>
      </c>
      <c r="G293" s="6" t="inlineStr">
        <is>
          <t>Chocolate</t>
        </is>
      </c>
      <c r="H293" s="6" t="inlineStr">
        <is>
          <t>yes</t>
        </is>
      </c>
      <c r="I293" s="6" t="inlineStr">
        <is>
          <t>Animal &amp; plant composite</t>
        </is>
      </c>
      <c r="J293" s="6" t="inlineStr">
        <is>
          <t>A</t>
        </is>
      </c>
      <c r="K293" s="6" t="inlineStr">
        <is>
          <t>Ingredient list</t>
        </is>
      </c>
      <c r="L293" s="6" t="n">
        <v>7.2</v>
      </c>
      <c r="M293" s="6" t="inlineStr">
        <is>
          <t>Declared by the retailer</t>
        </is>
      </c>
      <c r="N293" s="6" t="n">
        <v>3.31</v>
      </c>
      <c r="O293" s="6" t="n">
        <v>3.89</v>
      </c>
      <c r="P293" s="6" t="inlineStr">
        <is>
          <t>yes</t>
        </is>
      </c>
      <c r="Q293" s="6" t="inlineStr">
        <is>
          <t>whole</t>
        </is>
      </c>
      <c r="R293" s="6" t="inlineStr">
        <is>
          <t>FG7</t>
        </is>
      </c>
      <c r="S293" s="6" t="n"/>
      <c r="T293" s="6" t="inlineStr">
        <is>
          <t>plant</t>
        </is>
      </c>
      <c r="U293" s="6" t="n"/>
      <c r="V293" s="6" t="n"/>
      <c r="W293" s="6" t="n">
        <v>1</v>
      </c>
      <c r="X293" s="6" t="n">
        <v>0.1</v>
      </c>
      <c r="Y293" s="6" t="inlineStr">
        <is>
          <t>declared</t>
        </is>
      </c>
      <c r="Z293" s="8" t="n">
        <v>156713</v>
      </c>
      <c r="AA293" s="9">
        <f>IF(H293="yes",Z293*X293,0)</f>
        <v/>
      </c>
      <c r="AB293" s="9">
        <f>IF(H293="yes",AA293*N(L293)/100,0)</f>
        <v/>
      </c>
      <c r="AC293" s="9">
        <f>IF(H293="yes",AA293*N(N293)/100,0)</f>
        <v/>
      </c>
      <c r="AD293" s="9">
        <f>IF(H293="yes",AA293*N(O293)/100,0)</f>
        <v/>
      </c>
      <c r="AE293" s="10">
        <f>IF(P293="yes",AA293/1000,0)</f>
        <v/>
      </c>
      <c r="AF293" s="10">
        <f>IF(R293="FG2",AE293*W293,AE293)</f>
        <v/>
      </c>
    </row>
    <row r="294">
      <c r="A294" s="6" t="inlineStr">
        <is>
          <t>HM00292</t>
        </is>
      </c>
      <c r="B294" s="7" t="inlineStr">
        <is>
          <t>4012345525977</t>
        </is>
      </c>
      <c r="C294" s="6" t="inlineStr">
        <is>
          <t>HM PORK MINCE 400G</t>
        </is>
      </c>
      <c r="D294" s="6" t="inlineStr">
        <is>
          <t>Pork mince, 400g</t>
        </is>
      </c>
      <c r="E294" s="6" t="inlineStr">
        <is>
          <t>Harbour Market</t>
        </is>
      </c>
      <c r="F294" s="6" t="inlineStr">
        <is>
          <t>Fresh Meat &amp; Poultry</t>
        </is>
      </c>
      <c r="G294" s="6" t="inlineStr">
        <is>
          <t>Pork</t>
        </is>
      </c>
      <c r="H294" s="6" t="inlineStr">
        <is>
          <t>yes</t>
        </is>
      </c>
      <c r="I294" s="6" t="inlineStr">
        <is>
          <t>Animal core</t>
        </is>
      </c>
      <c r="J294" s="6" t="inlineStr">
        <is>
          <t>B</t>
        </is>
      </c>
      <c r="K294" s="6" t="inlineStr">
        <is>
          <t>Follows the class</t>
        </is>
      </c>
      <c r="L294" s="6" t="n">
        <v>19.8</v>
      </c>
      <c r="M294" s="6" t="inlineStr">
        <is>
          <t>Declared by the retailer</t>
        </is>
      </c>
      <c r="N294" s="6" t="n">
        <v>0</v>
      </c>
      <c r="O294" s="6" t="n">
        <v>19.8</v>
      </c>
      <c r="P294" s="6" t="inlineStr">
        <is>
          <t>yes</t>
        </is>
      </c>
      <c r="Q294" s="6" t="inlineStr">
        <is>
          <t>whole</t>
        </is>
      </c>
      <c r="R294" s="6" t="inlineStr">
        <is>
          <t>FG1</t>
        </is>
      </c>
      <c r="S294" s="6" t="inlineStr">
        <is>
          <t>red meat</t>
        </is>
      </c>
      <c r="T294" s="6" t="inlineStr">
        <is>
          <t>animal</t>
        </is>
      </c>
      <c r="U294" s="6" t="n"/>
      <c r="V294" s="6" t="n"/>
      <c r="W294" s="6" t="n">
        <v>1</v>
      </c>
      <c r="X294" s="6" t="n">
        <v>0.4</v>
      </c>
      <c r="Y294" s="6" t="inlineStr">
        <is>
          <t>declared</t>
        </is>
      </c>
      <c r="Z294" s="8" t="n">
        <v>74778</v>
      </c>
      <c r="AA294" s="9">
        <f>IF(H294="yes",Z294*X294,0)</f>
        <v/>
      </c>
      <c r="AB294" s="9">
        <f>IF(H294="yes",AA294*N(L294)/100,0)</f>
        <v/>
      </c>
      <c r="AC294" s="9">
        <f>IF(H294="yes",AA294*N(N294)/100,0)</f>
        <v/>
      </c>
      <c r="AD294" s="9">
        <f>IF(H294="yes",AA294*N(O294)/100,0)</f>
        <v/>
      </c>
      <c r="AE294" s="10">
        <f>IF(P294="yes",AA294/1000,0)</f>
        <v/>
      </c>
      <c r="AF294" s="10">
        <f>IF(R294="FG2",AE294*W294,AE294)</f>
        <v/>
      </c>
    </row>
    <row r="295">
      <c r="A295" s="6" t="inlineStr">
        <is>
          <t>HM00293</t>
        </is>
      </c>
      <c r="B295" s="7" t="inlineStr">
        <is>
          <t>8712345377458</t>
        </is>
      </c>
      <c r="C295" s="6" t="inlineStr">
        <is>
          <t>HM SOUR CRM ONION CRISPS 6PK 150G</t>
        </is>
      </c>
      <c r="D295" s="6" t="inlineStr">
        <is>
          <t>Sour cream &amp; onion crisps, 6pk 150g</t>
        </is>
      </c>
      <c r="E295" s="6" t="inlineStr">
        <is>
          <t>Harbour Market</t>
        </is>
      </c>
      <c r="F295" s="6" t="inlineStr">
        <is>
          <t>Breakfast &amp; Snacks</t>
        </is>
      </c>
      <c r="G295" s="6" t="inlineStr">
        <is>
          <t>Crisps</t>
        </is>
      </c>
      <c r="H295" s="6" t="inlineStr">
        <is>
          <t>yes</t>
        </is>
      </c>
      <c r="I295" s="6" t="inlineStr">
        <is>
          <t>Animal &amp; plant composite</t>
        </is>
      </c>
      <c r="J295" s="6" t="inlineStr">
        <is>
          <t>A</t>
        </is>
      </c>
      <c r="K295" s="6" t="inlineStr">
        <is>
          <t>NEVO food table (ratio only)</t>
        </is>
      </c>
      <c r="L295" s="6" t="n">
        <v>6.2</v>
      </c>
      <c r="M295" s="6" t="inlineStr">
        <is>
          <t>Median of the family</t>
        </is>
      </c>
      <c r="N295" s="6" t="n">
        <v>5.77</v>
      </c>
      <c r="O295" s="6" t="n">
        <v>0.43</v>
      </c>
      <c r="P295" s="6" t="inlineStr">
        <is>
          <t>yes</t>
        </is>
      </c>
      <c r="Q295" s="6" t="inlineStr">
        <is>
          <t>whole</t>
        </is>
      </c>
      <c r="R295" s="6" t="inlineStr">
        <is>
          <t>FG7</t>
        </is>
      </c>
      <c r="S295" s="6" t="n"/>
      <c r="T295" s="6" t="inlineStr">
        <is>
          <t>animal</t>
        </is>
      </c>
      <c r="U295" s="6" t="n"/>
      <c r="V295" s="6" t="n"/>
      <c r="W295" s="6" t="n">
        <v>1</v>
      </c>
      <c r="X295" s="6" t="n">
        <v>0.15</v>
      </c>
      <c r="Y295" s="6" t="inlineStr">
        <is>
          <t>declared</t>
        </is>
      </c>
      <c r="Z295" s="8" t="n">
        <v>11670</v>
      </c>
      <c r="AA295" s="9">
        <f>IF(H295="yes",Z295*X295,0)</f>
        <v/>
      </c>
      <c r="AB295" s="9">
        <f>IF(H295="yes",AA295*N(L295)/100,0)</f>
        <v/>
      </c>
      <c r="AC295" s="9">
        <f>IF(H295="yes",AA295*N(N295)/100,0)</f>
        <v/>
      </c>
      <c r="AD295" s="9">
        <f>IF(H295="yes",AA295*N(O295)/100,0)</f>
        <v/>
      </c>
      <c r="AE295" s="10">
        <f>IF(P295="yes",AA295/1000,0)</f>
        <v/>
      </c>
      <c r="AF295" s="10">
        <f>IF(R295="FG2",AE295*W295,AE295)</f>
        <v/>
      </c>
    </row>
    <row r="296">
      <c r="A296" s="6" t="inlineStr">
        <is>
          <t>HM00294</t>
        </is>
      </c>
      <c r="B296" s="7" t="inlineStr">
        <is>
          <t>5012345573823</t>
        </is>
      </c>
      <c r="C296" s="6" t="inlineStr">
        <is>
          <t>SPAG BOLOGNESE 2X400G QUILLAN</t>
        </is>
      </c>
      <c r="D296" s="6" t="inlineStr">
        <is>
          <t>Spaghetti bolognese, 2x400g</t>
        </is>
      </c>
      <c r="E296" s="6" t="inlineStr">
        <is>
          <t>Quillan</t>
        </is>
      </c>
      <c r="F296" s="6" t="inlineStr">
        <is>
          <t>Ready Meals</t>
        </is>
      </c>
      <c r="G296" s="6" t="inlineStr">
        <is>
          <t>Ready Meals</t>
        </is>
      </c>
      <c r="H296" s="6" t="inlineStr">
        <is>
          <t>yes</t>
        </is>
      </c>
      <c r="I296" s="6" t="inlineStr">
        <is>
          <t>Animal &amp; plant composite</t>
        </is>
      </c>
      <c r="J296" s="6" t="inlineStr">
        <is>
          <t>A</t>
        </is>
      </c>
      <c r="K296" s="6" t="inlineStr">
        <is>
          <t>NEVO food table (ratio only)</t>
        </is>
      </c>
      <c r="L296" s="6" t="n">
        <v>6.9</v>
      </c>
      <c r="M296" s="6" t="inlineStr">
        <is>
          <t>Declared by the retailer</t>
        </is>
      </c>
      <c r="N296" s="6" t="n">
        <v>2.42</v>
      </c>
      <c r="O296" s="6" t="n">
        <v>4.48</v>
      </c>
      <c r="P296" s="6" t="inlineStr">
        <is>
          <t>yes</t>
        </is>
      </c>
      <c r="Q296" s="6" t="inlineStr">
        <is>
          <t>composite</t>
        </is>
      </c>
      <c r="R296" s="6" t="n"/>
      <c r="S296" s="6" t="n"/>
      <c r="T296" s="6" t="n"/>
      <c r="U296" s="6" t="inlineStr">
        <is>
          <t>meat-based</t>
        </is>
      </c>
      <c r="V296" s="6" t="n"/>
      <c r="W296" s="6" t="n">
        <v>1</v>
      </c>
      <c r="X296" s="6" t="n">
        <v>0.8</v>
      </c>
      <c r="Y296" s="6" t="inlineStr">
        <is>
          <t>declared</t>
        </is>
      </c>
      <c r="Z296" s="8" t="n">
        <v>53446</v>
      </c>
      <c r="AA296" s="9">
        <f>IF(H296="yes",Z296*X296,0)</f>
        <v/>
      </c>
      <c r="AB296" s="9">
        <f>IF(H296="yes",AA296*N(L296)/100,0)</f>
        <v/>
      </c>
      <c r="AC296" s="9">
        <f>IF(H296="yes",AA296*N(N296)/100,0)</f>
        <v/>
      </c>
      <c r="AD296" s="9">
        <f>IF(H296="yes",AA296*N(O296)/100,0)</f>
        <v/>
      </c>
      <c r="AE296" s="10">
        <f>IF(P296="yes",AA296/1000,0)</f>
        <v/>
      </c>
      <c r="AF296" s="10">
        <f>IF(R296="FG2",AE296*W296,AE296)</f>
        <v/>
      </c>
    </row>
    <row r="297">
      <c r="A297" s="6" t="inlineStr">
        <is>
          <t>HM00295</t>
        </is>
      </c>
      <c r="B297" s="7" t="inlineStr">
        <is>
          <t>5012345484563</t>
        </is>
      </c>
      <c r="C297" s="6" t="inlineStr">
        <is>
          <t>HM RYE BREAD 800G</t>
        </is>
      </c>
      <c r="D297" s="6" t="inlineStr">
        <is>
          <t>Rye bread, 800g</t>
        </is>
      </c>
      <c r="E297" s="6" t="inlineStr">
        <is>
          <t>Harbour Market</t>
        </is>
      </c>
      <c r="F297" s="6" t="inlineStr">
        <is>
          <t>Bakery</t>
        </is>
      </c>
      <c r="G297" s="6" t="inlineStr">
        <is>
          <t>Bread</t>
        </is>
      </c>
      <c r="H297" s="6" t="inlineStr">
        <is>
          <t>yes</t>
        </is>
      </c>
      <c r="I297" s="6" t="inlineStr">
        <is>
          <t>Plant-based non-core</t>
        </is>
      </c>
      <c r="J297" s="6" t="inlineStr">
        <is>
          <t>B</t>
        </is>
      </c>
      <c r="K297" s="6" t="inlineStr">
        <is>
          <t>Follows the class</t>
        </is>
      </c>
      <c r="L297" s="6" t="n">
        <v>9.5</v>
      </c>
      <c r="M297" s="6" t="inlineStr">
        <is>
          <t>Open Food Facts, by EAN</t>
        </is>
      </c>
      <c r="N297" s="6" t="n">
        <v>9.5</v>
      </c>
      <c r="O297" s="6" t="n">
        <v>0</v>
      </c>
      <c r="P297" s="6" t="inlineStr">
        <is>
          <t>yes</t>
        </is>
      </c>
      <c r="Q297" s="6" t="inlineStr">
        <is>
          <t>whole</t>
        </is>
      </c>
      <c r="R297" s="6" t="inlineStr">
        <is>
          <t>FG5</t>
        </is>
      </c>
      <c r="S297" s="6" t="inlineStr">
        <is>
          <t>refined grain</t>
        </is>
      </c>
      <c r="T297" s="6" t="inlineStr">
        <is>
          <t>plant</t>
        </is>
      </c>
      <c r="U297" s="6" t="n"/>
      <c r="V297" s="6" t="n"/>
      <c r="W297" s="6" t="n">
        <v>1</v>
      </c>
      <c r="X297" s="6" t="n">
        <v>0.8</v>
      </c>
      <c r="Y297" s="6" t="inlineStr">
        <is>
          <t>declared</t>
        </is>
      </c>
      <c r="Z297" s="8" t="n">
        <v>19557</v>
      </c>
      <c r="AA297" s="9">
        <f>IF(H297="yes",Z297*X297,0)</f>
        <v/>
      </c>
      <c r="AB297" s="9">
        <f>IF(H297="yes",AA297*N(L297)/100,0)</f>
        <v/>
      </c>
      <c r="AC297" s="9">
        <f>IF(H297="yes",AA297*N(N297)/100,0)</f>
        <v/>
      </c>
      <c r="AD297" s="9">
        <f>IF(H297="yes",AA297*N(O297)/100,0)</f>
        <v/>
      </c>
      <c r="AE297" s="10">
        <f>IF(P297="yes",AA297/1000,0)</f>
        <v/>
      </c>
      <c r="AF297" s="10">
        <f>IF(R297="FG2",AE297*W297,AE297)</f>
        <v/>
      </c>
    </row>
    <row r="298">
      <c r="A298" s="6" t="inlineStr">
        <is>
          <t>HM00296</t>
        </is>
      </c>
      <c r="B298" s="7" t="inlineStr">
        <is>
          <t>5012345551005</t>
        </is>
      </c>
      <c r="C298" s="6" t="inlineStr">
        <is>
          <t>SALMON SUSHI BOX 12PC 300G QUILLAN</t>
        </is>
      </c>
      <c r="D298" s="6" t="inlineStr">
        <is>
          <t>Salmon sushi selection, 12pc 300g</t>
        </is>
      </c>
      <c r="E298" s="6" t="inlineStr">
        <is>
          <t>Quillan</t>
        </is>
      </c>
      <c r="F298" s="6" t="inlineStr">
        <is>
          <t>Ready Meals</t>
        </is>
      </c>
      <c r="G298" s="6" t="inlineStr">
        <is>
          <t>Sushi</t>
        </is>
      </c>
      <c r="H298" s="6" t="inlineStr">
        <is>
          <t>yes</t>
        </is>
      </c>
      <c r="I298" s="6" t="inlineStr">
        <is>
          <t>Animal &amp; plant composite</t>
        </is>
      </c>
      <c r="J298" s="6" t="inlineStr">
        <is>
          <t>A</t>
        </is>
      </c>
      <c r="K298" s="6" t="inlineStr">
        <is>
          <t>NEVO food table (ratio only)</t>
        </is>
      </c>
      <c r="L298" s="6" t="n">
        <v>7.3</v>
      </c>
      <c r="M298" s="6" t="inlineStr">
        <is>
          <t>Declared by the retailer</t>
        </is>
      </c>
      <c r="N298" s="6" t="n">
        <v>3.29</v>
      </c>
      <c r="O298" s="6" t="n">
        <v>4.01</v>
      </c>
      <c r="P298" s="6" t="inlineStr">
        <is>
          <t>yes</t>
        </is>
      </c>
      <c r="Q298" s="6" t="inlineStr">
        <is>
          <t>composite</t>
        </is>
      </c>
      <c r="R298" s="6" t="n"/>
      <c r="S298" s="6" t="n"/>
      <c r="T298" s="6" t="n"/>
      <c r="U298" s="6" t="inlineStr">
        <is>
          <t>seafood-based</t>
        </is>
      </c>
      <c r="V298" s="6" t="n"/>
      <c r="W298" s="6" t="n">
        <v>1</v>
      </c>
      <c r="X298" s="6" t="n">
        <v>0.3</v>
      </c>
      <c r="Y298" s="6" t="inlineStr">
        <is>
          <t>declared</t>
        </is>
      </c>
      <c r="Z298" s="8" t="n">
        <v>17224</v>
      </c>
      <c r="AA298" s="9">
        <f>IF(H298="yes",Z298*X298,0)</f>
        <v/>
      </c>
      <c r="AB298" s="9">
        <f>IF(H298="yes",AA298*N(L298)/100,0)</f>
        <v/>
      </c>
      <c r="AC298" s="9">
        <f>IF(H298="yes",AA298*N(N298)/100,0)</f>
        <v/>
      </c>
      <c r="AD298" s="9">
        <f>IF(H298="yes",AA298*N(O298)/100,0)</f>
        <v/>
      </c>
      <c r="AE298" s="10">
        <f>IF(P298="yes",AA298/1000,0)</f>
        <v/>
      </c>
      <c r="AF298" s="10">
        <f>IF(R298="FG2",AE298*W298,AE298)</f>
        <v/>
      </c>
    </row>
    <row r="299">
      <c r="A299" s="6" t="inlineStr">
        <is>
          <t>HM00297</t>
        </is>
      </c>
      <c r="B299" s="7" t="inlineStr">
        <is>
          <t>8712345210267</t>
        </is>
      </c>
      <c r="C299" s="6" t="inlineStr">
        <is>
          <t>CASTELNA PEPPERONI SLICES 200G</t>
        </is>
      </c>
      <c r="D299" s="6" t="inlineStr">
        <is>
          <t>Pepperoni slices, 200g</t>
        </is>
      </c>
      <c r="E299" s="6" t="inlineStr">
        <is>
          <t>Castelna</t>
        </is>
      </c>
      <c r="F299" s="6" t="inlineStr">
        <is>
          <t>Deli</t>
        </is>
      </c>
      <c r="G299" s="6" t="inlineStr">
        <is>
          <t>Cured Meats</t>
        </is>
      </c>
      <c r="H299" s="6" t="inlineStr">
        <is>
          <t>yes</t>
        </is>
      </c>
      <c r="I299" s="6" t="inlineStr">
        <is>
          <t>Animal core</t>
        </is>
      </c>
      <c r="J299" s="6" t="inlineStr">
        <is>
          <t>A</t>
        </is>
      </c>
      <c r="K299" s="6" t="inlineStr">
        <is>
          <t>All ingredients on one side</t>
        </is>
      </c>
      <c r="L299" s="6" t="n">
        <v>23.5</v>
      </c>
      <c r="M299" s="6" t="inlineStr">
        <is>
          <t>Declared by the retailer</t>
        </is>
      </c>
      <c r="N299" s="6" t="n">
        <v>0</v>
      </c>
      <c r="O299" s="6" t="n">
        <v>23.5</v>
      </c>
      <c r="P299" s="6" t="inlineStr">
        <is>
          <t>yes</t>
        </is>
      </c>
      <c r="Q299" s="6" t="inlineStr">
        <is>
          <t>whole</t>
        </is>
      </c>
      <c r="R299" s="6" t="inlineStr">
        <is>
          <t>FG1</t>
        </is>
      </c>
      <c r="S299" s="6" t="inlineStr">
        <is>
          <t>red meat</t>
        </is>
      </c>
      <c r="T299" s="6" t="inlineStr">
        <is>
          <t>animal</t>
        </is>
      </c>
      <c r="U299" s="6" t="n"/>
      <c r="V299" s="6" t="n"/>
      <c r="W299" s="6" t="n">
        <v>1</v>
      </c>
      <c r="X299" s="6" t="n">
        <v>0.2</v>
      </c>
      <c r="Y299" s="6" t="inlineStr">
        <is>
          <t>declared</t>
        </is>
      </c>
      <c r="Z299" s="8" t="n">
        <v>42643</v>
      </c>
      <c r="AA299" s="9">
        <f>IF(H299="yes",Z299*X299,0)</f>
        <v/>
      </c>
      <c r="AB299" s="9">
        <f>IF(H299="yes",AA299*N(L299)/100,0)</f>
        <v/>
      </c>
      <c r="AC299" s="9">
        <f>IF(H299="yes",AA299*N(N299)/100,0)</f>
        <v/>
      </c>
      <c r="AD299" s="9">
        <f>IF(H299="yes",AA299*N(O299)/100,0)</f>
        <v/>
      </c>
      <c r="AE299" s="10">
        <f>IF(P299="yes",AA299/1000,0)</f>
        <v/>
      </c>
      <c r="AF299" s="10">
        <f>IF(R299="FG2",AE299*W299,AE299)</f>
        <v/>
      </c>
    </row>
    <row r="300">
      <c r="A300" s="6" t="inlineStr">
        <is>
          <t>HM00298</t>
        </is>
      </c>
      <c r="B300" s="7" t="inlineStr">
        <is>
          <t>4012345337150</t>
        </is>
      </c>
      <c r="C300" s="6" t="inlineStr">
        <is>
          <t>HM CARROTS EACH</t>
        </is>
      </c>
      <c r="D300" s="6" t="inlineStr">
        <is>
          <t>Carrots</t>
        </is>
      </c>
      <c r="E300" s="6" t="inlineStr">
        <is>
          <t>Harbour Market</t>
        </is>
      </c>
      <c r="F300" s="6" t="inlineStr">
        <is>
          <t>Fruit &amp; Vegetables</t>
        </is>
      </c>
      <c r="G300" s="6" t="inlineStr">
        <is>
          <t>Vegetables</t>
        </is>
      </c>
      <c r="H300" s="6" t="inlineStr">
        <is>
          <t>yes</t>
        </is>
      </c>
      <c r="I300" s="6" t="inlineStr">
        <is>
          <t>Plant-based non-core</t>
        </is>
      </c>
      <c r="J300" s="6" t="inlineStr">
        <is>
          <t>B</t>
        </is>
      </c>
      <c r="K300" s="6" t="inlineStr">
        <is>
          <t>Follows the class</t>
        </is>
      </c>
      <c r="L300" s="6" t="n">
        <v>0.61</v>
      </c>
      <c r="M300" s="6" t="inlineStr">
        <is>
          <t>Declared by the retailer</t>
        </is>
      </c>
      <c r="N300" s="6" t="n">
        <v>0.61</v>
      </c>
      <c r="O300" s="6" t="n">
        <v>0</v>
      </c>
      <c r="P300" s="6" t="inlineStr">
        <is>
          <t>yes</t>
        </is>
      </c>
      <c r="Q300" s="6" t="inlineStr">
        <is>
          <t>whole</t>
        </is>
      </c>
      <c r="R300" s="6" t="inlineStr">
        <is>
          <t>FG4</t>
        </is>
      </c>
      <c r="S300" s="6" t="n"/>
      <c r="T300" s="6" t="inlineStr">
        <is>
          <t>plant</t>
        </is>
      </c>
      <c r="U300" s="6" t="n"/>
      <c r="V300" s="6" t="n"/>
      <c r="W300" s="6" t="n">
        <v>1</v>
      </c>
      <c r="X300" s="6" t="n">
        <v>0.3</v>
      </c>
      <c r="Y300" s="6" t="inlineStr">
        <is>
          <t>typical_piece</t>
        </is>
      </c>
      <c r="Z300" s="8" t="n">
        <v>13389</v>
      </c>
      <c r="AA300" s="9">
        <f>IF(H300="yes",Z300*X300,0)</f>
        <v/>
      </c>
      <c r="AB300" s="9">
        <f>IF(H300="yes",AA300*N(L300)/100,0)</f>
        <v/>
      </c>
      <c r="AC300" s="9">
        <f>IF(H300="yes",AA300*N(N300)/100,0)</f>
        <v/>
      </c>
      <c r="AD300" s="9">
        <f>IF(H300="yes",AA300*N(O300)/100,0)</f>
        <v/>
      </c>
      <c r="AE300" s="10">
        <f>IF(P300="yes",AA300/1000,0)</f>
        <v/>
      </c>
      <c r="AF300" s="10">
        <f>IF(R300="FG2",AE300*W300,AE300)</f>
        <v/>
      </c>
    </row>
    <row r="301">
      <c r="A301" s="6" t="inlineStr">
        <is>
          <t>HM00299</t>
        </is>
      </c>
      <c r="B301" s="7" t="inlineStr">
        <is>
          <t>5012345255620</t>
        </is>
      </c>
      <c r="C301" s="6" t="inlineStr">
        <is>
          <t>HM BLENDED WHISKY 70CL</t>
        </is>
      </c>
      <c r="D301" s="6" t="inlineStr">
        <is>
          <t>Blended whisky, 70cl</t>
        </is>
      </c>
      <c r="E301" s="6" t="inlineStr">
        <is>
          <t>Harbour Market</t>
        </is>
      </c>
      <c r="F301" s="6" t="inlineStr">
        <is>
          <t>Beer, Wine &amp; Spirits</t>
        </is>
      </c>
      <c r="G301" s="6" t="inlineStr">
        <is>
          <t>Spirits</t>
        </is>
      </c>
      <c r="H301" s="6" t="inlineStr">
        <is>
          <t>yes</t>
        </is>
      </c>
      <c r="I301" s="6" t="inlineStr">
        <is>
          <t>Plant-based non-core</t>
        </is>
      </c>
      <c r="J301" s="6" t="inlineStr">
        <is>
          <t>A</t>
        </is>
      </c>
      <c r="K301" s="6" t="inlineStr">
        <is>
          <t>All ingredients on one side</t>
        </is>
      </c>
      <c r="L301" s="6" t="n">
        <v>0</v>
      </c>
      <c r="M301" s="6" t="inlineStr">
        <is>
          <t>Altera reference base</t>
        </is>
      </c>
      <c r="N301" s="6" t="n">
        <v>0</v>
      </c>
      <c r="O301" s="6" t="n">
        <v>0</v>
      </c>
      <c r="P301" s="6" t="inlineStr">
        <is>
          <t>no</t>
        </is>
      </c>
      <c r="Q301" s="6" t="n"/>
      <c r="R301" s="6" t="n"/>
      <c r="S301" s="6" t="n"/>
      <c r="T301" s="6" t="n"/>
      <c r="U301" s="6" t="n"/>
      <c r="V301" s="6" t="inlineStr">
        <is>
          <t>alcohol</t>
        </is>
      </c>
      <c r="W301" s="6" t="n">
        <v>1</v>
      </c>
      <c r="X301" s="6" t="n">
        <v>0.7</v>
      </c>
      <c r="Y301" s="6" t="inlineStr">
        <is>
          <t>declared</t>
        </is>
      </c>
      <c r="Z301" s="8" t="n">
        <v>3425</v>
      </c>
      <c r="AA301" s="9">
        <f>IF(H301="yes",Z301*X301,0)</f>
        <v/>
      </c>
      <c r="AB301" s="9">
        <f>IF(H301="yes",AA301*N(L301)/100,0)</f>
        <v/>
      </c>
      <c r="AC301" s="9">
        <f>IF(H301="yes",AA301*N(N301)/100,0)</f>
        <v/>
      </c>
      <c r="AD301" s="9">
        <f>IF(H301="yes",AA301*N(O301)/100,0)</f>
        <v/>
      </c>
      <c r="AE301" s="10">
        <f>IF(P301="yes",AA301/1000,0)</f>
        <v/>
      </c>
      <c r="AF301" s="10">
        <f>IF(R301="FG2",AE301*W301,AE301)</f>
        <v/>
      </c>
    </row>
    <row r="302">
      <c r="A302" s="6" t="inlineStr">
        <is>
          <t>HM00300</t>
        </is>
      </c>
      <c r="B302" s="7" t="inlineStr">
        <is>
          <t>8712345180218</t>
        </is>
      </c>
      <c r="C302" s="6" t="inlineStr">
        <is>
          <t>HM SKYR STRAWB 4X125G</t>
        </is>
      </c>
      <c r="D302" s="6" t="inlineStr">
        <is>
          <t>Strawberry skyr, 4x125g</t>
        </is>
      </c>
      <c r="E302" s="6" t="inlineStr">
        <is>
          <t>Harbour Market</t>
        </is>
      </c>
      <c r="F302" s="6" t="inlineStr">
        <is>
          <t>Dairy &amp; Eggs</t>
        </is>
      </c>
      <c r="G302" s="6" t="inlineStr">
        <is>
          <t>Yoghurt</t>
        </is>
      </c>
      <c r="H302" s="6" t="inlineStr">
        <is>
          <t>yes</t>
        </is>
      </c>
      <c r="I302" s="6" t="inlineStr">
        <is>
          <t>Animal core</t>
        </is>
      </c>
      <c r="J302" s="6" t="inlineStr">
        <is>
          <t>B</t>
        </is>
      </c>
      <c r="K302" s="6" t="inlineStr">
        <is>
          <t>First ingredient (step 4a)</t>
        </is>
      </c>
      <c r="L302" s="6" t="n">
        <v>10</v>
      </c>
      <c r="M302" s="6" t="inlineStr">
        <is>
          <t>Median of the family</t>
        </is>
      </c>
      <c r="N302" s="6" t="n">
        <v>0</v>
      </c>
      <c r="O302" s="6" t="n">
        <v>10</v>
      </c>
      <c r="P302" s="6" t="inlineStr">
        <is>
          <t>yes</t>
        </is>
      </c>
      <c r="Q302" s="6" t="inlineStr">
        <is>
          <t>whole</t>
        </is>
      </c>
      <c r="R302" s="6" t="inlineStr">
        <is>
          <t>FG2</t>
        </is>
      </c>
      <c r="S302" s="6" t="inlineStr">
        <is>
          <t>dairy</t>
        </is>
      </c>
      <c r="T302" s="6" t="inlineStr">
        <is>
          <t>animal</t>
        </is>
      </c>
      <c r="U302" s="6" t="n"/>
      <c r="V302" s="6" t="n"/>
      <c r="W302" s="6" t="n">
        <v>1</v>
      </c>
      <c r="X302" s="6" t="n">
        <v>0.5</v>
      </c>
      <c r="Y302" s="6" t="inlineStr">
        <is>
          <t>declared</t>
        </is>
      </c>
      <c r="Z302" s="8" t="n">
        <v>11199</v>
      </c>
      <c r="AA302" s="9">
        <f>IF(H302="yes",Z302*X302,0)</f>
        <v/>
      </c>
      <c r="AB302" s="9">
        <f>IF(H302="yes",AA302*N(L302)/100,0)</f>
        <v/>
      </c>
      <c r="AC302" s="9">
        <f>IF(H302="yes",AA302*N(N302)/100,0)</f>
        <v/>
      </c>
      <c r="AD302" s="9">
        <f>IF(H302="yes",AA302*N(O302)/100,0)</f>
        <v/>
      </c>
      <c r="AE302" s="10">
        <f>IF(P302="yes",AA302/1000,0)</f>
        <v/>
      </c>
      <c r="AF302" s="10">
        <f>IF(R302="FG2",AE302*W302,AE302)</f>
        <v/>
      </c>
    </row>
    <row r="303">
      <c r="A303" s="6" t="inlineStr">
        <is>
          <t>HM00301</t>
        </is>
      </c>
      <c r="B303" s="7" t="inlineStr">
        <is>
          <t>4012345842159</t>
        </is>
      </c>
      <c r="C303" s="6" t="inlineStr">
        <is>
          <t>TARROW LAMB MINCE 500G</t>
        </is>
      </c>
      <c r="D303" s="6" t="inlineStr">
        <is>
          <t>Lamb mince, 500g</t>
        </is>
      </c>
      <c r="E303" s="6" t="inlineStr">
        <is>
          <t>Tarrow Farm</t>
        </is>
      </c>
      <c r="F303" s="6" t="inlineStr">
        <is>
          <t>Fresh Meat &amp; Poultry</t>
        </is>
      </c>
      <c r="G303" s="6" t="inlineStr">
        <is>
          <t>Turkey &amp; Lamb</t>
        </is>
      </c>
      <c r="H303" s="6" t="inlineStr">
        <is>
          <t>yes</t>
        </is>
      </c>
      <c r="I303" s="6" t="inlineStr">
        <is>
          <t>Animal core</t>
        </is>
      </c>
      <c r="J303" s="6" t="inlineStr">
        <is>
          <t>B</t>
        </is>
      </c>
      <c r="K303" s="6" t="inlineStr">
        <is>
          <t>Follows the class</t>
        </is>
      </c>
      <c r="L303" s="6" t="n">
        <v>17</v>
      </c>
      <c r="M303" s="6" t="inlineStr">
        <is>
          <t>Declared by the retailer</t>
        </is>
      </c>
      <c r="N303" s="6" t="n">
        <v>0</v>
      </c>
      <c r="O303" s="6" t="n">
        <v>17</v>
      </c>
      <c r="P303" s="6" t="inlineStr">
        <is>
          <t>yes</t>
        </is>
      </c>
      <c r="Q303" s="6" t="inlineStr">
        <is>
          <t>whole</t>
        </is>
      </c>
      <c r="R303" s="6" t="inlineStr">
        <is>
          <t>FG1</t>
        </is>
      </c>
      <c r="S303" s="6" t="inlineStr">
        <is>
          <t>red meat</t>
        </is>
      </c>
      <c r="T303" s="6" t="inlineStr">
        <is>
          <t>animal</t>
        </is>
      </c>
      <c r="U303" s="6" t="n"/>
      <c r="V303" s="6" t="n"/>
      <c r="W303" s="6" t="n">
        <v>1</v>
      </c>
      <c r="X303" s="6" t="n">
        <v>0.5</v>
      </c>
      <c r="Y303" s="6" t="inlineStr">
        <is>
          <t>declared</t>
        </is>
      </c>
      <c r="Z303" s="8" t="n">
        <v>9466</v>
      </c>
      <c r="AA303" s="9">
        <f>IF(H303="yes",Z303*X303,0)</f>
        <v/>
      </c>
      <c r="AB303" s="9">
        <f>IF(H303="yes",AA303*N(L303)/100,0)</f>
        <v/>
      </c>
      <c r="AC303" s="9">
        <f>IF(H303="yes",AA303*N(N303)/100,0)</f>
        <v/>
      </c>
      <c r="AD303" s="9">
        <f>IF(H303="yes",AA303*N(O303)/100,0)</f>
        <v/>
      </c>
      <c r="AE303" s="10">
        <f>IF(P303="yes",AA303/1000,0)</f>
        <v/>
      </c>
      <c r="AF303" s="10">
        <f>IF(R303="FG2",AE303*W303,AE303)</f>
        <v/>
      </c>
    </row>
    <row r="304">
      <c r="A304" s="6" t="inlineStr">
        <is>
          <t>HM00302</t>
        </is>
      </c>
      <c r="B304" s="7" t="inlineStr">
        <is>
          <t>4012345387292</t>
        </is>
      </c>
      <c r="C304" s="6" t="inlineStr">
        <is>
          <t>HM RICH TEA BISCUITS 400G</t>
        </is>
      </c>
      <c r="D304" s="6" t="inlineStr">
        <is>
          <t>Rich tea biscuits, 400g</t>
        </is>
      </c>
      <c r="E304" s="6" t="inlineStr">
        <is>
          <t>Harbour Market</t>
        </is>
      </c>
      <c r="F304" s="6" t="inlineStr">
        <is>
          <t>Breakfast &amp; Snacks</t>
        </is>
      </c>
      <c r="G304" s="6" t="inlineStr">
        <is>
          <t>Biscuits</t>
        </is>
      </c>
      <c r="H304" s="6" t="inlineStr">
        <is>
          <t>yes</t>
        </is>
      </c>
      <c r="I304" s="6" t="inlineStr">
        <is>
          <t>Plant-based non-core</t>
        </is>
      </c>
      <c r="J304" s="6" t="inlineStr">
        <is>
          <t>A</t>
        </is>
      </c>
      <c r="K304" s="6" t="inlineStr">
        <is>
          <t>All ingredients on one side</t>
        </is>
      </c>
      <c r="L304" s="6" t="n">
        <v>6.6</v>
      </c>
      <c r="M304" s="6" t="inlineStr">
        <is>
          <t>Declared by the retailer</t>
        </is>
      </c>
      <c r="N304" s="6" t="n">
        <v>6.6</v>
      </c>
      <c r="O304" s="6" t="n">
        <v>0</v>
      </c>
      <c r="P304" s="6" t="inlineStr">
        <is>
          <t>yes</t>
        </is>
      </c>
      <c r="Q304" s="6" t="inlineStr">
        <is>
          <t>whole</t>
        </is>
      </c>
      <c r="R304" s="6" t="inlineStr">
        <is>
          <t>FG7</t>
        </is>
      </c>
      <c r="S304" s="6" t="n"/>
      <c r="T304" s="6" t="inlineStr">
        <is>
          <t>plant</t>
        </is>
      </c>
      <c r="U304" s="6" t="n"/>
      <c r="V304" s="6" t="n"/>
      <c r="W304" s="6" t="n">
        <v>1</v>
      </c>
      <c r="X304" s="6" t="n">
        <v>0.4</v>
      </c>
      <c r="Y304" s="6" t="inlineStr">
        <is>
          <t>declared</t>
        </is>
      </c>
      <c r="Z304" s="8" t="n">
        <v>38424</v>
      </c>
      <c r="AA304" s="9">
        <f>IF(H304="yes",Z304*X304,0)</f>
        <v/>
      </c>
      <c r="AB304" s="9">
        <f>IF(H304="yes",AA304*N(L304)/100,0)</f>
        <v/>
      </c>
      <c r="AC304" s="9">
        <f>IF(H304="yes",AA304*N(N304)/100,0)</f>
        <v/>
      </c>
      <c r="AD304" s="9">
        <f>IF(H304="yes",AA304*N(O304)/100,0)</f>
        <v/>
      </c>
      <c r="AE304" s="10">
        <f>IF(P304="yes",AA304/1000,0)</f>
        <v/>
      </c>
      <c r="AF304" s="10">
        <f>IF(R304="FG2",AE304*W304,AE304)</f>
        <v/>
      </c>
    </row>
    <row r="305">
      <c r="A305" s="6" t="inlineStr">
        <is>
          <t>HM00303</t>
        </is>
      </c>
      <c r="B305" s="7" t="inlineStr">
        <is>
          <t>4012345697094</t>
        </is>
      </c>
      <c r="C305" s="6" t="inlineStr">
        <is>
          <t>HM MIXED VEG 1KG</t>
        </is>
      </c>
      <c r="D305" s="6" t="inlineStr">
        <is>
          <t>Mixed vegetables, 1kg</t>
        </is>
      </c>
      <c r="E305" s="6" t="inlineStr">
        <is>
          <t>Harbour Market</t>
        </is>
      </c>
      <c r="F305" s="6" t="inlineStr">
        <is>
          <t>Frozen</t>
        </is>
      </c>
      <c r="G305" s="6" t="inlineStr">
        <is>
          <t>Frozen Vegetables</t>
        </is>
      </c>
      <c r="H305" s="6" t="inlineStr">
        <is>
          <t>yes</t>
        </is>
      </c>
      <c r="I305" s="6" t="inlineStr">
        <is>
          <t>Plant-based non-core</t>
        </is>
      </c>
      <c r="J305" s="6" t="inlineStr">
        <is>
          <t>B</t>
        </is>
      </c>
      <c r="K305" s="6" t="inlineStr">
        <is>
          <t>Follows the class</t>
        </is>
      </c>
      <c r="L305" s="6" t="n">
        <v>2.4</v>
      </c>
      <c r="M305" s="6" t="inlineStr">
        <is>
          <t>Median of the family</t>
        </is>
      </c>
      <c r="N305" s="6" t="n">
        <v>2.4</v>
      </c>
      <c r="O305" s="6" t="n">
        <v>0</v>
      </c>
      <c r="P305" s="6" t="inlineStr">
        <is>
          <t>yes</t>
        </is>
      </c>
      <c r="Q305" s="6" t="inlineStr">
        <is>
          <t>whole</t>
        </is>
      </c>
      <c r="R305" s="6" t="inlineStr">
        <is>
          <t>FG4</t>
        </is>
      </c>
      <c r="S305" s="6" t="n"/>
      <c r="T305" s="6" t="inlineStr">
        <is>
          <t>plant</t>
        </is>
      </c>
      <c r="U305" s="6" t="n"/>
      <c r="V305" s="6" t="n"/>
      <c r="W305" s="6" t="n">
        <v>1</v>
      </c>
      <c r="X305" s="6" t="n">
        <v>1</v>
      </c>
      <c r="Y305" s="6" t="inlineStr">
        <is>
          <t>declared</t>
        </is>
      </c>
      <c r="Z305" s="8" t="n">
        <v>14793</v>
      </c>
      <c r="AA305" s="9">
        <f>IF(H305="yes",Z305*X305,0)</f>
        <v/>
      </c>
      <c r="AB305" s="9">
        <f>IF(H305="yes",AA305*N(L305)/100,0)</f>
        <v/>
      </c>
      <c r="AC305" s="9">
        <f>IF(H305="yes",AA305*N(N305)/100,0)</f>
        <v/>
      </c>
      <c r="AD305" s="9">
        <f>IF(H305="yes",AA305*N(O305)/100,0)</f>
        <v/>
      </c>
      <c r="AE305" s="10">
        <f>IF(P305="yes",AA305/1000,0)</f>
        <v/>
      </c>
      <c r="AF305" s="10">
        <f>IF(R305="FG2",AE305*W305,AE305)</f>
        <v/>
      </c>
    </row>
    <row r="306">
      <c r="A306" s="6" t="inlineStr">
        <is>
          <t>HM00304</t>
        </is>
      </c>
      <c r="B306" s="7" t="inlineStr">
        <is>
          <t>8712345605230</t>
        </is>
      </c>
      <c r="C306" s="6" t="inlineStr">
        <is>
          <t>TARROW CHKN WINGS 650G</t>
        </is>
      </c>
      <c r="D306" s="6" t="inlineStr">
        <is>
          <t>Chicken wings, 650g</t>
        </is>
      </c>
      <c r="E306" s="6" t="inlineStr">
        <is>
          <t>Tarrow Farm</t>
        </is>
      </c>
      <c r="F306" s="6" t="inlineStr">
        <is>
          <t>Fresh Meat &amp; Poultry</t>
        </is>
      </c>
      <c r="G306" s="6" t="inlineStr">
        <is>
          <t>Poultry</t>
        </is>
      </c>
      <c r="H306" s="6" t="inlineStr">
        <is>
          <t>yes</t>
        </is>
      </c>
      <c r="I306" s="6" t="inlineStr">
        <is>
          <t>Animal core</t>
        </is>
      </c>
      <c r="J306" s="6" t="inlineStr">
        <is>
          <t>A</t>
        </is>
      </c>
      <c r="K306" s="6" t="inlineStr">
        <is>
          <t>All ingredients on one side</t>
        </is>
      </c>
      <c r="L306" s="6" t="n">
        <v>17.7</v>
      </c>
      <c r="M306" s="6" t="inlineStr">
        <is>
          <t>Open Food Facts, by EAN</t>
        </is>
      </c>
      <c r="N306" s="6" t="n">
        <v>0</v>
      </c>
      <c r="O306" s="6" t="n">
        <v>17.7</v>
      </c>
      <c r="P306" s="6" t="inlineStr">
        <is>
          <t>yes</t>
        </is>
      </c>
      <c r="Q306" s="6" t="inlineStr">
        <is>
          <t>whole</t>
        </is>
      </c>
      <c r="R306" s="6" t="inlineStr">
        <is>
          <t>FG1</t>
        </is>
      </c>
      <c r="S306" s="6" t="inlineStr">
        <is>
          <t>poultry</t>
        </is>
      </c>
      <c r="T306" s="6" t="inlineStr">
        <is>
          <t>animal</t>
        </is>
      </c>
      <c r="U306" s="6" t="n"/>
      <c r="V306" s="6" t="n"/>
      <c r="W306" s="6" t="n">
        <v>1</v>
      </c>
      <c r="X306" s="6" t="n">
        <v>0.65</v>
      </c>
      <c r="Y306" s="6" t="inlineStr">
        <is>
          <t>declared</t>
        </is>
      </c>
      <c r="Z306" s="8" t="n">
        <v>32054</v>
      </c>
      <c r="AA306" s="9">
        <f>IF(H306="yes",Z306*X306,0)</f>
        <v/>
      </c>
      <c r="AB306" s="9">
        <f>IF(H306="yes",AA306*N(L306)/100,0)</f>
        <v/>
      </c>
      <c r="AC306" s="9">
        <f>IF(H306="yes",AA306*N(N306)/100,0)</f>
        <v/>
      </c>
      <c r="AD306" s="9">
        <f>IF(H306="yes",AA306*N(O306)/100,0)</f>
        <v/>
      </c>
      <c r="AE306" s="10">
        <f>IF(P306="yes",AA306/1000,0)</f>
        <v/>
      </c>
      <c r="AF306" s="10">
        <f>IF(R306="FG2",AE306*W306,AE306)</f>
        <v/>
      </c>
    </row>
    <row r="307">
      <c r="A307" s="6" t="inlineStr">
        <is>
          <t>HM00305</t>
        </is>
      </c>
      <c r="B307" s="7" t="inlineStr">
        <is>
          <t>4012345834109</t>
        </is>
      </c>
      <c r="C307" s="6" t="inlineStr">
        <is>
          <t>HM SALAMI MILANO 100G</t>
        </is>
      </c>
      <c r="D307" s="6" t="inlineStr">
        <is>
          <t>Milano salami, 100g</t>
        </is>
      </c>
      <c r="E307" s="6" t="inlineStr">
        <is>
          <t>Harbour Market</t>
        </is>
      </c>
      <c r="F307" s="6" t="inlineStr">
        <is>
          <t>Deli</t>
        </is>
      </c>
      <c r="G307" s="6" t="inlineStr">
        <is>
          <t>Cured Meats</t>
        </is>
      </c>
      <c r="H307" s="6" t="inlineStr">
        <is>
          <t>yes</t>
        </is>
      </c>
      <c r="I307" s="6" t="inlineStr">
        <is>
          <t>Animal core</t>
        </is>
      </c>
      <c r="J307" s="6" t="inlineStr">
        <is>
          <t>A</t>
        </is>
      </c>
      <c r="K307" s="6" t="inlineStr">
        <is>
          <t>All ingredients on one side</t>
        </is>
      </c>
      <c r="L307" s="6" t="n">
        <v>23.1</v>
      </c>
      <c r="M307" s="6" t="inlineStr">
        <is>
          <t>Altera reference base</t>
        </is>
      </c>
      <c r="N307" s="6" t="n">
        <v>0</v>
      </c>
      <c r="O307" s="6" t="n">
        <v>23.1</v>
      </c>
      <c r="P307" s="6" t="inlineStr">
        <is>
          <t>yes</t>
        </is>
      </c>
      <c r="Q307" s="6" t="inlineStr">
        <is>
          <t>whole</t>
        </is>
      </c>
      <c r="R307" s="6" t="inlineStr">
        <is>
          <t>FG1</t>
        </is>
      </c>
      <c r="S307" s="6" t="inlineStr">
        <is>
          <t>red meat</t>
        </is>
      </c>
      <c r="T307" s="6" t="inlineStr">
        <is>
          <t>animal</t>
        </is>
      </c>
      <c r="U307" s="6" t="n"/>
      <c r="V307" s="6" t="n"/>
      <c r="W307" s="6" t="n">
        <v>1</v>
      </c>
      <c r="X307" s="6" t="n">
        <v>0.1</v>
      </c>
      <c r="Y307" s="6" t="inlineStr">
        <is>
          <t>declared</t>
        </is>
      </c>
      <c r="Z307" s="8" t="n">
        <v>19940</v>
      </c>
      <c r="AA307" s="9">
        <f>IF(H307="yes",Z307*X307,0)</f>
        <v/>
      </c>
      <c r="AB307" s="9">
        <f>IF(H307="yes",AA307*N(L307)/100,0)</f>
        <v/>
      </c>
      <c r="AC307" s="9">
        <f>IF(H307="yes",AA307*N(N307)/100,0)</f>
        <v/>
      </c>
      <c r="AD307" s="9">
        <f>IF(H307="yes",AA307*N(O307)/100,0)</f>
        <v/>
      </c>
      <c r="AE307" s="10">
        <f>IF(P307="yes",AA307/1000,0)</f>
        <v/>
      </c>
      <c r="AF307" s="10">
        <f>IF(R307="FG2",AE307*W307,AE307)</f>
        <v/>
      </c>
    </row>
    <row r="308">
      <c r="A308" s="6" t="inlineStr">
        <is>
          <t>HM00306</t>
        </is>
      </c>
      <c r="B308" s="7" t="inlineStr">
        <is>
          <t>8712345168155</t>
        </is>
      </c>
      <c r="C308" s="6" t="inlineStr">
        <is>
          <t>HM SOYA YOG ALT NAT 4X125G</t>
        </is>
      </c>
      <c r="D308" s="6" t="inlineStr">
        <is>
          <t>Plain soya yoghurt alternative, 4x125g</t>
        </is>
      </c>
      <c r="E308" s="6" t="inlineStr">
        <is>
          <t>Harbour Market</t>
        </is>
      </c>
      <c r="F308" s="6" t="inlineStr">
        <is>
          <t>Plant-Based</t>
        </is>
      </c>
      <c r="G308" s="6" t="inlineStr">
        <is>
          <t>Plant Yoghurts</t>
        </is>
      </c>
      <c r="H308" s="6" t="inlineStr">
        <is>
          <t>yes</t>
        </is>
      </c>
      <c r="I308" s="6" t="inlineStr">
        <is>
          <t>Plant-based core</t>
        </is>
      </c>
      <c r="J308" s="6" t="inlineStr">
        <is>
          <t>A</t>
        </is>
      </c>
      <c r="K308" s="6" t="inlineStr">
        <is>
          <t>All ingredients on one side</t>
        </is>
      </c>
      <c r="L308" s="6" t="n">
        <v>4.2</v>
      </c>
      <c r="M308" s="6" t="inlineStr">
        <is>
          <t>Declared by the retailer</t>
        </is>
      </c>
      <c r="N308" s="6" t="n">
        <v>4.2</v>
      </c>
      <c r="O308" s="6" t="n">
        <v>0</v>
      </c>
      <c r="P308" s="6" t="inlineStr">
        <is>
          <t>yes</t>
        </is>
      </c>
      <c r="Q308" s="6" t="inlineStr">
        <is>
          <t>whole</t>
        </is>
      </c>
      <c r="R308" s="6" t="inlineStr">
        <is>
          <t>FG2</t>
        </is>
      </c>
      <c r="S308" s="6" t="inlineStr">
        <is>
          <t>dairy alternatives</t>
        </is>
      </c>
      <c r="T308" s="6" t="inlineStr">
        <is>
          <t>plant</t>
        </is>
      </c>
      <c r="U308" s="6" t="n"/>
      <c r="V308" s="6" t="n"/>
      <c r="W308" s="6" t="n">
        <v>1</v>
      </c>
      <c r="X308" s="6" t="n">
        <v>0.5</v>
      </c>
      <c r="Y308" s="6" t="inlineStr">
        <is>
          <t>declared</t>
        </is>
      </c>
      <c r="Z308" s="8" t="n">
        <v>8467</v>
      </c>
      <c r="AA308" s="9">
        <f>IF(H308="yes",Z308*X308,0)</f>
        <v/>
      </c>
      <c r="AB308" s="9">
        <f>IF(H308="yes",AA308*N(L308)/100,0)</f>
        <v/>
      </c>
      <c r="AC308" s="9">
        <f>IF(H308="yes",AA308*N(N308)/100,0)</f>
        <v/>
      </c>
      <c r="AD308" s="9">
        <f>IF(H308="yes",AA308*N(O308)/100,0)</f>
        <v/>
      </c>
      <c r="AE308" s="10">
        <f>IF(P308="yes",AA308/1000,0)</f>
        <v/>
      </c>
      <c r="AF308" s="10">
        <f>IF(R308="FG2",AE308*W308,AE308)</f>
        <v/>
      </c>
    </row>
    <row r="309">
      <c r="A309" s="6" t="inlineStr">
        <is>
          <t>HM00307</t>
        </is>
      </c>
      <c r="B309" s="7" t="inlineStr">
        <is>
          <t>8712345081546</t>
        </is>
      </c>
      <c r="C309" s="6" t="inlineStr">
        <is>
          <t>HM TUNA CHUNKS BRINE 160G</t>
        </is>
      </c>
      <c r="D309" s="6" t="inlineStr">
        <is>
          <t>Tuna chunks in brine, 160g</t>
        </is>
      </c>
      <c r="E309" s="6" t="inlineStr">
        <is>
          <t>Harbour Market</t>
        </is>
      </c>
      <c r="F309" s="6" t="inlineStr">
        <is>
          <t>Fish &amp; Seafood</t>
        </is>
      </c>
      <c r="G309" s="6" t="inlineStr">
        <is>
          <t>Canned Fish</t>
        </is>
      </c>
      <c r="H309" s="6" t="inlineStr">
        <is>
          <t>yes</t>
        </is>
      </c>
      <c r="I309" s="6" t="inlineStr">
        <is>
          <t>Animal core</t>
        </is>
      </c>
      <c r="J309" s="6" t="inlineStr">
        <is>
          <t>A</t>
        </is>
      </c>
      <c r="K309" s="6" t="inlineStr">
        <is>
          <t>All ingredients on one side</t>
        </is>
      </c>
      <c r="L309" s="6" t="n">
        <v>24.3</v>
      </c>
      <c r="M309" s="6" t="inlineStr">
        <is>
          <t>Name match (CIQUAL / NEVO)</t>
        </is>
      </c>
      <c r="N309" s="6" t="n">
        <v>0</v>
      </c>
      <c r="O309" s="6" t="n">
        <v>24.3</v>
      </c>
      <c r="P309" s="6" t="inlineStr">
        <is>
          <t>yes</t>
        </is>
      </c>
      <c r="Q309" s="6" t="inlineStr">
        <is>
          <t>whole</t>
        </is>
      </c>
      <c r="R309" s="6" t="inlineStr">
        <is>
          <t>FG1</t>
        </is>
      </c>
      <c r="S309" s="6" t="inlineStr">
        <is>
          <t>fish shellfish</t>
        </is>
      </c>
      <c r="T309" s="6" t="inlineStr">
        <is>
          <t>animal</t>
        </is>
      </c>
      <c r="U309" s="6" t="n"/>
      <c r="V309" s="6" t="n"/>
      <c r="W309" s="6" t="n">
        <v>1</v>
      </c>
      <c r="X309" s="6" t="n">
        <v>0.16</v>
      </c>
      <c r="Y309" s="6" t="inlineStr">
        <is>
          <t>declared</t>
        </is>
      </c>
      <c r="Z309" s="8" t="n">
        <v>34508</v>
      </c>
      <c r="AA309" s="9">
        <f>IF(H309="yes",Z309*X309,0)</f>
        <v/>
      </c>
      <c r="AB309" s="9">
        <f>IF(H309="yes",AA309*N(L309)/100,0)</f>
        <v/>
      </c>
      <c r="AC309" s="9">
        <f>IF(H309="yes",AA309*N(N309)/100,0)</f>
        <v/>
      </c>
      <c r="AD309" s="9">
        <f>IF(H309="yes",AA309*N(O309)/100,0)</f>
        <v/>
      </c>
      <c r="AE309" s="10">
        <f>IF(P309="yes",AA309/1000,0)</f>
        <v/>
      </c>
      <c r="AF309" s="10">
        <f>IF(R309="FG2",AE309*W309,AE309)</f>
        <v/>
      </c>
    </row>
    <row r="310">
      <c r="A310" s="6" t="inlineStr">
        <is>
          <t>HM00308</t>
        </is>
      </c>
      <c r="B310" s="7" t="inlineStr">
        <is>
          <t>4012345180213</t>
        </is>
      </c>
      <c r="C310" s="6" t="inlineStr">
        <is>
          <t>BRAMBLECOTE WHITE PITTA 800G</t>
        </is>
      </c>
      <c r="D310" s="6" t="inlineStr">
        <is>
          <t>White pitta bread, 800g</t>
        </is>
      </c>
      <c r="E310" s="6" t="inlineStr">
        <is>
          <t>Bramblecote</t>
        </is>
      </c>
      <c r="F310" s="6" t="inlineStr">
        <is>
          <t>Bakery</t>
        </is>
      </c>
      <c r="G310" s="6" t="inlineStr">
        <is>
          <t>Bread</t>
        </is>
      </c>
      <c r="H310" s="6" t="inlineStr">
        <is>
          <t>yes</t>
        </is>
      </c>
      <c r="I310" s="6" t="inlineStr">
        <is>
          <t>Plant-based non-core</t>
        </is>
      </c>
      <c r="J310" s="6" t="inlineStr">
        <is>
          <t>A</t>
        </is>
      </c>
      <c r="K310" s="6" t="inlineStr">
        <is>
          <t>All ingredients on one side</t>
        </is>
      </c>
      <c r="L310" s="6" t="n">
        <v>8.199999999999999</v>
      </c>
      <c r="M310" s="6" t="inlineStr">
        <is>
          <t>Declared by the retailer</t>
        </is>
      </c>
      <c r="N310" s="6" t="n">
        <v>8.199999999999999</v>
      </c>
      <c r="O310" s="6" t="n">
        <v>0</v>
      </c>
      <c r="P310" s="6" t="inlineStr">
        <is>
          <t>yes</t>
        </is>
      </c>
      <c r="Q310" s="6" t="inlineStr">
        <is>
          <t>whole</t>
        </is>
      </c>
      <c r="R310" s="6" t="inlineStr">
        <is>
          <t>FG5</t>
        </is>
      </c>
      <c r="S310" s="6" t="inlineStr">
        <is>
          <t>refined grain</t>
        </is>
      </c>
      <c r="T310" s="6" t="inlineStr">
        <is>
          <t>plant</t>
        </is>
      </c>
      <c r="U310" s="6" t="n"/>
      <c r="V310" s="6" t="n"/>
      <c r="W310" s="6" t="n">
        <v>1</v>
      </c>
      <c r="X310" s="6" t="n">
        <v>0.8</v>
      </c>
      <c r="Y310" s="6" t="inlineStr">
        <is>
          <t>declared</t>
        </is>
      </c>
      <c r="Z310" s="8" t="n">
        <v>25726</v>
      </c>
      <c r="AA310" s="9">
        <f>IF(H310="yes",Z310*X310,0)</f>
        <v/>
      </c>
      <c r="AB310" s="9">
        <f>IF(H310="yes",AA310*N(L310)/100,0)</f>
        <v/>
      </c>
      <c r="AC310" s="9">
        <f>IF(H310="yes",AA310*N(N310)/100,0)</f>
        <v/>
      </c>
      <c r="AD310" s="9">
        <f>IF(H310="yes",AA310*N(O310)/100,0)</f>
        <v/>
      </c>
      <c r="AE310" s="10">
        <f>IF(P310="yes",AA310/1000,0)</f>
        <v/>
      </c>
      <c r="AF310" s="10">
        <f>IF(R310="FG2",AE310*W310,AE310)</f>
        <v/>
      </c>
    </row>
    <row r="311">
      <c r="A311" s="6" t="inlineStr">
        <is>
          <t>HM00309</t>
        </is>
      </c>
      <c r="B311" s="7" t="inlineStr">
        <is>
          <t>8712345301415</t>
        </is>
      </c>
      <c r="C311" s="6" t="inlineStr">
        <is>
          <t>PENROCK PUMPKIN SEEDS 300G</t>
        </is>
      </c>
      <c r="D311" s="6" t="inlineStr">
        <is>
          <t>Pumpkin seeds, 300g</t>
        </is>
      </c>
      <c r="E311" s="6" t="inlineStr">
        <is>
          <t>Penrock</t>
        </is>
      </c>
      <c r="F311" s="6" t="inlineStr">
        <is>
          <t>Grocery</t>
        </is>
      </c>
      <c r="G311" s="6" t="inlineStr">
        <is>
          <t>Nuts &amp; Seeds</t>
        </is>
      </c>
      <c r="H311" s="6" t="inlineStr">
        <is>
          <t>yes</t>
        </is>
      </c>
      <c r="I311" s="6" t="inlineStr">
        <is>
          <t>Plant-based core</t>
        </is>
      </c>
      <c r="J311" s="6" t="inlineStr">
        <is>
          <t>B</t>
        </is>
      </c>
      <c r="K311" s="6" t="inlineStr">
        <is>
          <t>Follows the class</t>
        </is>
      </c>
      <c r="L311" s="6" t="n">
        <v>29.6</v>
      </c>
      <c r="M311" s="6" t="inlineStr">
        <is>
          <t>Open Food Facts, by EAN</t>
        </is>
      </c>
      <c r="N311" s="6" t="n">
        <v>29.6</v>
      </c>
      <c r="O311" s="6" t="n">
        <v>0</v>
      </c>
      <c r="P311" s="6" t="inlineStr">
        <is>
          <t>yes</t>
        </is>
      </c>
      <c r="Q311" s="6" t="inlineStr">
        <is>
          <t>whole</t>
        </is>
      </c>
      <c r="R311" s="6" t="inlineStr">
        <is>
          <t>FG1</t>
        </is>
      </c>
      <c r="S311" s="6" t="inlineStr">
        <is>
          <t>seeds</t>
        </is>
      </c>
      <c r="T311" s="6" t="inlineStr">
        <is>
          <t>plant</t>
        </is>
      </c>
      <c r="U311" s="6" t="n"/>
      <c r="V311" s="6" t="n"/>
      <c r="W311" s="6" t="n">
        <v>1</v>
      </c>
      <c r="X311" s="6" t="n">
        <v>0.3</v>
      </c>
      <c r="Y311" s="6" t="inlineStr">
        <is>
          <t>declared</t>
        </is>
      </c>
      <c r="Z311" s="8" t="n">
        <v>3803</v>
      </c>
      <c r="AA311" s="9">
        <f>IF(H311="yes",Z311*X311,0)</f>
        <v/>
      </c>
      <c r="AB311" s="9">
        <f>IF(H311="yes",AA311*N(L311)/100,0)</f>
        <v/>
      </c>
      <c r="AC311" s="9">
        <f>IF(H311="yes",AA311*N(N311)/100,0)</f>
        <v/>
      </c>
      <c r="AD311" s="9">
        <f>IF(H311="yes",AA311*N(O311)/100,0)</f>
        <v/>
      </c>
      <c r="AE311" s="10">
        <f>IF(P311="yes",AA311/1000,0)</f>
        <v/>
      </c>
      <c r="AF311" s="10">
        <f>IF(R311="FG2",AE311*W311,AE311)</f>
        <v/>
      </c>
    </row>
    <row r="312">
      <c r="A312" s="6" t="inlineStr">
        <is>
          <t>HM00310</t>
        </is>
      </c>
      <c r="B312" s="7" t="inlineStr">
        <is>
          <t>3012345752060</t>
        </is>
      </c>
      <c r="C312" s="6" t="inlineStr">
        <is>
          <t>HM BLACK BEANS 400G</t>
        </is>
      </c>
      <c r="D312" s="6" t="inlineStr">
        <is>
          <t>Black beans in water, 400g</t>
        </is>
      </c>
      <c r="E312" s="6" t="inlineStr">
        <is>
          <t>Harbour Market</t>
        </is>
      </c>
      <c r="F312" s="6" t="inlineStr">
        <is>
          <t>Grocery</t>
        </is>
      </c>
      <c r="G312" s="6" t="inlineStr">
        <is>
          <t>Pulses</t>
        </is>
      </c>
      <c r="H312" s="6" t="inlineStr">
        <is>
          <t>yes</t>
        </is>
      </c>
      <c r="I312" s="6" t="inlineStr">
        <is>
          <t>Plant-based core</t>
        </is>
      </c>
      <c r="J312" s="6" t="inlineStr">
        <is>
          <t>A</t>
        </is>
      </c>
      <c r="K312" s="6" t="inlineStr">
        <is>
          <t>All ingredients on one side</t>
        </is>
      </c>
      <c r="L312" s="6" t="n">
        <v>7</v>
      </c>
      <c r="M312" s="6" t="inlineStr">
        <is>
          <t>Declared by the retailer</t>
        </is>
      </c>
      <c r="N312" s="6" t="n">
        <v>7</v>
      </c>
      <c r="O312" s="6" t="n">
        <v>0</v>
      </c>
      <c r="P312" s="6" t="inlineStr">
        <is>
          <t>yes</t>
        </is>
      </c>
      <c r="Q312" s="6" t="inlineStr">
        <is>
          <t>whole</t>
        </is>
      </c>
      <c r="R312" s="6" t="inlineStr">
        <is>
          <t>FG1</t>
        </is>
      </c>
      <c r="S312" s="6" t="inlineStr">
        <is>
          <t>pulses</t>
        </is>
      </c>
      <c r="T312" s="6" t="inlineStr">
        <is>
          <t>plant</t>
        </is>
      </c>
      <c r="U312" s="6" t="n"/>
      <c r="V312" s="6" t="n"/>
      <c r="W312" s="6" t="n">
        <v>1</v>
      </c>
      <c r="X312" s="6" t="n">
        <v>0.4</v>
      </c>
      <c r="Y312" s="6" t="inlineStr">
        <is>
          <t>declared</t>
        </is>
      </c>
      <c r="Z312" s="8" t="n">
        <v>17532</v>
      </c>
      <c r="AA312" s="9">
        <f>IF(H312="yes",Z312*X312,0)</f>
        <v/>
      </c>
      <c r="AB312" s="9">
        <f>IF(H312="yes",AA312*N(L312)/100,0)</f>
        <v/>
      </c>
      <c r="AC312" s="9">
        <f>IF(H312="yes",AA312*N(N312)/100,0)</f>
        <v/>
      </c>
      <c r="AD312" s="9">
        <f>IF(H312="yes",AA312*N(O312)/100,0)</f>
        <v/>
      </c>
      <c r="AE312" s="10">
        <f>IF(P312="yes",AA312/1000,0)</f>
        <v/>
      </c>
      <c r="AF312" s="10">
        <f>IF(R312="FG2",AE312*W312,AE312)</f>
        <v/>
      </c>
    </row>
    <row r="313">
      <c r="A313" s="6" t="inlineStr">
        <is>
          <t>HM00311</t>
        </is>
      </c>
      <c r="B313" s="7" t="inlineStr">
        <is>
          <t>3012345738910</t>
        </is>
      </c>
      <c r="C313" s="6" t="inlineStr">
        <is>
          <t>HM STRAWBERRIES 500G</t>
        </is>
      </c>
      <c r="D313" s="6" t="inlineStr">
        <is>
          <t>Strawberries, 500g</t>
        </is>
      </c>
      <c r="E313" s="6" t="inlineStr">
        <is>
          <t>Harbour Market</t>
        </is>
      </c>
      <c r="F313" s="6" t="inlineStr">
        <is>
          <t>Fruit &amp; Vegetables</t>
        </is>
      </c>
      <c r="G313" s="6" t="inlineStr">
        <is>
          <t>Fruit</t>
        </is>
      </c>
      <c r="H313" s="6" t="inlineStr">
        <is>
          <t>yes</t>
        </is>
      </c>
      <c r="I313" s="6" t="inlineStr">
        <is>
          <t>Plant-based non-core</t>
        </is>
      </c>
      <c r="J313" s="6" t="inlineStr">
        <is>
          <t>B</t>
        </is>
      </c>
      <c r="K313" s="6" t="inlineStr">
        <is>
          <t>Follows the class</t>
        </is>
      </c>
      <c r="L313" s="6" t="n">
        <v>0.71</v>
      </c>
      <c r="M313" s="6" t="inlineStr">
        <is>
          <t>Declared by the retailer</t>
        </is>
      </c>
      <c r="N313" s="6" t="n">
        <v>0.71</v>
      </c>
      <c r="O313" s="6" t="n">
        <v>0</v>
      </c>
      <c r="P313" s="6" t="inlineStr">
        <is>
          <t>yes</t>
        </is>
      </c>
      <c r="Q313" s="6" t="inlineStr">
        <is>
          <t>whole</t>
        </is>
      </c>
      <c r="R313" s="6" t="inlineStr">
        <is>
          <t>FG4</t>
        </is>
      </c>
      <c r="S313" s="6" t="n"/>
      <c r="T313" s="6" t="inlineStr">
        <is>
          <t>plant</t>
        </is>
      </c>
      <c r="U313" s="6" t="n"/>
      <c r="V313" s="6" t="n"/>
      <c r="W313" s="6" t="n">
        <v>1</v>
      </c>
      <c r="X313" s="6" t="n">
        <v>0.5</v>
      </c>
      <c r="Y313" s="6" t="inlineStr">
        <is>
          <t>declared</t>
        </is>
      </c>
      <c r="Z313" s="8" t="n">
        <v>18703</v>
      </c>
      <c r="AA313" s="9">
        <f>IF(H313="yes",Z313*X313,0)</f>
        <v/>
      </c>
      <c r="AB313" s="9">
        <f>IF(H313="yes",AA313*N(L313)/100,0)</f>
        <v/>
      </c>
      <c r="AC313" s="9">
        <f>IF(H313="yes",AA313*N(N313)/100,0)</f>
        <v/>
      </c>
      <c r="AD313" s="9">
        <f>IF(H313="yes",AA313*N(O313)/100,0)</f>
        <v/>
      </c>
      <c r="AE313" s="10">
        <f>IF(P313="yes",AA313/1000,0)</f>
        <v/>
      </c>
      <c r="AF313" s="10">
        <f>IF(R313="FG2",AE313*W313,AE313)</f>
        <v/>
      </c>
    </row>
    <row r="314">
      <c r="A314" s="6" t="inlineStr">
        <is>
          <t>HM00312</t>
        </is>
      </c>
      <c r="B314" s="7" t="inlineStr">
        <is>
          <t>0012345248825</t>
        </is>
      </c>
      <c r="C314" s="6" t="inlineStr">
        <is>
          <t>BF MINCE 5% 500G TARROW</t>
        </is>
      </c>
      <c r="D314" s="6" t="inlineStr">
        <is>
          <t>Beef mince, 5% fat, 500g</t>
        </is>
      </c>
      <c r="E314" s="6" t="inlineStr">
        <is>
          <t>Tarrow Farm</t>
        </is>
      </c>
      <c r="F314" s="6" t="inlineStr">
        <is>
          <t>Fresh Meat &amp; Poultry</t>
        </is>
      </c>
      <c r="G314" s="6" t="inlineStr">
        <is>
          <t>Beef</t>
        </is>
      </c>
      <c r="H314" s="6" t="inlineStr">
        <is>
          <t>yes</t>
        </is>
      </c>
      <c r="I314" s="6" t="inlineStr">
        <is>
          <t>Animal core</t>
        </is>
      </c>
      <c r="J314" s="6" t="inlineStr">
        <is>
          <t>B</t>
        </is>
      </c>
      <c r="K314" s="6" t="inlineStr">
        <is>
          <t>Follows the class</t>
        </is>
      </c>
      <c r="L314" s="6" t="n">
        <v>19.8</v>
      </c>
      <c r="M314" s="6" t="inlineStr">
        <is>
          <t>Name match (CIQUAL / NEVO)</t>
        </is>
      </c>
      <c r="N314" s="6" t="n">
        <v>0</v>
      </c>
      <c r="O314" s="6" t="n">
        <v>19.8</v>
      </c>
      <c r="P314" s="6" t="inlineStr">
        <is>
          <t>yes</t>
        </is>
      </c>
      <c r="Q314" s="6" t="inlineStr">
        <is>
          <t>whole</t>
        </is>
      </c>
      <c r="R314" s="6" t="inlineStr">
        <is>
          <t>FG1</t>
        </is>
      </c>
      <c r="S314" s="6" t="inlineStr">
        <is>
          <t>red meat</t>
        </is>
      </c>
      <c r="T314" s="6" t="inlineStr">
        <is>
          <t>animal</t>
        </is>
      </c>
      <c r="U314" s="6" t="n"/>
      <c r="V314" s="6" t="n"/>
      <c r="W314" s="6" t="n">
        <v>1</v>
      </c>
      <c r="X314" s="6" t="n">
        <v>0.5</v>
      </c>
      <c r="Y314" s="6" t="inlineStr">
        <is>
          <t>declared</t>
        </is>
      </c>
      <c r="Z314" s="8" t="n">
        <v>32201</v>
      </c>
      <c r="AA314" s="9">
        <f>IF(H314="yes",Z314*X314,0)</f>
        <v/>
      </c>
      <c r="AB314" s="9">
        <f>IF(H314="yes",AA314*N(L314)/100,0)</f>
        <v/>
      </c>
      <c r="AC314" s="9">
        <f>IF(H314="yes",AA314*N(N314)/100,0)</f>
        <v/>
      </c>
      <c r="AD314" s="9">
        <f>IF(H314="yes",AA314*N(O314)/100,0)</f>
        <v/>
      </c>
      <c r="AE314" s="10">
        <f>IF(P314="yes",AA314/1000,0)</f>
        <v/>
      </c>
      <c r="AF314" s="10">
        <f>IF(R314="FG2",AE314*W314,AE314)</f>
        <v/>
      </c>
    </row>
    <row r="315">
      <c r="A315" s="6" t="inlineStr">
        <is>
          <t>HM00313</t>
        </is>
      </c>
      <c r="B315" s="7" t="inlineStr">
        <is>
          <t>4012345281668</t>
        </is>
      </c>
      <c r="C315" s="6" t="inlineStr">
        <is>
          <t>HM LEAF SPINACH 750G</t>
        </is>
      </c>
      <c r="D315" s="6" t="inlineStr">
        <is>
          <t>Leaf spinach, 750g</t>
        </is>
      </c>
      <c r="E315" s="6" t="inlineStr">
        <is>
          <t>Harbour Market</t>
        </is>
      </c>
      <c r="F315" s="6" t="inlineStr">
        <is>
          <t>Frozen</t>
        </is>
      </c>
      <c r="G315" s="6" t="inlineStr">
        <is>
          <t>Frozen Vegetables</t>
        </is>
      </c>
      <c r="H315" s="6" t="inlineStr">
        <is>
          <t>yes</t>
        </is>
      </c>
      <c r="I315" s="6" t="inlineStr">
        <is>
          <t>Plant-based non-core</t>
        </is>
      </c>
      <c r="J315" s="6" t="inlineStr">
        <is>
          <t>A</t>
        </is>
      </c>
      <c r="K315" s="6" t="inlineStr">
        <is>
          <t>All ingredients on one side</t>
        </is>
      </c>
      <c r="L315" s="6" t="n">
        <v>2.9</v>
      </c>
      <c r="M315" s="6" t="inlineStr">
        <is>
          <t>Declared by the retailer</t>
        </is>
      </c>
      <c r="N315" s="6" t="n">
        <v>2.9</v>
      </c>
      <c r="O315" s="6" t="n">
        <v>0</v>
      </c>
      <c r="P315" s="6" t="inlineStr">
        <is>
          <t>yes</t>
        </is>
      </c>
      <c r="Q315" s="6" t="inlineStr">
        <is>
          <t>whole</t>
        </is>
      </c>
      <c r="R315" s="6" t="inlineStr">
        <is>
          <t>FG4</t>
        </is>
      </c>
      <c r="S315" s="6" t="n"/>
      <c r="T315" s="6" t="inlineStr">
        <is>
          <t>plant</t>
        </is>
      </c>
      <c r="U315" s="6" t="n"/>
      <c r="V315" s="6" t="n"/>
      <c r="W315" s="6" t="n">
        <v>1</v>
      </c>
      <c r="X315" s="6" t="n">
        <v>0.75</v>
      </c>
      <c r="Y315" s="6" t="inlineStr">
        <is>
          <t>declared</t>
        </is>
      </c>
      <c r="Z315" s="8" t="n">
        <v>2163</v>
      </c>
      <c r="AA315" s="9">
        <f>IF(H315="yes",Z315*X315,0)</f>
        <v/>
      </c>
      <c r="AB315" s="9">
        <f>IF(H315="yes",AA315*N(L315)/100,0)</f>
        <v/>
      </c>
      <c r="AC315" s="9">
        <f>IF(H315="yes",AA315*N(N315)/100,0)</f>
        <v/>
      </c>
      <c r="AD315" s="9">
        <f>IF(H315="yes",AA315*N(O315)/100,0)</f>
        <v/>
      </c>
      <c r="AE315" s="10">
        <f>IF(P315="yes",AA315/1000,0)</f>
        <v/>
      </c>
      <c r="AF315" s="10">
        <f>IF(R315="FG2",AE315*W315,AE315)</f>
        <v/>
      </c>
    </row>
    <row r="316">
      <c r="A316" s="6" t="inlineStr">
        <is>
          <t>HM00314</t>
        </is>
      </c>
      <c r="B316" s="7" t="inlineStr">
        <is>
          <t>3012345351287</t>
        </is>
      </c>
      <c r="C316" s="6" t="inlineStr">
        <is>
          <t>HM PORK SHLDR JOINT 500G</t>
        </is>
      </c>
      <c r="D316" s="6" t="inlineStr">
        <is>
          <t>Pork shoulder joint, 500g</t>
        </is>
      </c>
      <c r="E316" s="6" t="inlineStr">
        <is>
          <t>Harbour Market</t>
        </is>
      </c>
      <c r="F316" s="6" t="inlineStr">
        <is>
          <t>Fresh Meat &amp; Poultry</t>
        </is>
      </c>
      <c r="G316" s="6" t="inlineStr">
        <is>
          <t>Pork</t>
        </is>
      </c>
      <c r="H316" s="6" t="inlineStr">
        <is>
          <t>yes</t>
        </is>
      </c>
      <c r="I316" s="6" t="inlineStr">
        <is>
          <t>Animal core</t>
        </is>
      </c>
      <c r="J316" s="6" t="inlineStr">
        <is>
          <t>B</t>
        </is>
      </c>
      <c r="K316" s="6" t="inlineStr">
        <is>
          <t>Follows the class</t>
        </is>
      </c>
      <c r="L316" s="6" t="n">
        <v>20.5</v>
      </c>
      <c r="M316" s="6" t="inlineStr">
        <is>
          <t>Open Food Facts, by EAN</t>
        </is>
      </c>
      <c r="N316" s="6" t="n">
        <v>0</v>
      </c>
      <c r="O316" s="6" t="n">
        <v>20.5</v>
      </c>
      <c r="P316" s="6" t="inlineStr">
        <is>
          <t>yes</t>
        </is>
      </c>
      <c r="Q316" s="6" t="inlineStr">
        <is>
          <t>whole</t>
        </is>
      </c>
      <c r="R316" s="6" t="inlineStr">
        <is>
          <t>FG1</t>
        </is>
      </c>
      <c r="S316" s="6" t="inlineStr">
        <is>
          <t>red meat</t>
        </is>
      </c>
      <c r="T316" s="6" t="inlineStr">
        <is>
          <t>animal</t>
        </is>
      </c>
      <c r="U316" s="6" t="n"/>
      <c r="V316" s="6" t="n"/>
      <c r="W316" s="6" t="n">
        <v>1</v>
      </c>
      <c r="X316" s="6" t="n">
        <v>0.5</v>
      </c>
      <c r="Y316" s="6" t="inlineStr">
        <is>
          <t>declared</t>
        </is>
      </c>
      <c r="Z316" s="8" t="n">
        <v>64790</v>
      </c>
      <c r="AA316" s="9">
        <f>IF(H316="yes",Z316*X316,0)</f>
        <v/>
      </c>
      <c r="AB316" s="9">
        <f>IF(H316="yes",AA316*N(L316)/100,0)</f>
        <v/>
      </c>
      <c r="AC316" s="9">
        <f>IF(H316="yes",AA316*N(N316)/100,0)</f>
        <v/>
      </c>
      <c r="AD316" s="9">
        <f>IF(H316="yes",AA316*N(O316)/100,0)</f>
        <v/>
      </c>
      <c r="AE316" s="10">
        <f>IF(P316="yes",AA316/1000,0)</f>
        <v/>
      </c>
      <c r="AF316" s="10">
        <f>IF(R316="FG2",AE316*W316,AE316)</f>
        <v/>
      </c>
    </row>
    <row r="317">
      <c r="A317" s="6" t="inlineStr">
        <is>
          <t>HM00315</t>
        </is>
      </c>
      <c r="B317" s="7" t="inlineStr">
        <is>
          <t>4012345154504</t>
        </is>
      </c>
      <c r="C317" s="6" t="inlineStr">
        <is>
          <t>HM CRUNCHY PEANUT BTR 1KG</t>
        </is>
      </c>
      <c r="D317" s="6" t="inlineStr">
        <is>
          <t>Crunchy peanut butter, 1kg</t>
        </is>
      </c>
      <c r="E317" s="6" t="inlineStr">
        <is>
          <t>Harbour Market</t>
        </is>
      </c>
      <c r="F317" s="6" t="inlineStr">
        <is>
          <t>Grocery</t>
        </is>
      </c>
      <c r="G317" s="6" t="inlineStr">
        <is>
          <t>Spreads</t>
        </is>
      </c>
      <c r="H317" s="6" t="inlineStr">
        <is>
          <t>yes</t>
        </is>
      </c>
      <c r="I317" s="6" t="inlineStr">
        <is>
          <t>Plant-based core</t>
        </is>
      </c>
      <c r="J317" s="6" t="inlineStr">
        <is>
          <t>A</t>
        </is>
      </c>
      <c r="K317" s="6" t="inlineStr">
        <is>
          <t>All ingredients on one side</t>
        </is>
      </c>
      <c r="L317" s="6" t="n">
        <v>24.4</v>
      </c>
      <c r="M317" s="6" t="inlineStr">
        <is>
          <t>Declared by the retailer</t>
        </is>
      </c>
      <c r="N317" s="6" t="n">
        <v>24.4</v>
      </c>
      <c r="O317" s="6" t="n">
        <v>0</v>
      </c>
      <c r="P317" s="6" t="inlineStr">
        <is>
          <t>yes</t>
        </is>
      </c>
      <c r="Q317" s="6" t="inlineStr">
        <is>
          <t>whole</t>
        </is>
      </c>
      <c r="R317" s="6" t="inlineStr">
        <is>
          <t>FG1</t>
        </is>
      </c>
      <c r="S317" s="6" t="inlineStr">
        <is>
          <t>nuts</t>
        </is>
      </c>
      <c r="T317" s="6" t="inlineStr">
        <is>
          <t>plant</t>
        </is>
      </c>
      <c r="U317" s="6" t="n"/>
      <c r="V317" s="6" t="n"/>
      <c r="W317" s="6" t="n">
        <v>1</v>
      </c>
      <c r="X317" s="6" t="n">
        <v>1</v>
      </c>
      <c r="Y317" s="6" t="inlineStr">
        <is>
          <t>declared</t>
        </is>
      </c>
      <c r="Z317" s="8" t="n">
        <v>35453</v>
      </c>
      <c r="AA317" s="9">
        <f>IF(H317="yes",Z317*X317,0)</f>
        <v/>
      </c>
      <c r="AB317" s="9">
        <f>IF(H317="yes",AA317*N(L317)/100,0)</f>
        <v/>
      </c>
      <c r="AC317" s="9">
        <f>IF(H317="yes",AA317*N(N317)/100,0)</f>
        <v/>
      </c>
      <c r="AD317" s="9">
        <f>IF(H317="yes",AA317*N(O317)/100,0)</f>
        <v/>
      </c>
      <c r="AE317" s="10">
        <f>IF(P317="yes",AA317/1000,0)</f>
        <v/>
      </c>
      <c r="AF317" s="10">
        <f>IF(R317="FG2",AE317*W317,AE317)</f>
        <v/>
      </c>
    </row>
    <row r="318">
      <c r="A318" s="6" t="inlineStr">
        <is>
          <t>HM00316</t>
        </is>
      </c>
      <c r="B318" s="7" t="inlineStr">
        <is>
          <t>8712345499532</t>
        </is>
      </c>
      <c r="C318" s="6" t="inlineStr">
        <is>
          <t>HM BIN BAGS 50L EACH</t>
        </is>
      </c>
      <c r="D318" s="6" t="inlineStr">
        <is>
          <t>Bin bags, 50 L</t>
        </is>
      </c>
      <c r="E318" s="6" t="inlineStr">
        <is>
          <t>Harbour Market</t>
        </is>
      </c>
      <c r="F318" s="6" t="inlineStr">
        <is>
          <t>Household</t>
        </is>
      </c>
      <c r="G318" s="6" t="inlineStr">
        <is>
          <t>Household</t>
        </is>
      </c>
      <c r="H318" s="6" t="inlineStr">
        <is>
          <t>no</t>
        </is>
      </c>
      <c r="I318" s="6" t="n"/>
      <c r="J318" s="6" t="n"/>
      <c r="K318" s="6" t="n"/>
      <c r="L318" s="6" t="n"/>
      <c r="M318" s="6" t="n"/>
      <c r="N318" s="6" t="n"/>
      <c r="O318" s="6" t="n"/>
      <c r="P318" s="6" t="inlineStr">
        <is>
          <t>no</t>
        </is>
      </c>
      <c r="Q318" s="6" t="n"/>
      <c r="R318" s="6" t="n"/>
      <c r="S318" s="6" t="n"/>
      <c r="T318" s="6" t="n"/>
      <c r="U318" s="6" t="n"/>
      <c r="V318" s="6" t="n"/>
      <c r="W318" s="6" t="n">
        <v>1</v>
      </c>
      <c r="X318" s="6" t="n">
        <v>0.2</v>
      </c>
      <c r="Y318" s="6" t="inlineStr">
        <is>
          <t>declared</t>
        </is>
      </c>
      <c r="Z318" s="8" t="n">
        <v>10971</v>
      </c>
      <c r="AA318" s="9">
        <f>IF(H318="yes",Z318*X318,0)</f>
        <v/>
      </c>
      <c r="AB318" s="9">
        <f>IF(H318="yes",AA318*N(L318)/100,0)</f>
        <v/>
      </c>
      <c r="AC318" s="9">
        <f>IF(H318="yes",AA318*N(N318)/100,0)</f>
        <v/>
      </c>
      <c r="AD318" s="9">
        <f>IF(H318="yes",AA318*N(O318)/100,0)</f>
        <v/>
      </c>
      <c r="AE318" s="10">
        <f>IF(P318="yes",AA318/1000,0)</f>
        <v/>
      </c>
      <c r="AF318" s="10">
        <f>IF(R318="FG2",AE318*W318,AE318)</f>
        <v/>
      </c>
    </row>
    <row r="319">
      <c r="A319" s="6" t="inlineStr">
        <is>
          <t>HM00317</t>
        </is>
      </c>
      <c r="B319" s="7" t="inlineStr">
        <is>
          <t>3012345173919</t>
        </is>
      </c>
      <c r="C319" s="6" t="inlineStr">
        <is>
          <t>CHKN WINGS 1.4KG TARROW</t>
        </is>
      </c>
      <c r="D319" s="6" t="inlineStr">
        <is>
          <t>Chicken wings, 1.4kg</t>
        </is>
      </c>
      <c r="E319" s="6" t="inlineStr">
        <is>
          <t>Tarrow Farm</t>
        </is>
      </c>
      <c r="F319" s="6" t="inlineStr">
        <is>
          <t>Fresh Meat &amp; Poultry</t>
        </is>
      </c>
      <c r="G319" s="6" t="inlineStr">
        <is>
          <t>Poultry</t>
        </is>
      </c>
      <c r="H319" s="6" t="inlineStr">
        <is>
          <t>yes</t>
        </is>
      </c>
      <c r="I319" s="6" t="inlineStr">
        <is>
          <t>Animal core</t>
        </is>
      </c>
      <c r="J319" s="6" t="inlineStr">
        <is>
          <t>A</t>
        </is>
      </c>
      <c r="K319" s="6" t="inlineStr">
        <is>
          <t>All ingredients on one side</t>
        </is>
      </c>
      <c r="L319" s="6" t="n">
        <v>18.2</v>
      </c>
      <c r="M319" s="6" t="inlineStr">
        <is>
          <t>Open Food Facts, by EAN</t>
        </is>
      </c>
      <c r="N319" s="6" t="n">
        <v>0</v>
      </c>
      <c r="O319" s="6" t="n">
        <v>18.2</v>
      </c>
      <c r="P319" s="6" t="inlineStr">
        <is>
          <t>yes</t>
        </is>
      </c>
      <c r="Q319" s="6" t="inlineStr">
        <is>
          <t>whole</t>
        </is>
      </c>
      <c r="R319" s="6" t="inlineStr">
        <is>
          <t>FG1</t>
        </is>
      </c>
      <c r="S319" s="6" t="inlineStr">
        <is>
          <t>poultry</t>
        </is>
      </c>
      <c r="T319" s="6" t="inlineStr">
        <is>
          <t>animal</t>
        </is>
      </c>
      <c r="U319" s="6" t="n"/>
      <c r="V319" s="6" t="n"/>
      <c r="W319" s="6" t="n">
        <v>1</v>
      </c>
      <c r="X319" s="6" t="n">
        <v>1.4</v>
      </c>
      <c r="Y319" s="6" t="inlineStr">
        <is>
          <t>declared</t>
        </is>
      </c>
      <c r="Z319" s="8" t="n">
        <v>18076</v>
      </c>
      <c r="AA319" s="9">
        <f>IF(H319="yes",Z319*X319,0)</f>
        <v/>
      </c>
      <c r="AB319" s="9">
        <f>IF(H319="yes",AA319*N(L319)/100,0)</f>
        <v/>
      </c>
      <c r="AC319" s="9">
        <f>IF(H319="yes",AA319*N(N319)/100,0)</f>
        <v/>
      </c>
      <c r="AD319" s="9">
        <f>IF(H319="yes",AA319*N(O319)/100,0)</f>
        <v/>
      </c>
      <c r="AE319" s="10">
        <f>IF(P319="yes",AA319/1000,0)</f>
        <v/>
      </c>
      <c r="AF319" s="10">
        <f>IF(R319="FG2",AE319*W319,AE319)</f>
        <v/>
      </c>
    </row>
    <row r="320">
      <c r="A320" s="6" t="inlineStr">
        <is>
          <t>HM00318</t>
        </is>
      </c>
      <c r="B320" s="7" t="inlineStr">
        <is>
          <t>4012345351552</t>
        </is>
      </c>
      <c r="C320" s="6" t="inlineStr">
        <is>
          <t>HM FUSILLI 3KG</t>
        </is>
      </c>
      <c r="D320" s="6" t="inlineStr">
        <is>
          <t>Fusilli, 3kg</t>
        </is>
      </c>
      <c r="E320" s="6" t="inlineStr">
        <is>
          <t>Harbour Market</t>
        </is>
      </c>
      <c r="F320" s="6" t="inlineStr">
        <is>
          <t>Grocery</t>
        </is>
      </c>
      <c r="G320" s="6" t="inlineStr">
        <is>
          <t>Pasta</t>
        </is>
      </c>
      <c r="H320" s="6" t="inlineStr">
        <is>
          <t>yes</t>
        </is>
      </c>
      <c r="I320" s="6" t="inlineStr">
        <is>
          <t>Plant-based non-core</t>
        </is>
      </c>
      <c r="J320" s="6" t="inlineStr">
        <is>
          <t>A</t>
        </is>
      </c>
      <c r="K320" s="6" t="inlineStr">
        <is>
          <t>All ingredients on one side</t>
        </is>
      </c>
      <c r="L320" s="6" t="n">
        <v>12.3</v>
      </c>
      <c r="M320" s="6" t="inlineStr">
        <is>
          <t>Declared by the retailer</t>
        </is>
      </c>
      <c r="N320" s="6" t="n">
        <v>12.3</v>
      </c>
      <c r="O320" s="6" t="n">
        <v>0</v>
      </c>
      <c r="P320" s="6" t="inlineStr">
        <is>
          <t>yes</t>
        </is>
      </c>
      <c r="Q320" s="6" t="inlineStr">
        <is>
          <t>whole</t>
        </is>
      </c>
      <c r="R320" s="6" t="inlineStr">
        <is>
          <t>FG5</t>
        </is>
      </c>
      <c r="S320" s="6" t="inlineStr">
        <is>
          <t>refined grain</t>
        </is>
      </c>
      <c r="T320" s="6" t="inlineStr">
        <is>
          <t>plant</t>
        </is>
      </c>
      <c r="U320" s="6" t="n"/>
      <c r="V320" s="6" t="n"/>
      <c r="W320" s="6" t="n">
        <v>1</v>
      </c>
      <c r="X320" s="6" t="n">
        <v>3</v>
      </c>
      <c r="Y320" s="6" t="inlineStr">
        <is>
          <t>declared</t>
        </is>
      </c>
      <c r="Z320" s="8" t="n">
        <v>12969</v>
      </c>
      <c r="AA320" s="9">
        <f>IF(H320="yes",Z320*X320,0)</f>
        <v/>
      </c>
      <c r="AB320" s="9">
        <f>IF(H320="yes",AA320*N(L320)/100,0)</f>
        <v/>
      </c>
      <c r="AC320" s="9">
        <f>IF(H320="yes",AA320*N(N320)/100,0)</f>
        <v/>
      </c>
      <c r="AD320" s="9">
        <f>IF(H320="yes",AA320*N(O320)/100,0)</f>
        <v/>
      </c>
      <c r="AE320" s="10">
        <f>IF(P320="yes",AA320/1000,0)</f>
        <v/>
      </c>
      <c r="AF320" s="10">
        <f>IF(R320="FG2",AE320*W320,AE320)</f>
        <v/>
      </c>
    </row>
    <row r="321">
      <c r="A321" s="6" t="inlineStr">
        <is>
          <t>HM00319</t>
        </is>
      </c>
      <c r="B321" s="7" t="inlineStr">
        <is>
          <t>4012345314168</t>
        </is>
      </c>
      <c r="C321" s="6" t="inlineStr">
        <is>
          <t>HM KIWI 500G</t>
        </is>
      </c>
      <c r="D321" s="6" t="inlineStr">
        <is>
          <t>Kiwi fruit, 500g</t>
        </is>
      </c>
      <c r="E321" s="6" t="inlineStr">
        <is>
          <t>Harbour Market</t>
        </is>
      </c>
      <c r="F321" s="6" t="inlineStr">
        <is>
          <t>Fruit &amp; Vegetables</t>
        </is>
      </c>
      <c r="G321" s="6" t="inlineStr">
        <is>
          <t>Fruit</t>
        </is>
      </c>
      <c r="H321" s="6" t="inlineStr">
        <is>
          <t>yes</t>
        </is>
      </c>
      <c r="I321" s="6" t="inlineStr">
        <is>
          <t>Plant-based non-core</t>
        </is>
      </c>
      <c r="J321" s="6" t="inlineStr">
        <is>
          <t>B</t>
        </is>
      </c>
      <c r="K321" s="6" t="inlineStr">
        <is>
          <t>Follows the class</t>
        </is>
      </c>
      <c r="L321" s="6" t="n">
        <v>1.1</v>
      </c>
      <c r="M321" s="6" t="inlineStr">
        <is>
          <t>Declared by the retailer</t>
        </is>
      </c>
      <c r="N321" s="6" t="n">
        <v>1.1</v>
      </c>
      <c r="O321" s="6" t="n">
        <v>0</v>
      </c>
      <c r="P321" s="6" t="inlineStr">
        <is>
          <t>yes</t>
        </is>
      </c>
      <c r="Q321" s="6" t="inlineStr">
        <is>
          <t>whole</t>
        </is>
      </c>
      <c r="R321" s="6" t="inlineStr">
        <is>
          <t>FG4</t>
        </is>
      </c>
      <c r="S321" s="6" t="n"/>
      <c r="T321" s="6" t="inlineStr">
        <is>
          <t>plant</t>
        </is>
      </c>
      <c r="U321" s="6" t="n"/>
      <c r="V321" s="6" t="n"/>
      <c r="W321" s="6" t="n">
        <v>1</v>
      </c>
      <c r="X321" s="6" t="n">
        <v>0.5</v>
      </c>
      <c r="Y321" s="6" t="inlineStr">
        <is>
          <t>declared</t>
        </is>
      </c>
      <c r="Z321" s="8" t="n">
        <v>61928</v>
      </c>
      <c r="AA321" s="9">
        <f>IF(H321="yes",Z321*X321,0)</f>
        <v/>
      </c>
      <c r="AB321" s="9">
        <f>IF(H321="yes",AA321*N(L321)/100,0)</f>
        <v/>
      </c>
      <c r="AC321" s="9">
        <f>IF(H321="yes",AA321*N(N321)/100,0)</f>
        <v/>
      </c>
      <c r="AD321" s="9">
        <f>IF(H321="yes",AA321*N(O321)/100,0)</f>
        <v/>
      </c>
      <c r="AE321" s="10">
        <f>IF(P321="yes",AA321/1000,0)</f>
        <v/>
      </c>
      <c r="AF321" s="10">
        <f>IF(R321="FG2",AE321*W321,AE321)</f>
        <v/>
      </c>
    </row>
    <row r="322">
      <c r="A322" s="6" t="inlineStr">
        <is>
          <t>HM00320</t>
        </is>
      </c>
      <c r="B322" s="7" t="inlineStr">
        <is>
          <t>4012345481389</t>
        </is>
      </c>
      <c r="C322" s="6" t="inlineStr">
        <is>
          <t>COLA 6X330ML NUVELLE</t>
        </is>
      </c>
      <c r="D322" s="6" t="inlineStr">
        <is>
          <t>Cola, 6x330ml</t>
        </is>
      </c>
      <c r="E322" s="6" t="inlineStr">
        <is>
          <t>Nuvelle</t>
        </is>
      </c>
      <c r="F322" s="6" t="inlineStr">
        <is>
          <t>Soft Drinks &amp; Water</t>
        </is>
      </c>
      <c r="G322" s="6" t="inlineStr">
        <is>
          <t>Soft Drinks</t>
        </is>
      </c>
      <c r="H322" s="6" t="inlineStr">
        <is>
          <t>yes</t>
        </is>
      </c>
      <c r="I322" s="6" t="inlineStr">
        <is>
          <t>Plant-based non-core</t>
        </is>
      </c>
      <c r="J322" s="6" t="inlineStr">
        <is>
          <t>A</t>
        </is>
      </c>
      <c r="K322" s="6" t="inlineStr">
        <is>
          <t>All ingredients on one side</t>
        </is>
      </c>
      <c r="L322" s="6" t="n">
        <v>0</v>
      </c>
      <c r="M322" s="6" t="inlineStr">
        <is>
          <t>Median of the family</t>
        </is>
      </c>
      <c r="N322" s="6" t="n">
        <v>0</v>
      </c>
      <c r="O322" s="6" t="n">
        <v>0</v>
      </c>
      <c r="P322" s="6" t="inlineStr">
        <is>
          <t>no</t>
        </is>
      </c>
      <c r="Q322" s="6" t="n"/>
      <c r="R322" s="6" t="n"/>
      <c r="S322" s="6" t="n"/>
      <c r="T322" s="6" t="n"/>
      <c r="U322" s="6" t="n"/>
      <c r="V322" s="6" t="inlineStr">
        <is>
          <t>beverage</t>
        </is>
      </c>
      <c r="W322" s="6" t="n">
        <v>1</v>
      </c>
      <c r="X322" s="6" t="n">
        <v>1.98</v>
      </c>
      <c r="Y322" s="6" t="inlineStr">
        <is>
          <t>declared</t>
        </is>
      </c>
      <c r="Z322" s="8" t="n">
        <v>19865</v>
      </c>
      <c r="AA322" s="9">
        <f>IF(H322="yes",Z322*X322,0)</f>
        <v/>
      </c>
      <c r="AB322" s="9">
        <f>IF(H322="yes",AA322*N(L322)/100,0)</f>
        <v/>
      </c>
      <c r="AC322" s="9">
        <f>IF(H322="yes",AA322*N(N322)/100,0)</f>
        <v/>
      </c>
      <c r="AD322" s="9">
        <f>IF(H322="yes",AA322*N(O322)/100,0)</f>
        <v/>
      </c>
      <c r="AE322" s="10">
        <f>IF(P322="yes",AA322/1000,0)</f>
        <v/>
      </c>
      <c r="AF322" s="10">
        <f>IF(R322="FG2",AE322*W322,AE322)</f>
        <v/>
      </c>
    </row>
    <row r="323">
      <c r="A323" s="6" t="inlineStr">
        <is>
          <t>HM00321</t>
        </is>
      </c>
      <c r="B323" s="7" t="inlineStr">
        <is>
          <t>8712345136222</t>
        </is>
      </c>
      <c r="C323" s="6" t="inlineStr">
        <is>
          <t>FJELDA YOG CEREAL MIX 150G</t>
        </is>
      </c>
      <c r="D323" s="6" t="inlineStr">
        <is>
          <t>Yoghurt with cereal topping, 150g</t>
        </is>
      </c>
      <c r="E323" s="6" t="inlineStr">
        <is>
          <t>Fjelda</t>
        </is>
      </c>
      <c r="F323" s="6" t="inlineStr">
        <is>
          <t>Dairy &amp; Eggs</t>
        </is>
      </c>
      <c r="G323" s="6" t="inlineStr">
        <is>
          <t>Yoghurt</t>
        </is>
      </c>
      <c r="H323" s="6" t="inlineStr">
        <is>
          <t>yes</t>
        </is>
      </c>
      <c r="I323" s="6" t="inlineStr">
        <is>
          <t>Animal &amp; plant composite</t>
        </is>
      </c>
      <c r="J323" s="6" t="inlineStr">
        <is>
          <t>A</t>
        </is>
      </c>
      <c r="K323" s="6" t="inlineStr">
        <is>
          <t>Ingredient list</t>
        </is>
      </c>
      <c r="L323" s="6" t="n">
        <v>4.3</v>
      </c>
      <c r="M323" s="6" t="inlineStr">
        <is>
          <t>Median of the family</t>
        </is>
      </c>
      <c r="N323" s="6" t="n">
        <v>0.47</v>
      </c>
      <c r="O323" s="6" t="n">
        <v>3.83</v>
      </c>
      <c r="P323" s="6" t="inlineStr">
        <is>
          <t>yes</t>
        </is>
      </c>
      <c r="Q323" s="6" t="inlineStr">
        <is>
          <t>composite</t>
        </is>
      </c>
      <c r="R323" s="6" t="n"/>
      <c r="S323" s="6" t="n"/>
      <c r="T323" s="6" t="n"/>
      <c r="U323" s="6" t="inlineStr">
        <is>
          <t>vegetarian</t>
        </is>
      </c>
      <c r="V323" s="6" t="n"/>
      <c r="W323" s="6" t="n">
        <v>1</v>
      </c>
      <c r="X323" s="6" t="n">
        <v>0.15</v>
      </c>
      <c r="Y323" s="6" t="inlineStr">
        <is>
          <t>declared</t>
        </is>
      </c>
      <c r="Z323" s="8" t="n">
        <v>51609</v>
      </c>
      <c r="AA323" s="9">
        <f>IF(H323="yes",Z323*X323,0)</f>
        <v/>
      </c>
      <c r="AB323" s="9">
        <f>IF(H323="yes",AA323*N(L323)/100,0)</f>
        <v/>
      </c>
      <c r="AC323" s="9">
        <f>IF(H323="yes",AA323*N(N323)/100,0)</f>
        <v/>
      </c>
      <c r="AD323" s="9">
        <f>IF(H323="yes",AA323*N(O323)/100,0)</f>
        <v/>
      </c>
      <c r="AE323" s="10">
        <f>IF(P323="yes",AA323/1000,0)</f>
        <v/>
      </c>
      <c r="AF323" s="10">
        <f>IF(R323="FG2",AE323*W323,AE323)</f>
        <v/>
      </c>
    </row>
    <row r="324">
      <c r="A324" s="6" t="inlineStr">
        <is>
          <t>HM00322</t>
        </is>
      </c>
      <c r="B324" s="7" t="inlineStr">
        <is>
          <t>3012345623988</t>
        </is>
      </c>
      <c r="C324" s="6" t="inlineStr">
        <is>
          <t>CASTELNA SMOKED PAPRIKA 50G</t>
        </is>
      </c>
      <c r="D324" s="6" t="inlineStr">
        <is>
          <t>Smoked paprika, 50g</t>
        </is>
      </c>
      <c r="E324" s="6" t="inlineStr">
        <is>
          <t>Castelna</t>
        </is>
      </c>
      <c r="F324" s="6" t="inlineStr">
        <is>
          <t>Grocery</t>
        </is>
      </c>
      <c r="G324" s="6" t="inlineStr">
        <is>
          <t>Herbs &amp; Spices</t>
        </is>
      </c>
      <c r="H324" s="6" t="inlineStr">
        <is>
          <t>yes</t>
        </is>
      </c>
      <c r="I324" s="6" t="inlineStr">
        <is>
          <t>Plant-based non-core</t>
        </is>
      </c>
      <c r="J324" s="6" t="inlineStr">
        <is>
          <t>B</t>
        </is>
      </c>
      <c r="K324" s="6" t="inlineStr">
        <is>
          <t>Follows the class</t>
        </is>
      </c>
      <c r="L324" s="6" t="n">
        <v>10.6</v>
      </c>
      <c r="M324" s="6" t="inlineStr">
        <is>
          <t>Declared by the retailer</t>
        </is>
      </c>
      <c r="N324" s="6" t="n">
        <v>10.6</v>
      </c>
      <c r="O324" s="6" t="n">
        <v>0</v>
      </c>
      <c r="P324" s="6" t="inlineStr">
        <is>
          <t>no</t>
        </is>
      </c>
      <c r="Q324" s="6" t="n"/>
      <c r="R324" s="6" t="n"/>
      <c r="S324" s="6" t="n"/>
      <c r="T324" s="6" t="n"/>
      <c r="U324" s="6" t="n"/>
      <c r="V324" s="6" t="inlineStr">
        <is>
          <t>herbs spices</t>
        </is>
      </c>
      <c r="W324" s="6" t="n">
        <v>1</v>
      </c>
      <c r="X324" s="6" t="n">
        <v>0.05</v>
      </c>
      <c r="Y324" s="6" t="inlineStr">
        <is>
          <t>declared</t>
        </is>
      </c>
      <c r="Z324" s="8" t="n">
        <v>8894</v>
      </c>
      <c r="AA324" s="9">
        <f>IF(H324="yes",Z324*X324,0)</f>
        <v/>
      </c>
      <c r="AB324" s="9">
        <f>IF(H324="yes",AA324*N(L324)/100,0)</f>
        <v/>
      </c>
      <c r="AC324" s="9">
        <f>IF(H324="yes",AA324*N(N324)/100,0)</f>
        <v/>
      </c>
      <c r="AD324" s="9">
        <f>IF(H324="yes",AA324*N(O324)/100,0)</f>
        <v/>
      </c>
      <c r="AE324" s="10">
        <f>IF(P324="yes",AA324/1000,0)</f>
        <v/>
      </c>
      <c r="AF324" s="10">
        <f>IF(R324="FG2",AE324*W324,AE324)</f>
        <v/>
      </c>
    </row>
    <row r="325">
      <c r="A325" s="6" t="inlineStr">
        <is>
          <t>HM00323</t>
        </is>
      </c>
      <c r="B325" s="7" t="inlineStr">
        <is>
          <t>5012345241005</t>
        </is>
      </c>
      <c r="C325" s="6" t="inlineStr">
        <is>
          <t>SOLVANE OLIVE SPREAD 1KG</t>
        </is>
      </c>
      <c r="D325" s="6" t="inlineStr">
        <is>
          <t>Olive oil spread, 1kg</t>
        </is>
      </c>
      <c r="E325" s="6" t="inlineStr">
        <is>
          <t>Solvane</t>
        </is>
      </c>
      <c r="F325" s="6" t="inlineStr">
        <is>
          <t>Dairy &amp; Eggs</t>
        </is>
      </c>
      <c r="G325" s="6" t="inlineStr">
        <is>
          <t>Butter &amp; Spreads</t>
        </is>
      </c>
      <c r="H325" s="6" t="inlineStr">
        <is>
          <t>yes</t>
        </is>
      </c>
      <c r="I325" s="6" t="inlineStr">
        <is>
          <t>Plant-based non-core</t>
        </is>
      </c>
      <c r="J325" s="6" t="inlineStr">
        <is>
          <t>A</t>
        </is>
      </c>
      <c r="K325" s="6" t="inlineStr">
        <is>
          <t>All ingredients on one side</t>
        </is>
      </c>
      <c r="L325" s="6" t="n">
        <v>0.1</v>
      </c>
      <c r="M325" s="6" t="inlineStr">
        <is>
          <t>Declared by the retailer</t>
        </is>
      </c>
      <c r="N325" s="6" t="n">
        <v>0.1</v>
      </c>
      <c r="O325" s="6" t="n">
        <v>0</v>
      </c>
      <c r="P325" s="6" t="inlineStr">
        <is>
          <t>yes</t>
        </is>
      </c>
      <c r="Q325" s="6" t="inlineStr">
        <is>
          <t>whole</t>
        </is>
      </c>
      <c r="R325" s="6" t="inlineStr">
        <is>
          <t>FG3</t>
        </is>
      </c>
      <c r="S325" s="6" t="inlineStr">
        <is>
          <t>plant fat</t>
        </is>
      </c>
      <c r="T325" s="6" t="inlineStr">
        <is>
          <t>plant</t>
        </is>
      </c>
      <c r="U325" s="6" t="n"/>
      <c r="V325" s="6" t="n"/>
      <c r="W325" s="6" t="n">
        <v>1</v>
      </c>
      <c r="X325" s="6" t="n">
        <v>1</v>
      </c>
      <c r="Y325" s="6" t="inlineStr">
        <is>
          <t>declared</t>
        </is>
      </c>
      <c r="Z325" s="8" t="n">
        <v>54893</v>
      </c>
      <c r="AA325" s="9">
        <f>IF(H325="yes",Z325*X325,0)</f>
        <v/>
      </c>
      <c r="AB325" s="9">
        <f>IF(H325="yes",AA325*N(L325)/100,0)</f>
        <v/>
      </c>
      <c r="AC325" s="9">
        <f>IF(H325="yes",AA325*N(N325)/100,0)</f>
        <v/>
      </c>
      <c r="AD325" s="9">
        <f>IF(H325="yes",AA325*N(O325)/100,0)</f>
        <v/>
      </c>
      <c r="AE325" s="10">
        <f>IF(P325="yes",AA325/1000,0)</f>
        <v/>
      </c>
      <c r="AF325" s="10">
        <f>IF(R325="FG2",AE325*W325,AE325)</f>
        <v/>
      </c>
    </row>
    <row r="326">
      <c r="A326" s="6" t="inlineStr">
        <is>
          <t>HM00324</t>
        </is>
      </c>
      <c r="B326" s="7" t="inlineStr">
        <is>
          <t>3012345825887</t>
        </is>
      </c>
      <c r="C326" s="6" t="inlineStr">
        <is>
          <t>HM BLUEBERRIES 250G</t>
        </is>
      </c>
      <c r="D326" s="6" t="inlineStr">
        <is>
          <t>Blueberries, 250g</t>
        </is>
      </c>
      <c r="E326" s="6" t="inlineStr">
        <is>
          <t>Harbour Market</t>
        </is>
      </c>
      <c r="F326" s="6" t="inlineStr">
        <is>
          <t>Fruit &amp; Vegetables</t>
        </is>
      </c>
      <c r="G326" s="6" t="inlineStr">
        <is>
          <t>Fruit</t>
        </is>
      </c>
      <c r="H326" s="6" t="inlineStr">
        <is>
          <t>yes</t>
        </is>
      </c>
      <c r="I326" s="6" t="inlineStr">
        <is>
          <t>Plant-based non-core</t>
        </is>
      </c>
      <c r="J326" s="6" t="inlineStr">
        <is>
          <t>B</t>
        </is>
      </c>
      <c r="K326" s="6" t="inlineStr">
        <is>
          <t>Follows the class</t>
        </is>
      </c>
      <c r="L326" s="6" t="n">
        <v>0.7</v>
      </c>
      <c r="M326" s="6" t="inlineStr">
        <is>
          <t>Declared by the retailer</t>
        </is>
      </c>
      <c r="N326" s="6" t="n">
        <v>0.7</v>
      </c>
      <c r="O326" s="6" t="n">
        <v>0</v>
      </c>
      <c r="P326" s="6" t="inlineStr">
        <is>
          <t>yes</t>
        </is>
      </c>
      <c r="Q326" s="6" t="inlineStr">
        <is>
          <t>whole</t>
        </is>
      </c>
      <c r="R326" s="6" t="inlineStr">
        <is>
          <t>FG4</t>
        </is>
      </c>
      <c r="S326" s="6" t="n"/>
      <c r="T326" s="6" t="inlineStr">
        <is>
          <t>plant</t>
        </is>
      </c>
      <c r="U326" s="6" t="n"/>
      <c r="V326" s="6" t="n"/>
      <c r="W326" s="6" t="n">
        <v>1</v>
      </c>
      <c r="X326" s="6" t="n">
        <v>0.25</v>
      </c>
      <c r="Y326" s="6" t="inlineStr">
        <is>
          <t>declared</t>
        </is>
      </c>
      <c r="Z326" s="8" t="n">
        <v>53395</v>
      </c>
      <c r="AA326" s="9">
        <f>IF(H326="yes",Z326*X326,0)</f>
        <v/>
      </c>
      <c r="AB326" s="9">
        <f>IF(H326="yes",AA326*N(L326)/100,0)</f>
        <v/>
      </c>
      <c r="AC326" s="9">
        <f>IF(H326="yes",AA326*N(N326)/100,0)</f>
        <v/>
      </c>
      <c r="AD326" s="9">
        <f>IF(H326="yes",AA326*N(O326)/100,0)</f>
        <v/>
      </c>
      <c r="AE326" s="10">
        <f>IF(P326="yes",AA326/1000,0)</f>
        <v/>
      </c>
      <c r="AF326" s="10">
        <f>IF(R326="FG2",AE326*W326,AE326)</f>
        <v/>
      </c>
    </row>
    <row r="327">
      <c r="A327" s="6" t="inlineStr">
        <is>
          <t>HM00325</t>
        </is>
      </c>
      <c r="B327" s="7" t="inlineStr">
        <is>
          <t>3012345652155</t>
        </is>
      </c>
      <c r="C327" s="6" t="inlineStr">
        <is>
          <t>HM BF SIRLOIN STK 500G</t>
        </is>
      </c>
      <c r="D327" s="6" t="inlineStr">
        <is>
          <t>Beef sirloin steak, 500g</t>
        </is>
      </c>
      <c r="E327" s="6" t="inlineStr">
        <is>
          <t>Harbour Market</t>
        </is>
      </c>
      <c r="F327" s="6" t="inlineStr">
        <is>
          <t>Fresh Meat &amp; Poultry</t>
        </is>
      </c>
      <c r="G327" s="6" t="inlineStr">
        <is>
          <t>Beef</t>
        </is>
      </c>
      <c r="H327" s="6" t="inlineStr">
        <is>
          <t>yes</t>
        </is>
      </c>
      <c r="I327" s="6" t="inlineStr">
        <is>
          <t>Animal core</t>
        </is>
      </c>
      <c r="J327" s="6" t="inlineStr">
        <is>
          <t>B</t>
        </is>
      </c>
      <c r="K327" s="6" t="inlineStr">
        <is>
          <t>Follows the class</t>
        </is>
      </c>
      <c r="L327" s="6" t="n">
        <v>22.6</v>
      </c>
      <c r="M327" s="6" t="inlineStr">
        <is>
          <t>Open Food Facts, by EAN</t>
        </is>
      </c>
      <c r="N327" s="6" t="n">
        <v>0</v>
      </c>
      <c r="O327" s="6" t="n">
        <v>22.6</v>
      </c>
      <c r="P327" s="6" t="inlineStr">
        <is>
          <t>yes</t>
        </is>
      </c>
      <c r="Q327" s="6" t="inlineStr">
        <is>
          <t>whole</t>
        </is>
      </c>
      <c r="R327" s="6" t="inlineStr">
        <is>
          <t>FG1</t>
        </is>
      </c>
      <c r="S327" s="6" t="inlineStr">
        <is>
          <t>red meat</t>
        </is>
      </c>
      <c r="T327" s="6" t="inlineStr">
        <is>
          <t>animal</t>
        </is>
      </c>
      <c r="U327" s="6" t="n"/>
      <c r="V327" s="6" t="n"/>
      <c r="W327" s="6" t="n">
        <v>1</v>
      </c>
      <c r="X327" s="6" t="n">
        <v>0.5</v>
      </c>
      <c r="Y327" s="6" t="inlineStr">
        <is>
          <t>declared</t>
        </is>
      </c>
      <c r="Z327" s="8" t="n">
        <v>20263</v>
      </c>
      <c r="AA327" s="9">
        <f>IF(H327="yes",Z327*X327,0)</f>
        <v/>
      </c>
      <c r="AB327" s="9">
        <f>IF(H327="yes",AA327*N(L327)/100,0)</f>
        <v/>
      </c>
      <c r="AC327" s="9">
        <f>IF(H327="yes",AA327*N(N327)/100,0)</f>
        <v/>
      </c>
      <c r="AD327" s="9">
        <f>IF(H327="yes",AA327*N(O327)/100,0)</f>
        <v/>
      </c>
      <c r="AE327" s="10">
        <f>IF(P327="yes",AA327/1000,0)</f>
        <v/>
      </c>
      <c r="AF327" s="10">
        <f>IF(R327="FG2",AE327*W327,AE327)</f>
        <v/>
      </c>
    </row>
    <row r="328">
      <c r="A328" s="6" t="inlineStr">
        <is>
          <t>HM00326</t>
        </is>
      </c>
      <c r="B328" s="7" t="inlineStr">
        <is>
          <t>4012345924787</t>
        </is>
      </c>
      <c r="C328" s="6" t="inlineStr">
        <is>
          <t>HM SWEET POTATOES 750G</t>
        </is>
      </c>
      <c r="D328" s="6" t="inlineStr">
        <is>
          <t>Sweet potatoes, 750g</t>
        </is>
      </c>
      <c r="E328" s="6" t="inlineStr">
        <is>
          <t>Harbour Market</t>
        </is>
      </c>
      <c r="F328" s="6" t="inlineStr">
        <is>
          <t>Fruit &amp; Vegetables</t>
        </is>
      </c>
      <c r="G328" s="6" t="inlineStr">
        <is>
          <t>Potatoes</t>
        </is>
      </c>
      <c r="H328" s="6" t="inlineStr">
        <is>
          <t>yes</t>
        </is>
      </c>
      <c r="I328" s="6" t="inlineStr">
        <is>
          <t>Plant-based non-core</t>
        </is>
      </c>
      <c r="J328" s="6" t="inlineStr">
        <is>
          <t>B</t>
        </is>
      </c>
      <c r="K328" s="6" t="inlineStr">
        <is>
          <t>Follows the class</t>
        </is>
      </c>
      <c r="L328" s="6" t="n">
        <v>1.6</v>
      </c>
      <c r="M328" s="6" t="inlineStr">
        <is>
          <t>Open Food Facts, by EAN</t>
        </is>
      </c>
      <c r="N328" s="6" t="n">
        <v>1.6</v>
      </c>
      <c r="O328" s="6" t="n">
        <v>0</v>
      </c>
      <c r="P328" s="6" t="inlineStr">
        <is>
          <t>yes</t>
        </is>
      </c>
      <c r="Q328" s="6" t="inlineStr">
        <is>
          <t>whole</t>
        </is>
      </c>
      <c r="R328" s="6" t="inlineStr">
        <is>
          <t>FG6</t>
        </is>
      </c>
      <c r="S328" s="6" t="n"/>
      <c r="T328" s="6" t="inlineStr">
        <is>
          <t>plant</t>
        </is>
      </c>
      <c r="U328" s="6" t="n"/>
      <c r="V328" s="6" t="n"/>
      <c r="W328" s="6" t="n">
        <v>1</v>
      </c>
      <c r="X328" s="6" t="n">
        <v>0.75</v>
      </c>
      <c r="Y328" s="6" t="inlineStr">
        <is>
          <t>declared</t>
        </is>
      </c>
      <c r="Z328" s="8" t="n">
        <v>24695</v>
      </c>
      <c r="AA328" s="9">
        <f>IF(H328="yes",Z328*X328,0)</f>
        <v/>
      </c>
      <c r="AB328" s="9">
        <f>IF(H328="yes",AA328*N(L328)/100,0)</f>
        <v/>
      </c>
      <c r="AC328" s="9">
        <f>IF(H328="yes",AA328*N(N328)/100,0)</f>
        <v/>
      </c>
      <c r="AD328" s="9">
        <f>IF(H328="yes",AA328*N(O328)/100,0)</f>
        <v/>
      </c>
      <c r="AE328" s="10">
        <f>IF(P328="yes",AA328/1000,0)</f>
        <v/>
      </c>
      <c r="AF328" s="10">
        <f>IF(R328="FG2",AE328*W328,AE328)</f>
        <v/>
      </c>
    </row>
    <row r="329">
      <c r="A329" s="6" t="inlineStr">
        <is>
          <t>HM00327</t>
        </is>
      </c>
      <c r="B329" s="7" t="inlineStr">
        <is>
          <t>8712345052614</t>
        </is>
      </c>
      <c r="C329" s="6" t="inlineStr">
        <is>
          <t>TORTILLA WRAPS 800G BRAMBLECOTE</t>
        </is>
      </c>
      <c r="D329" s="6" t="inlineStr">
        <is>
          <t>Plain tortilla wraps, 800g</t>
        </is>
      </c>
      <c r="E329" s="6" t="inlineStr">
        <is>
          <t>Bramblecote</t>
        </is>
      </c>
      <c r="F329" s="6" t="inlineStr">
        <is>
          <t>Bakery</t>
        </is>
      </c>
      <c r="G329" s="6" t="inlineStr">
        <is>
          <t>Bread</t>
        </is>
      </c>
      <c r="H329" s="6" t="inlineStr">
        <is>
          <t>yes</t>
        </is>
      </c>
      <c r="I329" s="6" t="inlineStr">
        <is>
          <t>Plant-based non-core</t>
        </is>
      </c>
      <c r="J329" s="6" t="inlineStr">
        <is>
          <t>A</t>
        </is>
      </c>
      <c r="K329" s="6" t="inlineStr">
        <is>
          <t>All ingredients on one side</t>
        </is>
      </c>
      <c r="L329" s="6" t="n">
        <v>8.1</v>
      </c>
      <c r="M329" s="6" t="inlineStr">
        <is>
          <t>Open Food Facts, by EAN</t>
        </is>
      </c>
      <c r="N329" s="6" t="n">
        <v>8.1</v>
      </c>
      <c r="O329" s="6" t="n">
        <v>0</v>
      </c>
      <c r="P329" s="6" t="inlineStr">
        <is>
          <t>yes</t>
        </is>
      </c>
      <c r="Q329" s="6" t="inlineStr">
        <is>
          <t>whole</t>
        </is>
      </c>
      <c r="R329" s="6" t="inlineStr">
        <is>
          <t>FG5</t>
        </is>
      </c>
      <c r="S329" s="6" t="inlineStr">
        <is>
          <t>refined grain</t>
        </is>
      </c>
      <c r="T329" s="6" t="inlineStr">
        <is>
          <t>plant</t>
        </is>
      </c>
      <c r="U329" s="6" t="n"/>
      <c r="V329" s="6" t="n"/>
      <c r="W329" s="6" t="n">
        <v>1</v>
      </c>
      <c r="X329" s="6" t="n">
        <v>0.8</v>
      </c>
      <c r="Y329" s="6" t="inlineStr">
        <is>
          <t>declared</t>
        </is>
      </c>
      <c r="Z329" s="8" t="n">
        <v>34885</v>
      </c>
      <c r="AA329" s="9">
        <f>IF(H329="yes",Z329*X329,0)</f>
        <v/>
      </c>
      <c r="AB329" s="9">
        <f>IF(H329="yes",AA329*N(L329)/100,0)</f>
        <v/>
      </c>
      <c r="AC329" s="9">
        <f>IF(H329="yes",AA329*N(N329)/100,0)</f>
        <v/>
      </c>
      <c r="AD329" s="9">
        <f>IF(H329="yes",AA329*N(O329)/100,0)</f>
        <v/>
      </c>
      <c r="AE329" s="10">
        <f>IF(P329="yes",AA329/1000,0)</f>
        <v/>
      </c>
      <c r="AF329" s="10">
        <f>IF(R329="FG2",AE329*W329,AE329)</f>
        <v/>
      </c>
    </row>
    <row r="330">
      <c r="A330" s="6" t="inlineStr">
        <is>
          <t>HM00328</t>
        </is>
      </c>
      <c r="B330" s="7" t="inlineStr">
        <is>
          <t>5012345973166</t>
        </is>
      </c>
      <c r="C330" s="6" t="inlineStr">
        <is>
          <t>HM PRAWN SUSHI ROLLS 200G</t>
        </is>
      </c>
      <c r="D330" s="6" t="inlineStr">
        <is>
          <t>Prawn sushi rolls, 200g</t>
        </is>
      </c>
      <c r="E330" s="6" t="inlineStr">
        <is>
          <t>Harbour Market</t>
        </is>
      </c>
      <c r="F330" s="6" t="inlineStr">
        <is>
          <t>Ready Meals</t>
        </is>
      </c>
      <c r="G330" s="6" t="inlineStr">
        <is>
          <t>Sushi</t>
        </is>
      </c>
      <c r="H330" s="6" t="inlineStr">
        <is>
          <t>yes</t>
        </is>
      </c>
      <c r="I330" s="6" t="inlineStr">
        <is>
          <t>Animal &amp; plant composite</t>
        </is>
      </c>
      <c r="J330" s="6" t="inlineStr">
        <is>
          <t>B</t>
        </is>
      </c>
      <c r="K330" s="6" t="inlineStr">
        <is>
          <t>50/50 convention</t>
        </is>
      </c>
      <c r="L330" s="6" t="n">
        <v>7.2</v>
      </c>
      <c r="M330" s="6" t="inlineStr">
        <is>
          <t>Name match (CIQUAL / NEVO)</t>
        </is>
      </c>
      <c r="N330" s="6" t="n">
        <v>3.6</v>
      </c>
      <c r="O330" s="6" t="n">
        <v>3.6</v>
      </c>
      <c r="P330" s="6" t="inlineStr">
        <is>
          <t>yes</t>
        </is>
      </c>
      <c r="Q330" s="6" t="inlineStr">
        <is>
          <t>composite</t>
        </is>
      </c>
      <c r="R330" s="6" t="n"/>
      <c r="S330" s="6" t="n"/>
      <c r="T330" s="6" t="n"/>
      <c r="U330" s="6" t="inlineStr">
        <is>
          <t>seafood-based</t>
        </is>
      </c>
      <c r="V330" s="6" t="n"/>
      <c r="W330" s="6" t="n">
        <v>1</v>
      </c>
      <c r="X330" s="6" t="n">
        <v>0.2</v>
      </c>
      <c r="Y330" s="6" t="inlineStr">
        <is>
          <t>declared</t>
        </is>
      </c>
      <c r="Z330" s="8" t="n">
        <v>2698</v>
      </c>
      <c r="AA330" s="9">
        <f>IF(H330="yes",Z330*X330,0)</f>
        <v/>
      </c>
      <c r="AB330" s="9">
        <f>IF(H330="yes",AA330*N(L330)/100,0)</f>
        <v/>
      </c>
      <c r="AC330" s="9">
        <f>IF(H330="yes",AA330*N(N330)/100,0)</f>
        <v/>
      </c>
      <c r="AD330" s="9">
        <f>IF(H330="yes",AA330*N(O330)/100,0)</f>
        <v/>
      </c>
      <c r="AE330" s="10">
        <f>IF(P330="yes",AA330/1000,0)</f>
        <v/>
      </c>
      <c r="AF330" s="10">
        <f>IF(R330="FG2",AE330*W330,AE330)</f>
        <v/>
      </c>
    </row>
    <row r="331">
      <c r="A331" s="6" t="inlineStr">
        <is>
          <t>HM00329</t>
        </is>
      </c>
      <c r="B331" s="7" t="inlineStr">
        <is>
          <t>5012345612966</t>
        </is>
      </c>
      <c r="C331" s="6" t="inlineStr">
        <is>
          <t>HM TOFU FIRM 280G</t>
        </is>
      </c>
      <c r="D331" s="6" t="inlineStr">
        <is>
          <t>Firm tofu, 280g</t>
        </is>
      </c>
      <c r="E331" s="6" t="inlineStr">
        <is>
          <t>Harbour Market</t>
        </is>
      </c>
      <c r="F331" s="6" t="inlineStr">
        <is>
          <t>Plant-Based</t>
        </is>
      </c>
      <c r="G331" s="6" t="inlineStr">
        <is>
          <t>Tofu &amp; Tempeh</t>
        </is>
      </c>
      <c r="H331" s="6" t="inlineStr">
        <is>
          <t>yes</t>
        </is>
      </c>
      <c r="I331" s="6" t="inlineStr">
        <is>
          <t>Plant-based core</t>
        </is>
      </c>
      <c r="J331" s="6" t="inlineStr">
        <is>
          <t>A</t>
        </is>
      </c>
      <c r="K331" s="6" t="inlineStr">
        <is>
          <t>All ingredients on one side</t>
        </is>
      </c>
      <c r="L331" s="6" t="n">
        <v>13.6</v>
      </c>
      <c r="M331" s="6" t="inlineStr">
        <is>
          <t>Name match (CIQUAL / NEVO)</t>
        </is>
      </c>
      <c r="N331" s="6" t="n">
        <v>13.6</v>
      </c>
      <c r="O331" s="6" t="n">
        <v>0</v>
      </c>
      <c r="P331" s="6" t="inlineStr">
        <is>
          <t>yes</t>
        </is>
      </c>
      <c r="Q331" s="6" t="inlineStr">
        <is>
          <t>whole</t>
        </is>
      </c>
      <c r="R331" s="6" t="inlineStr">
        <is>
          <t>FG1</t>
        </is>
      </c>
      <c r="S331" s="6" t="inlineStr">
        <is>
          <t>tofu tempeh seitan</t>
        </is>
      </c>
      <c r="T331" s="6" t="inlineStr">
        <is>
          <t>plant</t>
        </is>
      </c>
      <c r="U331" s="6" t="n"/>
      <c r="V331" s="6" t="n"/>
      <c r="W331" s="6" t="n">
        <v>1</v>
      </c>
      <c r="X331" s="6" t="n">
        <v>0.28</v>
      </c>
      <c r="Y331" s="6" t="inlineStr">
        <is>
          <t>label</t>
        </is>
      </c>
      <c r="Z331" s="8" t="n">
        <v>19761</v>
      </c>
      <c r="AA331" s="9">
        <f>IF(H331="yes",Z331*X331,0)</f>
        <v/>
      </c>
      <c r="AB331" s="9">
        <f>IF(H331="yes",AA331*N(L331)/100,0)</f>
        <v/>
      </c>
      <c r="AC331" s="9">
        <f>IF(H331="yes",AA331*N(N331)/100,0)</f>
        <v/>
      </c>
      <c r="AD331" s="9">
        <f>IF(H331="yes",AA331*N(O331)/100,0)</f>
        <v/>
      </c>
      <c r="AE331" s="10">
        <f>IF(P331="yes",AA331/1000,0)</f>
        <v/>
      </c>
      <c r="AF331" s="10">
        <f>IF(R331="FG2",AE331*W331,AE331)</f>
        <v/>
      </c>
    </row>
    <row r="332">
      <c r="A332" s="6" t="inlineStr">
        <is>
          <t>HM00330</t>
        </is>
      </c>
      <c r="B332" s="7" t="inlineStr">
        <is>
          <t>3012345840330</t>
        </is>
      </c>
      <c r="C332" s="6" t="inlineStr">
        <is>
          <t>HM CHOC FUDGE CAKE 400G</t>
        </is>
      </c>
      <c r="D332" s="6" t="inlineStr">
        <is>
          <t>Chocolate fudge cake, 400g</t>
        </is>
      </c>
      <c r="E332" s="6" t="inlineStr">
        <is>
          <t>Harbour Market</t>
        </is>
      </c>
      <c r="F332" s="6" t="inlineStr">
        <is>
          <t>Bakery</t>
        </is>
      </c>
      <c r="G332" s="6" t="inlineStr">
        <is>
          <t>Cakes</t>
        </is>
      </c>
      <c r="H332" s="6" t="inlineStr">
        <is>
          <t>yes</t>
        </is>
      </c>
      <c r="I332" s="6" t="inlineStr">
        <is>
          <t>Animal &amp; plant composite</t>
        </is>
      </c>
      <c r="J332" s="6" t="inlineStr">
        <is>
          <t>B</t>
        </is>
      </c>
      <c r="K332" s="6" t="inlineStr">
        <is>
          <t>50/50 convention</t>
        </is>
      </c>
      <c r="L332" s="6" t="n">
        <v>4.9</v>
      </c>
      <c r="M332" s="6" t="inlineStr">
        <is>
          <t>Declared by the retailer</t>
        </is>
      </c>
      <c r="N332" s="6" t="n">
        <v>2.45</v>
      </c>
      <c r="O332" s="6" t="n">
        <v>2.45</v>
      </c>
      <c r="P332" s="6" t="inlineStr">
        <is>
          <t>yes</t>
        </is>
      </c>
      <c r="Q332" s="6" t="inlineStr">
        <is>
          <t>whole</t>
        </is>
      </c>
      <c r="R332" s="6" t="inlineStr">
        <is>
          <t>FG7</t>
        </is>
      </c>
      <c r="S332" s="6" t="n"/>
      <c r="T332" s="6" t="inlineStr">
        <is>
          <t>plant</t>
        </is>
      </c>
      <c r="U332" s="6" t="n"/>
      <c r="V332" s="6" t="n"/>
      <c r="W332" s="6" t="n">
        <v>1</v>
      </c>
      <c r="X332" s="6" t="n">
        <v>0.4</v>
      </c>
      <c r="Y332" s="6" t="inlineStr">
        <is>
          <t>declared</t>
        </is>
      </c>
      <c r="Z332" s="8" t="n">
        <v>13335</v>
      </c>
      <c r="AA332" s="9">
        <f>IF(H332="yes",Z332*X332,0)</f>
        <v/>
      </c>
      <c r="AB332" s="9">
        <f>IF(H332="yes",AA332*N(L332)/100,0)</f>
        <v/>
      </c>
      <c r="AC332" s="9">
        <f>IF(H332="yes",AA332*N(N332)/100,0)</f>
        <v/>
      </c>
      <c r="AD332" s="9">
        <f>IF(H332="yes",AA332*N(O332)/100,0)</f>
        <v/>
      </c>
      <c r="AE332" s="10">
        <f>IF(P332="yes",AA332/1000,0)</f>
        <v/>
      </c>
      <c r="AF332" s="10">
        <f>IF(R332="FG2",AE332*W332,AE332)</f>
        <v/>
      </c>
    </row>
    <row r="333">
      <c r="A333" s="6" t="inlineStr">
        <is>
          <t>HM00331</t>
        </is>
      </c>
      <c r="B333" s="7" t="inlineStr">
        <is>
          <t>5012345447858</t>
        </is>
      </c>
      <c r="C333" s="6" t="inlineStr">
        <is>
          <t>HM HONEY ROAST HAM 8SL 200G</t>
        </is>
      </c>
      <c r="D333" s="6" t="inlineStr">
        <is>
          <t>Honey-roast ham, 8sl 200g</t>
        </is>
      </c>
      <c r="E333" s="6" t="inlineStr">
        <is>
          <t>Harbour Market</t>
        </is>
      </c>
      <c r="F333" s="6" t="inlineStr">
        <is>
          <t>Deli</t>
        </is>
      </c>
      <c r="G333" s="6" t="inlineStr">
        <is>
          <t>Cooked Meats</t>
        </is>
      </c>
      <c r="H333" s="6" t="inlineStr">
        <is>
          <t>yes</t>
        </is>
      </c>
      <c r="I333" s="6" t="inlineStr">
        <is>
          <t>Animal core</t>
        </is>
      </c>
      <c r="J333" s="6" t="inlineStr">
        <is>
          <t>B</t>
        </is>
      </c>
      <c r="K333" s="6" t="inlineStr">
        <is>
          <t>Follows the class</t>
        </is>
      </c>
      <c r="L333" s="6" t="n">
        <v>18.3</v>
      </c>
      <c r="M333" s="6" t="inlineStr">
        <is>
          <t>Median of the family</t>
        </is>
      </c>
      <c r="N333" s="6" t="n">
        <v>0</v>
      </c>
      <c r="O333" s="6" t="n">
        <v>18.3</v>
      </c>
      <c r="P333" s="6" t="inlineStr">
        <is>
          <t>yes</t>
        </is>
      </c>
      <c r="Q333" s="6" t="inlineStr">
        <is>
          <t>whole</t>
        </is>
      </c>
      <c r="R333" s="6" t="inlineStr">
        <is>
          <t>FG1</t>
        </is>
      </c>
      <c r="S333" s="6" t="inlineStr">
        <is>
          <t>red meat</t>
        </is>
      </c>
      <c r="T333" s="6" t="inlineStr">
        <is>
          <t>animal</t>
        </is>
      </c>
      <c r="U333" s="6" t="n"/>
      <c r="V333" s="6" t="n"/>
      <c r="W333" s="6" t="n">
        <v>1</v>
      </c>
      <c r="X333" s="6" t="n">
        <v>0.2</v>
      </c>
      <c r="Y333" s="6" t="inlineStr">
        <is>
          <t>declared</t>
        </is>
      </c>
      <c r="Z333" s="8" t="n">
        <v>75958</v>
      </c>
      <c r="AA333" s="9">
        <f>IF(H333="yes",Z333*X333,0)</f>
        <v/>
      </c>
      <c r="AB333" s="9">
        <f>IF(H333="yes",AA333*N(L333)/100,0)</f>
        <v/>
      </c>
      <c r="AC333" s="9">
        <f>IF(H333="yes",AA333*N(N333)/100,0)</f>
        <v/>
      </c>
      <c r="AD333" s="9">
        <f>IF(H333="yes",AA333*N(O333)/100,0)</f>
        <v/>
      </c>
      <c r="AE333" s="10">
        <f>IF(P333="yes",AA333/1000,0)</f>
        <v/>
      </c>
      <c r="AF333" s="10">
        <f>IF(R333="FG2",AE333*W333,AE333)</f>
        <v/>
      </c>
    </row>
    <row r="334">
      <c r="A334" s="6" t="inlineStr">
        <is>
          <t>HM00332</t>
        </is>
      </c>
      <c r="B334" s="7" t="inlineStr">
        <is>
          <t>3012345718752</t>
        </is>
      </c>
      <c r="C334" s="6" t="inlineStr">
        <is>
          <t>HM BABY SPINACH 300G</t>
        </is>
      </c>
      <c r="D334" s="6" t="inlineStr">
        <is>
          <t>Baby spinach, 300g</t>
        </is>
      </c>
      <c r="E334" s="6" t="inlineStr">
        <is>
          <t>Harbour Market</t>
        </is>
      </c>
      <c r="F334" s="6" t="inlineStr">
        <is>
          <t>Fruit &amp; Vegetables</t>
        </is>
      </c>
      <c r="G334" s="6" t="inlineStr">
        <is>
          <t>Vegetables</t>
        </is>
      </c>
      <c r="H334" s="6" t="inlineStr">
        <is>
          <t>yes</t>
        </is>
      </c>
      <c r="I334" s="6" t="inlineStr">
        <is>
          <t>Plant-based non-core</t>
        </is>
      </c>
      <c r="J334" s="6" t="inlineStr">
        <is>
          <t>B</t>
        </is>
      </c>
      <c r="K334" s="6" t="inlineStr">
        <is>
          <t>Follows the class</t>
        </is>
      </c>
      <c r="L334" s="6" t="n">
        <v>2.9</v>
      </c>
      <c r="M334" s="6" t="inlineStr">
        <is>
          <t>Declared by the retailer</t>
        </is>
      </c>
      <c r="N334" s="6" t="n">
        <v>2.9</v>
      </c>
      <c r="O334" s="6" t="n">
        <v>0</v>
      </c>
      <c r="P334" s="6" t="inlineStr">
        <is>
          <t>yes</t>
        </is>
      </c>
      <c r="Q334" s="6" t="inlineStr">
        <is>
          <t>whole</t>
        </is>
      </c>
      <c r="R334" s="6" t="inlineStr">
        <is>
          <t>FG4</t>
        </is>
      </c>
      <c r="S334" s="6" t="n"/>
      <c r="T334" s="6" t="inlineStr">
        <is>
          <t>plant</t>
        </is>
      </c>
      <c r="U334" s="6" t="n"/>
      <c r="V334" s="6" t="n"/>
      <c r="W334" s="6" t="n">
        <v>1</v>
      </c>
      <c r="X334" s="6" t="n">
        <v>0.3</v>
      </c>
      <c r="Y334" s="6" t="inlineStr">
        <is>
          <t>declared</t>
        </is>
      </c>
      <c r="Z334" s="8" t="n">
        <v>54125</v>
      </c>
      <c r="AA334" s="9">
        <f>IF(H334="yes",Z334*X334,0)</f>
        <v/>
      </c>
      <c r="AB334" s="9">
        <f>IF(H334="yes",AA334*N(L334)/100,0)</f>
        <v/>
      </c>
      <c r="AC334" s="9">
        <f>IF(H334="yes",AA334*N(N334)/100,0)</f>
        <v/>
      </c>
      <c r="AD334" s="9">
        <f>IF(H334="yes",AA334*N(O334)/100,0)</f>
        <v/>
      </c>
      <c r="AE334" s="10">
        <f>IF(P334="yes",AA334/1000,0)</f>
        <v/>
      </c>
      <c r="AF334" s="10">
        <f>IF(R334="FG2",AE334*W334,AE334)</f>
        <v/>
      </c>
    </row>
    <row r="335">
      <c r="A335" s="6" t="inlineStr">
        <is>
          <t>HM00333</t>
        </is>
      </c>
      <c r="B335" s="7" t="inlineStr">
        <is>
          <t>2314959908990</t>
        </is>
      </c>
      <c r="C335" s="6" t="inlineStr">
        <is>
          <t>HM ORANGES KG</t>
        </is>
      </c>
      <c r="D335" s="6" t="inlineStr">
        <is>
          <t>Oranges</t>
        </is>
      </c>
      <c r="E335" s="6" t="inlineStr">
        <is>
          <t>Harbour Market</t>
        </is>
      </c>
      <c r="F335" s="6" t="inlineStr">
        <is>
          <t>Fruit &amp; Vegetables</t>
        </is>
      </c>
      <c r="G335" s="6" t="inlineStr">
        <is>
          <t>Fruit</t>
        </is>
      </c>
      <c r="H335" s="6" t="inlineStr">
        <is>
          <t>yes</t>
        </is>
      </c>
      <c r="I335" s="6" t="inlineStr">
        <is>
          <t>Plant-based non-core</t>
        </is>
      </c>
      <c r="J335" s="6" t="inlineStr">
        <is>
          <t>B</t>
        </is>
      </c>
      <c r="K335" s="6" t="inlineStr">
        <is>
          <t>Follows the class</t>
        </is>
      </c>
      <c r="L335" s="6" t="n">
        <v>0.87</v>
      </c>
      <c r="M335" s="6" t="inlineStr">
        <is>
          <t>Name match (CIQUAL / NEVO)</t>
        </is>
      </c>
      <c r="N335" s="6" t="n">
        <v>0.87</v>
      </c>
      <c r="O335" s="6" t="n">
        <v>0</v>
      </c>
      <c r="P335" s="6" t="inlineStr">
        <is>
          <t>yes</t>
        </is>
      </c>
      <c r="Q335" s="6" t="inlineStr">
        <is>
          <t>whole</t>
        </is>
      </c>
      <c r="R335" s="6" t="inlineStr">
        <is>
          <t>FG4</t>
        </is>
      </c>
      <c r="S335" s="6" t="n"/>
      <c r="T335" s="6" t="inlineStr">
        <is>
          <t>plant</t>
        </is>
      </c>
      <c r="U335" s="6" t="n"/>
      <c r="V335" s="6" t="n"/>
      <c r="W335" s="6" t="n">
        <v>1</v>
      </c>
      <c r="X335" s="6" t="n">
        <v>1</v>
      </c>
      <c r="Y335" s="6" t="inlineStr">
        <is>
          <t>variable</t>
        </is>
      </c>
      <c r="Z335" s="8" t="n">
        <v>24765</v>
      </c>
      <c r="AA335" s="9">
        <f>IF(H335="yes",Z335*X335,0)</f>
        <v/>
      </c>
      <c r="AB335" s="9">
        <f>IF(H335="yes",AA335*N(L335)/100,0)</f>
        <v/>
      </c>
      <c r="AC335" s="9">
        <f>IF(H335="yes",AA335*N(N335)/100,0)</f>
        <v/>
      </c>
      <c r="AD335" s="9">
        <f>IF(H335="yes",AA335*N(O335)/100,0)</f>
        <v/>
      </c>
      <c r="AE335" s="10">
        <f>IF(P335="yes",AA335/1000,0)</f>
        <v/>
      </c>
      <c r="AF335" s="10">
        <f>IF(R335="FG2",AE335*W335,AE335)</f>
        <v/>
      </c>
    </row>
    <row r="336">
      <c r="A336" s="6" t="inlineStr">
        <is>
          <t>HM00334</t>
        </is>
      </c>
      <c r="B336" s="7" t="inlineStr">
        <is>
          <t>5012345231587</t>
        </is>
      </c>
      <c r="C336" s="6" t="inlineStr">
        <is>
          <t>PENROCK READY SALTED CRISPS 6PK 150G</t>
        </is>
      </c>
      <c r="D336" s="6" t="inlineStr">
        <is>
          <t>Ready salted crisps, 6pk 150g</t>
        </is>
      </c>
      <c r="E336" s="6" t="inlineStr">
        <is>
          <t>Penrock</t>
        </is>
      </c>
      <c r="F336" s="6" t="inlineStr">
        <is>
          <t>Breakfast &amp; Snacks</t>
        </is>
      </c>
      <c r="G336" s="6" t="inlineStr">
        <is>
          <t>Crisps</t>
        </is>
      </c>
      <c r="H336" s="6" t="inlineStr">
        <is>
          <t>yes</t>
        </is>
      </c>
      <c r="I336" s="6" t="inlineStr">
        <is>
          <t>Plant-based non-core</t>
        </is>
      </c>
      <c r="J336" s="6" t="inlineStr">
        <is>
          <t>B</t>
        </is>
      </c>
      <c r="K336" s="6" t="inlineStr">
        <is>
          <t>Follows the class</t>
        </is>
      </c>
      <c r="L336" s="6" t="n">
        <v>5.7</v>
      </c>
      <c r="M336" s="6" t="inlineStr">
        <is>
          <t>Name match (CIQUAL / NEVO)</t>
        </is>
      </c>
      <c r="N336" s="6" t="n">
        <v>5.7</v>
      </c>
      <c r="O336" s="6" t="n">
        <v>0</v>
      </c>
      <c r="P336" s="6" t="inlineStr">
        <is>
          <t>yes</t>
        </is>
      </c>
      <c r="Q336" s="6" t="inlineStr">
        <is>
          <t>whole</t>
        </is>
      </c>
      <c r="R336" s="6" t="inlineStr">
        <is>
          <t>FG7</t>
        </is>
      </c>
      <c r="S336" s="6" t="n"/>
      <c r="T336" s="6" t="inlineStr">
        <is>
          <t>plant</t>
        </is>
      </c>
      <c r="U336" s="6" t="n"/>
      <c r="V336" s="6" t="n"/>
      <c r="W336" s="6" t="n">
        <v>1</v>
      </c>
      <c r="X336" s="6" t="n">
        <v>0.15</v>
      </c>
      <c r="Y336" s="6" t="inlineStr">
        <is>
          <t>declared</t>
        </is>
      </c>
      <c r="Z336" s="8" t="n">
        <v>37079</v>
      </c>
      <c r="AA336" s="9">
        <f>IF(H336="yes",Z336*X336,0)</f>
        <v/>
      </c>
      <c r="AB336" s="9">
        <f>IF(H336="yes",AA336*N(L336)/100,0)</f>
        <v/>
      </c>
      <c r="AC336" s="9">
        <f>IF(H336="yes",AA336*N(N336)/100,0)</f>
        <v/>
      </c>
      <c r="AD336" s="9">
        <f>IF(H336="yes",AA336*N(O336)/100,0)</f>
        <v/>
      </c>
      <c r="AE336" s="10">
        <f>IF(P336="yes",AA336/1000,0)</f>
        <v/>
      </c>
      <c r="AF336" s="10">
        <f>IF(R336="FG2",AE336*W336,AE336)</f>
        <v/>
      </c>
    </row>
    <row r="337">
      <c r="A337" s="6" t="inlineStr">
        <is>
          <t>HM00335</t>
        </is>
      </c>
      <c r="B337" s="7" t="inlineStr">
        <is>
          <t>8712345659196</t>
        </is>
      </c>
      <c r="C337" s="6" t="inlineStr">
        <is>
          <t>ORANGE JUICE BITS 1L NUVELLE</t>
        </is>
      </c>
      <c r="D337" s="6" t="inlineStr">
        <is>
          <t>Orange juice with bits, 1l</t>
        </is>
      </c>
      <c r="E337" s="6" t="inlineStr">
        <is>
          <t>Nuvelle</t>
        </is>
      </c>
      <c r="F337" s="6" t="inlineStr">
        <is>
          <t>Soft Drinks &amp; Water</t>
        </is>
      </c>
      <c r="G337" s="6" t="inlineStr">
        <is>
          <t>Juice</t>
        </is>
      </c>
      <c r="H337" s="6" t="inlineStr">
        <is>
          <t>yes</t>
        </is>
      </c>
      <c r="I337" s="6" t="inlineStr">
        <is>
          <t>Plant-based non-core</t>
        </is>
      </c>
      <c r="J337" s="6" t="inlineStr">
        <is>
          <t>A</t>
        </is>
      </c>
      <c r="K337" s="6" t="inlineStr">
        <is>
          <t>All ingredients on one side</t>
        </is>
      </c>
      <c r="L337" s="6" t="n">
        <v>0.6899999999999999</v>
      </c>
      <c r="M337" s="6" t="inlineStr">
        <is>
          <t>Altera reference base</t>
        </is>
      </c>
      <c r="N337" s="6" t="n">
        <v>0.6899999999999999</v>
      </c>
      <c r="O337" s="6" t="n">
        <v>0</v>
      </c>
      <c r="P337" s="6" t="inlineStr">
        <is>
          <t>no</t>
        </is>
      </c>
      <c r="Q337" s="6" t="n"/>
      <c r="R337" s="6" t="n"/>
      <c r="S337" s="6" t="n"/>
      <c r="T337" s="6" t="n"/>
      <c r="U337" s="6" t="n"/>
      <c r="V337" s="6" t="inlineStr">
        <is>
          <t>beverage</t>
        </is>
      </c>
      <c r="W337" s="6" t="n">
        <v>1</v>
      </c>
      <c r="X337" s="6" t="n">
        <v>1.04</v>
      </c>
      <c r="Y337" s="6" t="inlineStr">
        <is>
          <t>declared</t>
        </is>
      </c>
      <c r="Z337" s="8" t="n">
        <v>114125</v>
      </c>
      <c r="AA337" s="9">
        <f>IF(H337="yes",Z337*X337,0)</f>
        <v/>
      </c>
      <c r="AB337" s="9">
        <f>IF(H337="yes",AA337*N(L337)/100,0)</f>
        <v/>
      </c>
      <c r="AC337" s="9">
        <f>IF(H337="yes",AA337*N(N337)/100,0)</f>
        <v/>
      </c>
      <c r="AD337" s="9">
        <f>IF(H337="yes",AA337*N(O337)/100,0)</f>
        <v/>
      </c>
      <c r="AE337" s="10">
        <f>IF(P337="yes",AA337/1000,0)</f>
        <v/>
      </c>
      <c r="AF337" s="10">
        <f>IF(R337="FG2",AE337*W337,AE337)</f>
        <v/>
      </c>
    </row>
    <row r="338">
      <c r="A338" s="6" t="inlineStr">
        <is>
          <t>HM00336</t>
        </is>
      </c>
      <c r="B338" s="7" t="inlineStr">
        <is>
          <t>8712345766924</t>
        </is>
      </c>
      <c r="C338" s="6" t="inlineStr">
        <is>
          <t>HM RED GRAPES SEEDLESS 1KG</t>
        </is>
      </c>
      <c r="D338" s="6" t="inlineStr">
        <is>
          <t>Seedless red grapes, 1kg</t>
        </is>
      </c>
      <c r="E338" s="6" t="inlineStr">
        <is>
          <t>Harbour Market</t>
        </is>
      </c>
      <c r="F338" s="6" t="inlineStr">
        <is>
          <t>Fruit &amp; Vegetables</t>
        </is>
      </c>
      <c r="G338" s="6" t="inlineStr">
        <is>
          <t>Fruit</t>
        </is>
      </c>
      <c r="H338" s="6" t="inlineStr">
        <is>
          <t>yes</t>
        </is>
      </c>
      <c r="I338" s="6" t="inlineStr">
        <is>
          <t>Plant-based non-core</t>
        </is>
      </c>
      <c r="J338" s="6" t="inlineStr">
        <is>
          <t>B</t>
        </is>
      </c>
      <c r="K338" s="6" t="inlineStr">
        <is>
          <t>Follows the class</t>
        </is>
      </c>
      <c r="L338" s="6" t="n">
        <v>0.64</v>
      </c>
      <c r="M338" s="6" t="inlineStr">
        <is>
          <t>Altera reference base</t>
        </is>
      </c>
      <c r="N338" s="6" t="n">
        <v>0.64</v>
      </c>
      <c r="O338" s="6" t="n">
        <v>0</v>
      </c>
      <c r="P338" s="6" t="inlineStr">
        <is>
          <t>yes</t>
        </is>
      </c>
      <c r="Q338" s="6" t="inlineStr">
        <is>
          <t>whole</t>
        </is>
      </c>
      <c r="R338" s="6" t="inlineStr">
        <is>
          <t>FG4</t>
        </is>
      </c>
      <c r="S338" s="6" t="n"/>
      <c r="T338" s="6" t="inlineStr">
        <is>
          <t>plant</t>
        </is>
      </c>
      <c r="U338" s="6" t="n"/>
      <c r="V338" s="6" t="n"/>
      <c r="W338" s="6" t="n">
        <v>1</v>
      </c>
      <c r="X338" s="6" t="n">
        <v>1</v>
      </c>
      <c r="Y338" s="6" t="inlineStr">
        <is>
          <t>declared</t>
        </is>
      </c>
      <c r="Z338" s="8" t="n">
        <v>80150</v>
      </c>
      <c r="AA338" s="9">
        <f>IF(H338="yes",Z338*X338,0)</f>
        <v/>
      </c>
      <c r="AB338" s="9">
        <f>IF(H338="yes",AA338*N(L338)/100,0)</f>
        <v/>
      </c>
      <c r="AC338" s="9">
        <f>IF(H338="yes",AA338*N(N338)/100,0)</f>
        <v/>
      </c>
      <c r="AD338" s="9">
        <f>IF(H338="yes",AA338*N(O338)/100,0)</f>
        <v/>
      </c>
      <c r="AE338" s="10">
        <f>IF(P338="yes",AA338/1000,0)</f>
        <v/>
      </c>
      <c r="AF338" s="10">
        <f>IF(R338="FG2",AE338*W338,AE338)</f>
        <v/>
      </c>
    </row>
    <row r="339">
      <c r="A339" s="6" t="inlineStr">
        <is>
          <t>HM00337</t>
        </is>
      </c>
      <c r="B339" s="7" t="inlineStr">
        <is>
          <t>4012345507997</t>
        </is>
      </c>
      <c r="C339" s="6" t="inlineStr">
        <is>
          <t>HM PUMPKIN SEEDS 300G</t>
        </is>
      </c>
      <c r="D339" s="6" t="inlineStr">
        <is>
          <t>Pumpkin seeds, 300g</t>
        </is>
      </c>
      <c r="E339" s="6" t="inlineStr">
        <is>
          <t>Harbour Market</t>
        </is>
      </c>
      <c r="F339" s="6" t="inlineStr">
        <is>
          <t>Grocery</t>
        </is>
      </c>
      <c r="G339" s="6" t="inlineStr">
        <is>
          <t>Nuts &amp; Seeds</t>
        </is>
      </c>
      <c r="H339" s="6" t="inlineStr">
        <is>
          <t>yes</t>
        </is>
      </c>
      <c r="I339" s="6" t="inlineStr">
        <is>
          <t>Plant-based core</t>
        </is>
      </c>
      <c r="J339" s="6" t="inlineStr">
        <is>
          <t>A</t>
        </is>
      </c>
      <c r="K339" s="6" t="inlineStr">
        <is>
          <t>All ingredients on one side</t>
        </is>
      </c>
      <c r="L339" s="6" t="n">
        <v>29.7</v>
      </c>
      <c r="M339" s="6" t="inlineStr">
        <is>
          <t>Declared by the retailer</t>
        </is>
      </c>
      <c r="N339" s="6" t="n">
        <v>29.7</v>
      </c>
      <c r="O339" s="6" t="n">
        <v>0</v>
      </c>
      <c r="P339" s="6" t="inlineStr">
        <is>
          <t>yes</t>
        </is>
      </c>
      <c r="Q339" s="6" t="inlineStr">
        <is>
          <t>whole</t>
        </is>
      </c>
      <c r="R339" s="6" t="inlineStr">
        <is>
          <t>FG1</t>
        </is>
      </c>
      <c r="S339" s="6" t="inlineStr">
        <is>
          <t>seeds</t>
        </is>
      </c>
      <c r="T339" s="6" t="inlineStr">
        <is>
          <t>plant</t>
        </is>
      </c>
      <c r="U339" s="6" t="n"/>
      <c r="V339" s="6" t="n"/>
      <c r="W339" s="6" t="n">
        <v>1</v>
      </c>
      <c r="X339" s="6" t="n">
        <v>0.3</v>
      </c>
      <c r="Y339" s="6" t="inlineStr">
        <is>
          <t>declared</t>
        </is>
      </c>
      <c r="Z339" s="8" t="n">
        <v>32472</v>
      </c>
      <c r="AA339" s="9">
        <f>IF(H339="yes",Z339*X339,0)</f>
        <v/>
      </c>
      <c r="AB339" s="9">
        <f>IF(H339="yes",AA339*N(L339)/100,0)</f>
        <v/>
      </c>
      <c r="AC339" s="9">
        <f>IF(H339="yes",AA339*N(N339)/100,0)</f>
        <v/>
      </c>
      <c r="AD339" s="9">
        <f>IF(H339="yes",AA339*N(O339)/100,0)</f>
        <v/>
      </c>
      <c r="AE339" s="10">
        <f>IF(P339="yes",AA339/1000,0)</f>
        <v/>
      </c>
      <c r="AF339" s="10">
        <f>IF(R339="FG2",AE339*W339,AE339)</f>
        <v/>
      </c>
    </row>
    <row r="340">
      <c r="A340" s="6" t="inlineStr">
        <is>
          <t>HM00338</t>
        </is>
      </c>
      <c r="B340" s="7" t="inlineStr">
        <is>
          <t>3012345159135</t>
        </is>
      </c>
      <c r="C340" s="6" t="inlineStr">
        <is>
          <t>ALDERWICK MATURE CHEDDAR 200G</t>
        </is>
      </c>
      <c r="D340" s="6" t="inlineStr">
        <is>
          <t>Mature cheddar, 200g</t>
        </is>
      </c>
      <c r="E340" s="6" t="inlineStr">
        <is>
          <t>Alderwick</t>
        </is>
      </c>
      <c r="F340" s="6" t="inlineStr">
        <is>
          <t>Cheese</t>
        </is>
      </c>
      <c r="G340" s="6" t="inlineStr">
        <is>
          <t>Hard Cheese</t>
        </is>
      </c>
      <c r="H340" s="6" t="inlineStr">
        <is>
          <t>yes</t>
        </is>
      </c>
      <c r="I340" s="6" t="inlineStr">
        <is>
          <t>Animal core</t>
        </is>
      </c>
      <c r="J340" s="6" t="inlineStr">
        <is>
          <t>A</t>
        </is>
      </c>
      <c r="K340" s="6" t="inlineStr">
        <is>
          <t>All ingredients on one side</t>
        </is>
      </c>
      <c r="L340" s="6" t="n">
        <v>25</v>
      </c>
      <c r="M340" s="6" t="inlineStr">
        <is>
          <t>Open Food Facts, by EAN</t>
        </is>
      </c>
      <c r="N340" s="6" t="n">
        <v>0</v>
      </c>
      <c r="O340" s="6" t="n">
        <v>25</v>
      </c>
      <c r="P340" s="6" t="inlineStr">
        <is>
          <t>yes</t>
        </is>
      </c>
      <c r="Q340" s="6" t="inlineStr">
        <is>
          <t>whole</t>
        </is>
      </c>
      <c r="R340" s="6" t="inlineStr">
        <is>
          <t>FG2</t>
        </is>
      </c>
      <c r="S340" s="6" t="inlineStr">
        <is>
          <t>dairy</t>
        </is>
      </c>
      <c r="T340" s="6" t="inlineStr">
        <is>
          <t>animal</t>
        </is>
      </c>
      <c r="U340" s="6" t="n"/>
      <c r="V340" s="6" t="n"/>
      <c r="W340" s="6" t="n">
        <v>10</v>
      </c>
      <c r="X340" s="6" t="n">
        <v>0.2</v>
      </c>
      <c r="Y340" s="6" t="inlineStr">
        <is>
          <t>declared</t>
        </is>
      </c>
      <c r="Z340" s="8" t="n">
        <v>53801</v>
      </c>
      <c r="AA340" s="9">
        <f>IF(H340="yes",Z340*X340,0)</f>
        <v/>
      </c>
      <c r="AB340" s="9">
        <f>IF(H340="yes",AA340*N(L340)/100,0)</f>
        <v/>
      </c>
      <c r="AC340" s="9">
        <f>IF(H340="yes",AA340*N(N340)/100,0)</f>
        <v/>
      </c>
      <c r="AD340" s="9">
        <f>IF(H340="yes",AA340*N(O340)/100,0)</f>
        <v/>
      </c>
      <c r="AE340" s="10">
        <f>IF(P340="yes",AA340/1000,0)</f>
        <v/>
      </c>
      <c r="AF340" s="10">
        <f>IF(R340="FG2",AE340*W340,AE340)</f>
        <v/>
      </c>
    </row>
    <row r="341">
      <c r="A341" s="6" t="inlineStr">
        <is>
          <t>HM00339</t>
        </is>
      </c>
      <c r="B341" s="7" t="inlineStr">
        <is>
          <t>3012345084055</t>
        </is>
      </c>
      <c r="C341" s="6" t="inlineStr">
        <is>
          <t>GREEK STYLE YOG 450G FJELDA</t>
        </is>
      </c>
      <c r="D341" s="6" t="inlineStr">
        <is>
          <t>Greek-style yoghurt, 450g</t>
        </is>
      </c>
      <c r="E341" s="6" t="inlineStr">
        <is>
          <t>Fjelda</t>
        </is>
      </c>
      <c r="F341" s="6" t="inlineStr">
        <is>
          <t>Dairy &amp; Eggs</t>
        </is>
      </c>
      <c r="G341" s="6" t="inlineStr">
        <is>
          <t>Yoghurt</t>
        </is>
      </c>
      <c r="H341" s="6" t="inlineStr">
        <is>
          <t>yes</t>
        </is>
      </c>
      <c r="I341" s="6" t="inlineStr">
        <is>
          <t>Animal core</t>
        </is>
      </c>
      <c r="J341" s="6" t="inlineStr">
        <is>
          <t>B</t>
        </is>
      </c>
      <c r="K341" s="6" t="inlineStr">
        <is>
          <t>Follows the class</t>
        </is>
      </c>
      <c r="L341" s="6" t="n">
        <v>6.1</v>
      </c>
      <c r="M341" s="6" t="inlineStr">
        <is>
          <t>Median of the family</t>
        </is>
      </c>
      <c r="N341" s="6" t="n">
        <v>0</v>
      </c>
      <c r="O341" s="6" t="n">
        <v>6.1</v>
      </c>
      <c r="P341" s="6" t="inlineStr">
        <is>
          <t>yes</t>
        </is>
      </c>
      <c r="Q341" s="6" t="inlineStr">
        <is>
          <t>whole</t>
        </is>
      </c>
      <c r="R341" s="6" t="inlineStr">
        <is>
          <t>FG2</t>
        </is>
      </c>
      <c r="S341" s="6" t="inlineStr">
        <is>
          <t>dairy</t>
        </is>
      </c>
      <c r="T341" s="6" t="inlineStr">
        <is>
          <t>animal</t>
        </is>
      </c>
      <c r="U341" s="6" t="n"/>
      <c r="V341" s="6" t="n"/>
      <c r="W341" s="6" t="n">
        <v>1</v>
      </c>
      <c r="X341" s="6" t="n">
        <v>0.45</v>
      </c>
      <c r="Y341" s="6" t="inlineStr">
        <is>
          <t>declared</t>
        </is>
      </c>
      <c r="Z341" s="8" t="n">
        <v>45480</v>
      </c>
      <c r="AA341" s="9">
        <f>IF(H341="yes",Z341*X341,0)</f>
        <v/>
      </c>
      <c r="AB341" s="9">
        <f>IF(H341="yes",AA341*N(L341)/100,0)</f>
        <v/>
      </c>
      <c r="AC341" s="9">
        <f>IF(H341="yes",AA341*N(N341)/100,0)</f>
        <v/>
      </c>
      <c r="AD341" s="9">
        <f>IF(H341="yes",AA341*N(O341)/100,0)</f>
        <v/>
      </c>
      <c r="AE341" s="10">
        <f>IF(P341="yes",AA341/1000,0)</f>
        <v/>
      </c>
      <c r="AF341" s="10">
        <f>IF(R341="FG2",AE341*W341,AE341)</f>
        <v/>
      </c>
    </row>
    <row r="342">
      <c r="A342" s="6" t="inlineStr">
        <is>
          <t>HM00340</t>
        </is>
      </c>
      <c r="B342" s="7" t="inlineStr">
        <is>
          <t>8712345934699</t>
        </is>
      </c>
      <c r="C342" s="6" t="inlineStr">
        <is>
          <t>QUILLAN CHICKPEA DAHL RICE 400G</t>
        </is>
      </c>
      <c r="D342" s="6" t="inlineStr">
        <is>
          <t>Chickpea dahl with rice, 400g</t>
        </is>
      </c>
      <c r="E342" s="6" t="inlineStr">
        <is>
          <t>Quillan</t>
        </is>
      </c>
      <c r="F342" s="6" t="inlineStr">
        <is>
          <t>Ready Meals</t>
        </is>
      </c>
      <c r="G342" s="6" t="inlineStr">
        <is>
          <t>Ready Meals</t>
        </is>
      </c>
      <c r="H342" s="6" t="inlineStr">
        <is>
          <t>yes</t>
        </is>
      </c>
      <c r="I342" s="6" t="inlineStr">
        <is>
          <t>Plant-based non-core</t>
        </is>
      </c>
      <c r="J342" s="6" t="inlineStr">
        <is>
          <t>A</t>
        </is>
      </c>
      <c r="K342" s="6" t="inlineStr">
        <is>
          <t>All ingredients on one side</t>
        </is>
      </c>
      <c r="L342" s="6" t="n">
        <v>4.2</v>
      </c>
      <c r="M342" s="6" t="inlineStr">
        <is>
          <t>Declared by the retailer</t>
        </is>
      </c>
      <c r="N342" s="6" t="n">
        <v>4.2</v>
      </c>
      <c r="O342" s="6" t="n">
        <v>0</v>
      </c>
      <c r="P342" s="6" t="inlineStr">
        <is>
          <t>yes</t>
        </is>
      </c>
      <c r="Q342" s="6" t="inlineStr">
        <is>
          <t>composite</t>
        </is>
      </c>
      <c r="R342" s="6" t="n"/>
      <c r="S342" s="6" t="n"/>
      <c r="T342" s="6" t="n"/>
      <c r="U342" s="6" t="inlineStr">
        <is>
          <t>vegan</t>
        </is>
      </c>
      <c r="V342" s="6" t="n"/>
      <c r="W342" s="6" t="n">
        <v>1</v>
      </c>
      <c r="X342" s="6" t="n">
        <v>0.4</v>
      </c>
      <c r="Y342" s="6" t="inlineStr">
        <is>
          <t>declared</t>
        </is>
      </c>
      <c r="Z342" s="8" t="n">
        <v>34763</v>
      </c>
      <c r="AA342" s="9">
        <f>IF(H342="yes",Z342*X342,0)</f>
        <v/>
      </c>
      <c r="AB342" s="9">
        <f>IF(H342="yes",AA342*N(L342)/100,0)</f>
        <v/>
      </c>
      <c r="AC342" s="9">
        <f>IF(H342="yes",AA342*N(N342)/100,0)</f>
        <v/>
      </c>
      <c r="AD342" s="9">
        <f>IF(H342="yes",AA342*N(O342)/100,0)</f>
        <v/>
      </c>
      <c r="AE342" s="10">
        <f>IF(P342="yes",AA342/1000,0)</f>
        <v/>
      </c>
      <c r="AF342" s="10">
        <f>IF(R342="FG2",AE342*W342,AE342)</f>
        <v/>
      </c>
    </row>
    <row r="343">
      <c r="A343" s="6" t="inlineStr">
        <is>
          <t>HM00341</t>
        </is>
      </c>
      <c r="B343" s="7" t="inlineStr">
        <is>
          <t>3012345110730</t>
        </is>
      </c>
      <c r="C343" s="6" t="inlineStr">
        <is>
          <t>HM CHKN WINGS 1KG</t>
        </is>
      </c>
      <c r="D343" s="6" t="inlineStr">
        <is>
          <t>Chicken wings, 1kg</t>
        </is>
      </c>
      <c r="E343" s="6" t="inlineStr">
        <is>
          <t>Harbour Market</t>
        </is>
      </c>
      <c r="F343" s="6" t="inlineStr">
        <is>
          <t>Fresh Meat &amp; Poultry</t>
        </is>
      </c>
      <c r="G343" s="6" t="inlineStr">
        <is>
          <t>Poultry</t>
        </is>
      </c>
      <c r="H343" s="6" t="inlineStr">
        <is>
          <t>yes</t>
        </is>
      </c>
      <c r="I343" s="6" t="inlineStr">
        <is>
          <t>Animal core</t>
        </is>
      </c>
      <c r="J343" s="6" t="inlineStr">
        <is>
          <t>A</t>
        </is>
      </c>
      <c r="K343" s="6" t="inlineStr">
        <is>
          <t>All ingredients on one side</t>
        </is>
      </c>
      <c r="L343" s="6" t="n">
        <v>17.4</v>
      </c>
      <c r="M343" s="6" t="inlineStr">
        <is>
          <t>Median of the family</t>
        </is>
      </c>
      <c r="N343" s="6" t="n">
        <v>0</v>
      </c>
      <c r="O343" s="6" t="n">
        <v>17.4</v>
      </c>
      <c r="P343" s="6" t="inlineStr">
        <is>
          <t>yes</t>
        </is>
      </c>
      <c r="Q343" s="6" t="inlineStr">
        <is>
          <t>whole</t>
        </is>
      </c>
      <c r="R343" s="6" t="inlineStr">
        <is>
          <t>FG1</t>
        </is>
      </c>
      <c r="S343" s="6" t="inlineStr">
        <is>
          <t>poultry</t>
        </is>
      </c>
      <c r="T343" s="6" t="inlineStr">
        <is>
          <t>animal</t>
        </is>
      </c>
      <c r="U343" s="6" t="n"/>
      <c r="V343" s="6" t="n"/>
      <c r="W343" s="6" t="n">
        <v>1</v>
      </c>
      <c r="X343" s="6" t="n">
        <v>1</v>
      </c>
      <c r="Y343" s="6" t="inlineStr">
        <is>
          <t>label</t>
        </is>
      </c>
      <c r="Z343" s="8" t="n">
        <v>80932</v>
      </c>
      <c r="AA343" s="9">
        <f>IF(H343="yes",Z343*X343,0)</f>
        <v/>
      </c>
      <c r="AB343" s="9">
        <f>IF(H343="yes",AA343*N(L343)/100,0)</f>
        <v/>
      </c>
      <c r="AC343" s="9">
        <f>IF(H343="yes",AA343*N(N343)/100,0)</f>
        <v/>
      </c>
      <c r="AD343" s="9">
        <f>IF(H343="yes",AA343*N(O343)/100,0)</f>
        <v/>
      </c>
      <c r="AE343" s="10">
        <f>IF(P343="yes",AA343/1000,0)</f>
        <v/>
      </c>
      <c r="AF343" s="10">
        <f>IF(R343="FG2",AE343*W343,AE343)</f>
        <v/>
      </c>
    </row>
    <row r="344">
      <c r="A344" s="6" t="inlineStr">
        <is>
          <t>HM00342</t>
        </is>
      </c>
      <c r="B344" s="7" t="inlineStr">
        <is>
          <t>4012345205589</t>
        </is>
      </c>
      <c r="C344" s="6" t="inlineStr">
        <is>
          <t>HM MIXED VEG 500G</t>
        </is>
      </c>
      <c r="D344" s="6" t="inlineStr">
        <is>
          <t>Mixed vegetables, 500g</t>
        </is>
      </c>
      <c r="E344" s="6" t="inlineStr">
        <is>
          <t>Harbour Market</t>
        </is>
      </c>
      <c r="F344" s="6" t="inlineStr">
        <is>
          <t>Frozen</t>
        </is>
      </c>
      <c r="G344" s="6" t="inlineStr">
        <is>
          <t>Frozen Vegetables</t>
        </is>
      </c>
      <c r="H344" s="6" t="inlineStr">
        <is>
          <t>yes</t>
        </is>
      </c>
      <c r="I344" s="6" t="inlineStr">
        <is>
          <t>Plant-based non-core</t>
        </is>
      </c>
      <c r="J344" s="6" t="inlineStr">
        <is>
          <t>A</t>
        </is>
      </c>
      <c r="K344" s="6" t="inlineStr">
        <is>
          <t>All ingredients on one side</t>
        </is>
      </c>
      <c r="L344" s="6" t="n">
        <v>2.6</v>
      </c>
      <c r="M344" s="6" t="inlineStr">
        <is>
          <t>Median of the family</t>
        </is>
      </c>
      <c r="N344" s="6" t="n">
        <v>2.6</v>
      </c>
      <c r="O344" s="6" t="n">
        <v>0</v>
      </c>
      <c r="P344" s="6" t="inlineStr">
        <is>
          <t>yes</t>
        </is>
      </c>
      <c r="Q344" s="6" t="inlineStr">
        <is>
          <t>whole</t>
        </is>
      </c>
      <c r="R344" s="6" t="inlineStr">
        <is>
          <t>FG4</t>
        </is>
      </c>
      <c r="S344" s="6" t="n"/>
      <c r="T344" s="6" t="inlineStr">
        <is>
          <t>plant</t>
        </is>
      </c>
      <c r="U344" s="6" t="n"/>
      <c r="V344" s="6" t="n"/>
      <c r="W344" s="6" t="n">
        <v>1</v>
      </c>
      <c r="X344" s="6" t="n">
        <v>0.5</v>
      </c>
      <c r="Y344" s="6" t="inlineStr">
        <is>
          <t>declared</t>
        </is>
      </c>
      <c r="Z344" s="8" t="n">
        <v>5377</v>
      </c>
      <c r="AA344" s="9">
        <f>IF(H344="yes",Z344*X344,0)</f>
        <v/>
      </c>
      <c r="AB344" s="9">
        <f>IF(H344="yes",AA344*N(L344)/100,0)</f>
        <v/>
      </c>
      <c r="AC344" s="9">
        <f>IF(H344="yes",AA344*N(N344)/100,0)</f>
        <v/>
      </c>
      <c r="AD344" s="9">
        <f>IF(H344="yes",AA344*N(O344)/100,0)</f>
        <v/>
      </c>
      <c r="AE344" s="10">
        <f>IF(P344="yes",AA344/1000,0)</f>
        <v/>
      </c>
      <c r="AF344" s="10">
        <f>IF(R344="FG2",AE344*W344,AE344)</f>
        <v/>
      </c>
    </row>
    <row r="345">
      <c r="A345" s="6" t="inlineStr">
        <is>
          <t>HM00343</t>
        </is>
      </c>
      <c r="B345" s="7" t="inlineStr">
        <is>
          <t>5012345421032</t>
        </is>
      </c>
      <c r="C345" s="6" t="inlineStr">
        <is>
          <t>VEG STOCK CUBES 8PK 80G CASTELNA</t>
        </is>
      </c>
      <c r="D345" s="6" t="inlineStr">
        <is>
          <t>Vegetable stock cubes, 8pk 80g</t>
        </is>
      </c>
      <c r="E345" s="6" t="inlineStr">
        <is>
          <t>Castelna</t>
        </is>
      </c>
      <c r="F345" s="6" t="inlineStr">
        <is>
          <t>Grocery</t>
        </is>
      </c>
      <c r="G345" s="6" t="inlineStr">
        <is>
          <t>Stock &amp; Gravy</t>
        </is>
      </c>
      <c r="H345" s="6" t="inlineStr">
        <is>
          <t>yes</t>
        </is>
      </c>
      <c r="I345" s="6" t="inlineStr">
        <is>
          <t>Plant-based non-core</t>
        </is>
      </c>
      <c r="J345" s="6" t="inlineStr">
        <is>
          <t>A</t>
        </is>
      </c>
      <c r="K345" s="6" t="inlineStr">
        <is>
          <t>All ingredients on one side</t>
        </is>
      </c>
      <c r="L345" s="6" t="n">
        <v>7.6</v>
      </c>
      <c r="M345" s="6" t="inlineStr">
        <is>
          <t>Declared by the retailer</t>
        </is>
      </c>
      <c r="N345" s="6" t="n">
        <v>7.6</v>
      </c>
      <c r="O345" s="6" t="n">
        <v>0</v>
      </c>
      <c r="P345" s="6" t="inlineStr">
        <is>
          <t>no</t>
        </is>
      </c>
      <c r="Q345" s="6" t="n"/>
      <c r="R345" s="6" t="n"/>
      <c r="S345" s="6" t="n"/>
      <c r="T345" s="6" t="n"/>
      <c r="U345" s="6" t="n"/>
      <c r="V345" s="6" t="inlineStr">
        <is>
          <t>stock</t>
        </is>
      </c>
      <c r="W345" s="6" t="n">
        <v>1</v>
      </c>
      <c r="X345" s="6" t="n">
        <v>0.08</v>
      </c>
      <c r="Y345" s="6" t="inlineStr">
        <is>
          <t>label</t>
        </is>
      </c>
      <c r="Z345" s="8" t="n">
        <v>11155</v>
      </c>
      <c r="AA345" s="9">
        <f>IF(H345="yes",Z345*X345,0)</f>
        <v/>
      </c>
      <c r="AB345" s="9">
        <f>IF(H345="yes",AA345*N(L345)/100,0)</f>
        <v/>
      </c>
      <c r="AC345" s="9">
        <f>IF(H345="yes",AA345*N(N345)/100,0)</f>
        <v/>
      </c>
      <c r="AD345" s="9">
        <f>IF(H345="yes",AA345*N(O345)/100,0)</f>
        <v/>
      </c>
      <c r="AE345" s="10">
        <f>IF(P345="yes",AA345/1000,0)</f>
        <v/>
      </c>
      <c r="AF345" s="10">
        <f>IF(R345="FG2",AE345*W345,AE345)</f>
        <v/>
      </c>
    </row>
    <row r="346">
      <c r="A346" s="6" t="inlineStr">
        <is>
          <t>HM00344</t>
        </is>
      </c>
      <c r="B346" s="7" t="inlineStr">
        <is>
          <t>3012345617161</t>
        </is>
      </c>
      <c r="C346" s="6" t="inlineStr">
        <is>
          <t>ORVALIS BLACK BEANS 410G</t>
        </is>
      </c>
      <c r="D346" s="6" t="inlineStr">
        <is>
          <t>Black beans in water, 410g</t>
        </is>
      </c>
      <c r="E346" s="6" t="inlineStr">
        <is>
          <t>Orvalis</t>
        </is>
      </c>
      <c r="F346" s="6" t="inlineStr">
        <is>
          <t>Grocery</t>
        </is>
      </c>
      <c r="G346" s="6" t="inlineStr">
        <is>
          <t>Pulses</t>
        </is>
      </c>
      <c r="H346" s="6" t="inlineStr">
        <is>
          <t>yes</t>
        </is>
      </c>
      <c r="I346" s="6" t="inlineStr">
        <is>
          <t>Plant-based core</t>
        </is>
      </c>
      <c r="J346" s="6" t="inlineStr">
        <is>
          <t>A</t>
        </is>
      </c>
      <c r="K346" s="6" t="inlineStr">
        <is>
          <t>All ingredients on one side</t>
        </is>
      </c>
      <c r="L346" s="6" t="n">
        <v>7.3</v>
      </c>
      <c r="M346" s="6" t="inlineStr">
        <is>
          <t>Declared by the retailer</t>
        </is>
      </c>
      <c r="N346" s="6" t="n">
        <v>7.3</v>
      </c>
      <c r="O346" s="6" t="n">
        <v>0</v>
      </c>
      <c r="P346" s="6" t="inlineStr">
        <is>
          <t>yes</t>
        </is>
      </c>
      <c r="Q346" s="6" t="inlineStr">
        <is>
          <t>whole</t>
        </is>
      </c>
      <c r="R346" s="6" t="inlineStr">
        <is>
          <t>FG1</t>
        </is>
      </c>
      <c r="S346" s="6" t="inlineStr">
        <is>
          <t>pulses</t>
        </is>
      </c>
      <c r="T346" s="6" t="inlineStr">
        <is>
          <t>plant</t>
        </is>
      </c>
      <c r="U346" s="6" t="n"/>
      <c r="V346" s="6" t="n"/>
      <c r="W346" s="6" t="n">
        <v>1</v>
      </c>
      <c r="X346" s="6" t="n">
        <v>0.41</v>
      </c>
      <c r="Y346" s="6" t="inlineStr">
        <is>
          <t>declared</t>
        </is>
      </c>
      <c r="Z346" s="8" t="n">
        <v>40146</v>
      </c>
      <c r="AA346" s="9">
        <f>IF(H346="yes",Z346*X346,0)</f>
        <v/>
      </c>
      <c r="AB346" s="9">
        <f>IF(H346="yes",AA346*N(L346)/100,0)</f>
        <v/>
      </c>
      <c r="AC346" s="9">
        <f>IF(H346="yes",AA346*N(N346)/100,0)</f>
        <v/>
      </c>
      <c r="AD346" s="9">
        <f>IF(H346="yes",AA346*N(O346)/100,0)</f>
        <v/>
      </c>
      <c r="AE346" s="10">
        <f>IF(P346="yes",AA346/1000,0)</f>
        <v/>
      </c>
      <c r="AF346" s="10">
        <f>IF(R346="FG2",AE346*W346,AE346)</f>
        <v/>
      </c>
    </row>
    <row r="347">
      <c r="A347" s="6" t="inlineStr">
        <is>
          <t>HM00345</t>
        </is>
      </c>
      <c r="B347" s="7" t="inlineStr">
        <is>
          <t>4012345917260</t>
        </is>
      </c>
      <c r="C347" s="6" t="inlineStr">
        <is>
          <t>HM QUARK 250G</t>
        </is>
      </c>
      <c r="D347" s="6" t="inlineStr">
        <is>
          <t>Quark, 250g</t>
        </is>
      </c>
      <c r="E347" s="6" t="inlineStr">
        <is>
          <t>Harbour Market</t>
        </is>
      </c>
      <c r="F347" s="6" t="inlineStr">
        <is>
          <t>Cheese</t>
        </is>
      </c>
      <c r="G347" s="6" t="inlineStr">
        <is>
          <t>Fresh Cheese</t>
        </is>
      </c>
      <c r="H347" s="6" t="inlineStr">
        <is>
          <t>yes</t>
        </is>
      </c>
      <c r="I347" s="6" t="inlineStr">
        <is>
          <t>Animal core</t>
        </is>
      </c>
      <c r="J347" s="6" t="inlineStr">
        <is>
          <t>A</t>
        </is>
      </c>
      <c r="K347" s="6" t="inlineStr">
        <is>
          <t>All ingredients on one side</t>
        </is>
      </c>
      <c r="L347" s="6" t="n">
        <v>12</v>
      </c>
      <c r="M347" s="6" t="inlineStr">
        <is>
          <t>Declared by the retailer</t>
        </is>
      </c>
      <c r="N347" s="6" t="n">
        <v>0</v>
      </c>
      <c r="O347" s="6" t="n">
        <v>12</v>
      </c>
      <c r="P347" s="6" t="inlineStr">
        <is>
          <t>yes</t>
        </is>
      </c>
      <c r="Q347" s="6" t="inlineStr">
        <is>
          <t>whole</t>
        </is>
      </c>
      <c r="R347" s="6" t="inlineStr">
        <is>
          <t>FG2</t>
        </is>
      </c>
      <c r="S347" s="6" t="inlineStr">
        <is>
          <t>dairy</t>
        </is>
      </c>
      <c r="T347" s="6" t="inlineStr">
        <is>
          <t>animal</t>
        </is>
      </c>
      <c r="U347" s="6" t="n"/>
      <c r="V347" s="6" t="n"/>
      <c r="W347" s="6" t="n">
        <v>1</v>
      </c>
      <c r="X347" s="6" t="n">
        <v>0.25</v>
      </c>
      <c r="Y347" s="6" t="inlineStr">
        <is>
          <t>declared</t>
        </is>
      </c>
      <c r="Z347" s="8" t="n">
        <v>15184</v>
      </c>
      <c r="AA347" s="9">
        <f>IF(H347="yes",Z347*X347,0)</f>
        <v/>
      </c>
      <c r="AB347" s="9">
        <f>IF(H347="yes",AA347*N(L347)/100,0)</f>
        <v/>
      </c>
      <c r="AC347" s="9">
        <f>IF(H347="yes",AA347*N(N347)/100,0)</f>
        <v/>
      </c>
      <c r="AD347" s="9">
        <f>IF(H347="yes",AA347*N(O347)/100,0)</f>
        <v/>
      </c>
      <c r="AE347" s="10">
        <f>IF(P347="yes",AA347/1000,0)</f>
        <v/>
      </c>
      <c r="AF347" s="10">
        <f>IF(R347="FG2",AE347*W347,AE347)</f>
        <v/>
      </c>
    </row>
    <row r="348">
      <c r="A348" s="6" t="inlineStr">
        <is>
          <t>HM00346</t>
        </is>
      </c>
      <c r="B348" s="7" t="inlineStr">
        <is>
          <t>3012345001458</t>
        </is>
      </c>
      <c r="C348" s="6" t="inlineStr">
        <is>
          <t>KESTREL TUNA CHUNKS BRINE 4X110G</t>
        </is>
      </c>
      <c r="D348" s="6" t="inlineStr">
        <is>
          <t>Tuna chunks in brine, 4x110g</t>
        </is>
      </c>
      <c r="E348" s="6" t="inlineStr">
        <is>
          <t>Kestrel Bay</t>
        </is>
      </c>
      <c r="F348" s="6" t="inlineStr">
        <is>
          <t>Fish &amp; Seafood</t>
        </is>
      </c>
      <c r="G348" s="6" t="inlineStr">
        <is>
          <t>Canned Fish</t>
        </is>
      </c>
      <c r="H348" s="6" t="inlineStr">
        <is>
          <t>yes</t>
        </is>
      </c>
      <c r="I348" s="6" t="inlineStr">
        <is>
          <t>Animal core</t>
        </is>
      </c>
      <c r="J348" s="6" t="inlineStr">
        <is>
          <t>A</t>
        </is>
      </c>
      <c r="K348" s="6" t="inlineStr">
        <is>
          <t>All ingredients on one side</t>
        </is>
      </c>
      <c r="L348" s="6" t="n">
        <v>24.3</v>
      </c>
      <c r="M348" s="6" t="inlineStr">
        <is>
          <t>Declared by the retailer</t>
        </is>
      </c>
      <c r="N348" s="6" t="n">
        <v>0</v>
      </c>
      <c r="O348" s="6" t="n">
        <v>24.3</v>
      </c>
      <c r="P348" s="6" t="inlineStr">
        <is>
          <t>yes</t>
        </is>
      </c>
      <c r="Q348" s="6" t="inlineStr">
        <is>
          <t>whole</t>
        </is>
      </c>
      <c r="R348" s="6" t="inlineStr">
        <is>
          <t>FG1</t>
        </is>
      </c>
      <c r="S348" s="6" t="inlineStr">
        <is>
          <t>fish shellfish</t>
        </is>
      </c>
      <c r="T348" s="6" t="inlineStr">
        <is>
          <t>animal</t>
        </is>
      </c>
      <c r="U348" s="6" t="n"/>
      <c r="V348" s="6" t="n"/>
      <c r="W348" s="6" t="n">
        <v>1</v>
      </c>
      <c r="X348" s="6" t="n">
        <v>0.44</v>
      </c>
      <c r="Y348" s="6" t="inlineStr">
        <is>
          <t>declared</t>
        </is>
      </c>
      <c r="Z348" s="8" t="n">
        <v>23624</v>
      </c>
      <c r="AA348" s="9">
        <f>IF(H348="yes",Z348*X348,0)</f>
        <v/>
      </c>
      <c r="AB348" s="9">
        <f>IF(H348="yes",AA348*N(L348)/100,0)</f>
        <v/>
      </c>
      <c r="AC348" s="9">
        <f>IF(H348="yes",AA348*N(N348)/100,0)</f>
        <v/>
      </c>
      <c r="AD348" s="9">
        <f>IF(H348="yes",AA348*N(O348)/100,0)</f>
        <v/>
      </c>
      <c r="AE348" s="10">
        <f>IF(P348="yes",AA348/1000,0)</f>
        <v/>
      </c>
      <c r="AF348" s="10">
        <f>IF(R348="FG2",AE348*W348,AE348)</f>
        <v/>
      </c>
    </row>
    <row r="349">
      <c r="A349" s="6" t="inlineStr">
        <is>
          <t>HM00347</t>
        </is>
      </c>
      <c r="B349" s="7" t="inlineStr">
        <is>
          <t>4012345464030</t>
        </is>
      </c>
      <c r="C349" s="6" t="inlineStr">
        <is>
          <t>HM PORK MINCE 4PK 600G</t>
        </is>
      </c>
      <c r="D349" s="6" t="inlineStr">
        <is>
          <t>Pork mince, 4pk 600g</t>
        </is>
      </c>
      <c r="E349" s="6" t="inlineStr">
        <is>
          <t>Harbour Market</t>
        </is>
      </c>
      <c r="F349" s="6" t="inlineStr">
        <is>
          <t>Fresh Meat &amp; Poultry</t>
        </is>
      </c>
      <c r="G349" s="6" t="inlineStr">
        <is>
          <t>Pork</t>
        </is>
      </c>
      <c r="H349" s="6" t="inlineStr">
        <is>
          <t>yes</t>
        </is>
      </c>
      <c r="I349" s="6" t="inlineStr">
        <is>
          <t>Animal core</t>
        </is>
      </c>
      <c r="J349" s="6" t="inlineStr">
        <is>
          <t>B</t>
        </is>
      </c>
      <c r="K349" s="6" t="inlineStr">
        <is>
          <t>Follows the class</t>
        </is>
      </c>
      <c r="L349" s="6" t="n">
        <v>20.1</v>
      </c>
      <c r="M349" s="6" t="inlineStr">
        <is>
          <t>Declared by the retailer</t>
        </is>
      </c>
      <c r="N349" s="6" t="n">
        <v>0</v>
      </c>
      <c r="O349" s="6" t="n">
        <v>20.1</v>
      </c>
      <c r="P349" s="6" t="inlineStr">
        <is>
          <t>yes</t>
        </is>
      </c>
      <c r="Q349" s="6" t="inlineStr">
        <is>
          <t>whole</t>
        </is>
      </c>
      <c r="R349" s="6" t="inlineStr">
        <is>
          <t>FG1</t>
        </is>
      </c>
      <c r="S349" s="6" t="inlineStr">
        <is>
          <t>red meat</t>
        </is>
      </c>
      <c r="T349" s="6" t="inlineStr">
        <is>
          <t>animal</t>
        </is>
      </c>
      <c r="U349" s="6" t="n"/>
      <c r="V349" s="6" t="n"/>
      <c r="W349" s="6" t="n">
        <v>1</v>
      </c>
      <c r="X349" s="6" t="n">
        <v>0.6</v>
      </c>
      <c r="Y349" s="6" t="inlineStr">
        <is>
          <t>declared</t>
        </is>
      </c>
      <c r="Z349" s="8" t="n">
        <v>65730</v>
      </c>
      <c r="AA349" s="9">
        <f>IF(H349="yes",Z349*X349,0)</f>
        <v/>
      </c>
      <c r="AB349" s="9">
        <f>IF(H349="yes",AA349*N(L349)/100,0)</f>
        <v/>
      </c>
      <c r="AC349" s="9">
        <f>IF(H349="yes",AA349*N(N349)/100,0)</f>
        <v/>
      </c>
      <c r="AD349" s="9">
        <f>IF(H349="yes",AA349*N(O349)/100,0)</f>
        <v/>
      </c>
      <c r="AE349" s="10">
        <f>IF(P349="yes",AA349/1000,0)</f>
        <v/>
      </c>
      <c r="AF349" s="10">
        <f>IF(R349="FG2",AE349*W349,AE349)</f>
        <v/>
      </c>
    </row>
    <row r="350">
      <c r="A350" s="6" t="inlineStr">
        <is>
          <t>HM00348</t>
        </is>
      </c>
      <c r="B350" s="7" t="inlineStr">
        <is>
          <t>3012345455800</t>
        </is>
      </c>
      <c r="C350" s="6" t="inlineStr">
        <is>
          <t>NUT CHOC BARS 4X30G PENROCK</t>
        </is>
      </c>
      <c r="D350" s="6" t="inlineStr">
        <is>
          <t>Nut &amp; dark chocolate bars, 4x30g</t>
        </is>
      </c>
      <c r="E350" s="6" t="inlineStr">
        <is>
          <t>Penrock</t>
        </is>
      </c>
      <c r="F350" s="6" t="inlineStr">
        <is>
          <t>Breakfast &amp; Snacks</t>
        </is>
      </c>
      <c r="G350" s="6" t="inlineStr">
        <is>
          <t>Cereal Bars</t>
        </is>
      </c>
      <c r="H350" s="6" t="inlineStr">
        <is>
          <t>yes</t>
        </is>
      </c>
      <c r="I350" s="6" t="inlineStr">
        <is>
          <t>Plant-based non-core</t>
        </is>
      </c>
      <c r="J350" s="6" t="inlineStr">
        <is>
          <t>A</t>
        </is>
      </c>
      <c r="K350" s="6" t="inlineStr">
        <is>
          <t>All ingredients on one side</t>
        </is>
      </c>
      <c r="L350" s="6" t="n">
        <v>6.2</v>
      </c>
      <c r="M350" s="6" t="inlineStr">
        <is>
          <t>Declared by the retailer</t>
        </is>
      </c>
      <c r="N350" s="6" t="n">
        <v>6.2</v>
      </c>
      <c r="O350" s="6" t="n">
        <v>0</v>
      </c>
      <c r="P350" s="6" t="inlineStr">
        <is>
          <t>yes</t>
        </is>
      </c>
      <c r="Q350" s="6" t="inlineStr">
        <is>
          <t>whole</t>
        </is>
      </c>
      <c r="R350" s="6" t="inlineStr">
        <is>
          <t>FG7</t>
        </is>
      </c>
      <c r="S350" s="6" t="n"/>
      <c r="T350" s="6" t="inlineStr">
        <is>
          <t>plant</t>
        </is>
      </c>
      <c r="U350" s="6" t="n"/>
      <c r="V350" s="6" t="n"/>
      <c r="W350" s="6" t="n">
        <v>1</v>
      </c>
      <c r="X350" s="6" t="n">
        <v>0.12</v>
      </c>
      <c r="Y350" s="6" t="inlineStr">
        <is>
          <t>declared</t>
        </is>
      </c>
      <c r="Z350" s="8" t="n">
        <v>47085</v>
      </c>
      <c r="AA350" s="9">
        <f>IF(H350="yes",Z350*X350,0)</f>
        <v/>
      </c>
      <c r="AB350" s="9">
        <f>IF(H350="yes",AA350*N(L350)/100,0)</f>
        <v/>
      </c>
      <c r="AC350" s="9">
        <f>IF(H350="yes",AA350*N(N350)/100,0)</f>
        <v/>
      </c>
      <c r="AD350" s="9">
        <f>IF(H350="yes",AA350*N(O350)/100,0)</f>
        <v/>
      </c>
      <c r="AE350" s="10">
        <f>IF(P350="yes",AA350/1000,0)</f>
        <v/>
      </c>
      <c r="AF350" s="10">
        <f>IF(R350="FG2",AE350*W350,AE350)</f>
        <v/>
      </c>
    </row>
    <row r="351">
      <c r="A351" s="6" t="inlineStr">
        <is>
          <t>HM00349</t>
        </is>
      </c>
      <c r="B351" s="7" t="inlineStr">
        <is>
          <t>5012345101057</t>
        </is>
      </c>
      <c r="C351" s="6" t="inlineStr">
        <is>
          <t>HM GARDEN PEAS 900G</t>
        </is>
      </c>
      <c r="D351" s="6" t="inlineStr">
        <is>
          <t>Garden peas, 900g</t>
        </is>
      </c>
      <c r="E351" s="6" t="inlineStr">
        <is>
          <t>Harbour Market</t>
        </is>
      </c>
      <c r="F351" s="6" t="inlineStr">
        <is>
          <t>Frozen</t>
        </is>
      </c>
      <c r="G351" s="6" t="inlineStr">
        <is>
          <t>Frozen Vegetables</t>
        </is>
      </c>
      <c r="H351" s="6" t="inlineStr">
        <is>
          <t>yes</t>
        </is>
      </c>
      <c r="I351" s="6" t="inlineStr">
        <is>
          <t>Plant-based core</t>
        </is>
      </c>
      <c r="J351" s="6" t="inlineStr">
        <is>
          <t>A</t>
        </is>
      </c>
      <c r="K351" s="6" t="inlineStr">
        <is>
          <t>All ingredients on one side</t>
        </is>
      </c>
      <c r="L351" s="6" t="n">
        <v>5.2</v>
      </c>
      <c r="M351" s="6" t="inlineStr">
        <is>
          <t>Name match (CIQUAL / NEVO)</t>
        </is>
      </c>
      <c r="N351" s="6" t="n">
        <v>5.2</v>
      </c>
      <c r="O351" s="6" t="n">
        <v>0</v>
      </c>
      <c r="P351" s="6" t="inlineStr">
        <is>
          <t>yes</t>
        </is>
      </c>
      <c r="Q351" s="6" t="inlineStr">
        <is>
          <t>whole</t>
        </is>
      </c>
      <c r="R351" s="6" t="inlineStr">
        <is>
          <t>FG1</t>
        </is>
      </c>
      <c r="S351" s="6" t="inlineStr">
        <is>
          <t>pulses</t>
        </is>
      </c>
      <c r="T351" s="6" t="inlineStr">
        <is>
          <t>plant</t>
        </is>
      </c>
      <c r="U351" s="6" t="n"/>
      <c r="V351" s="6" t="n"/>
      <c r="W351" s="6" t="n">
        <v>1</v>
      </c>
      <c r="X351" s="6" t="n">
        <v>0.9</v>
      </c>
      <c r="Y351" s="6" t="inlineStr">
        <is>
          <t>declared</t>
        </is>
      </c>
      <c r="Z351" s="8" t="n">
        <v>15174</v>
      </c>
      <c r="AA351" s="9">
        <f>IF(H351="yes",Z351*X351,0)</f>
        <v/>
      </c>
      <c r="AB351" s="9">
        <f>IF(H351="yes",AA351*N(L351)/100,0)</f>
        <v/>
      </c>
      <c r="AC351" s="9">
        <f>IF(H351="yes",AA351*N(N351)/100,0)</f>
        <v/>
      </c>
      <c r="AD351" s="9">
        <f>IF(H351="yes",AA351*N(O351)/100,0)</f>
        <v/>
      </c>
      <c r="AE351" s="10">
        <f>IF(P351="yes",AA351/1000,0)</f>
        <v/>
      </c>
      <c r="AF351" s="10">
        <f>IF(R351="FG2",AE351*W351,AE351)</f>
        <v/>
      </c>
    </row>
    <row r="352">
      <c r="A352" s="6" t="inlineStr">
        <is>
          <t>HM00350</t>
        </is>
      </c>
      <c r="B352" s="7" t="inlineStr">
        <is>
          <t>8712345847418</t>
        </is>
      </c>
      <c r="C352" s="6" t="inlineStr">
        <is>
          <t>PLANT SAUSAGES 400G SOLVANE</t>
        </is>
      </c>
      <c r="D352" s="6" t="inlineStr">
        <is>
          <t>Plant-based sausages, 400g</t>
        </is>
      </c>
      <c r="E352" s="6" t="inlineStr">
        <is>
          <t>Solvane</t>
        </is>
      </c>
      <c r="F352" s="6" t="inlineStr">
        <is>
          <t>Plant-Based</t>
        </is>
      </c>
      <c r="G352" s="6" t="inlineStr">
        <is>
          <t>Meat Alternatives</t>
        </is>
      </c>
      <c r="H352" s="6" t="inlineStr">
        <is>
          <t>yes</t>
        </is>
      </c>
      <c r="I352" s="6" t="inlineStr">
        <is>
          <t>Plant-based core</t>
        </is>
      </c>
      <c r="J352" s="6" t="inlineStr">
        <is>
          <t>A</t>
        </is>
      </c>
      <c r="K352" s="6" t="inlineStr">
        <is>
          <t>All ingredients on one side</t>
        </is>
      </c>
      <c r="L352" s="6" t="n">
        <v>16.6</v>
      </c>
      <c r="M352" s="6" t="inlineStr">
        <is>
          <t>Altera reference base</t>
        </is>
      </c>
      <c r="N352" s="6" t="n">
        <v>16.6</v>
      </c>
      <c r="O352" s="6" t="n">
        <v>0</v>
      </c>
      <c r="P352" s="6" t="inlineStr">
        <is>
          <t>yes</t>
        </is>
      </c>
      <c r="Q352" s="6" t="inlineStr">
        <is>
          <t>whole</t>
        </is>
      </c>
      <c r="R352" s="6" t="inlineStr">
        <is>
          <t>FG1</t>
        </is>
      </c>
      <c r="S352" s="6" t="inlineStr">
        <is>
          <t>alternative products</t>
        </is>
      </c>
      <c r="T352" s="6" t="inlineStr">
        <is>
          <t>plant</t>
        </is>
      </c>
      <c r="U352" s="6" t="n"/>
      <c r="V352" s="6" t="n"/>
      <c r="W352" s="6" t="n">
        <v>1</v>
      </c>
      <c r="X352" s="6" t="n">
        <v>0.4</v>
      </c>
      <c r="Y352" s="6" t="inlineStr">
        <is>
          <t>declared</t>
        </is>
      </c>
      <c r="Z352" s="8" t="n">
        <v>33447</v>
      </c>
      <c r="AA352" s="9">
        <f>IF(H352="yes",Z352*X352,0)</f>
        <v/>
      </c>
      <c r="AB352" s="9">
        <f>IF(H352="yes",AA352*N(L352)/100,0)</f>
        <v/>
      </c>
      <c r="AC352" s="9">
        <f>IF(H352="yes",AA352*N(N352)/100,0)</f>
        <v/>
      </c>
      <c r="AD352" s="9">
        <f>IF(H352="yes",AA352*N(O352)/100,0)</f>
        <v/>
      </c>
      <c r="AE352" s="10">
        <f>IF(P352="yes",AA352/1000,0)</f>
        <v/>
      </c>
      <c r="AF352" s="10">
        <f>IF(R352="FG2",AE352*W352,AE352)</f>
        <v/>
      </c>
    </row>
    <row r="353">
      <c r="A353" s="6" t="inlineStr">
        <is>
          <t>HM00351</t>
        </is>
      </c>
      <c r="B353" s="7" t="inlineStr">
        <is>
          <t>5012345916170</t>
        </is>
      </c>
      <c r="C353" s="6" t="inlineStr">
        <is>
          <t>FARFALLE 3KG ORVALIS</t>
        </is>
      </c>
      <c r="D353" s="6" t="inlineStr">
        <is>
          <t>Farfalle, 3kg</t>
        </is>
      </c>
      <c r="E353" s="6" t="inlineStr">
        <is>
          <t>Orvalis</t>
        </is>
      </c>
      <c r="F353" s="6" t="inlineStr">
        <is>
          <t>Grocery</t>
        </is>
      </c>
      <c r="G353" s="6" t="inlineStr">
        <is>
          <t>Pasta</t>
        </is>
      </c>
      <c r="H353" s="6" t="inlineStr">
        <is>
          <t>yes</t>
        </is>
      </c>
      <c r="I353" s="6" t="inlineStr">
        <is>
          <t>Plant-based non-core</t>
        </is>
      </c>
      <c r="J353" s="6" t="inlineStr">
        <is>
          <t>A</t>
        </is>
      </c>
      <c r="K353" s="6" t="inlineStr">
        <is>
          <t>All ingredients on one side</t>
        </is>
      </c>
      <c r="L353" s="6" t="n">
        <v>12.2</v>
      </c>
      <c r="M353" s="6" t="inlineStr">
        <is>
          <t>Open Food Facts, by EAN</t>
        </is>
      </c>
      <c r="N353" s="6" t="n">
        <v>12.2</v>
      </c>
      <c r="O353" s="6" t="n">
        <v>0</v>
      </c>
      <c r="P353" s="6" t="inlineStr">
        <is>
          <t>yes</t>
        </is>
      </c>
      <c r="Q353" s="6" t="inlineStr">
        <is>
          <t>whole</t>
        </is>
      </c>
      <c r="R353" s="6" t="inlineStr">
        <is>
          <t>FG5</t>
        </is>
      </c>
      <c r="S353" s="6" t="inlineStr">
        <is>
          <t>refined grain</t>
        </is>
      </c>
      <c r="T353" s="6" t="inlineStr">
        <is>
          <t>plant</t>
        </is>
      </c>
      <c r="U353" s="6" t="n"/>
      <c r="V353" s="6" t="n"/>
      <c r="W353" s="6" t="n">
        <v>1</v>
      </c>
      <c r="X353" s="6" t="n">
        <v>3</v>
      </c>
      <c r="Y353" s="6" t="inlineStr">
        <is>
          <t>declared</t>
        </is>
      </c>
      <c r="Z353" s="8" t="n">
        <v>32328</v>
      </c>
      <c r="AA353" s="9">
        <f>IF(H353="yes",Z353*X353,0)</f>
        <v/>
      </c>
      <c r="AB353" s="9">
        <f>IF(H353="yes",AA353*N(L353)/100,0)</f>
        <v/>
      </c>
      <c r="AC353" s="9">
        <f>IF(H353="yes",AA353*N(N353)/100,0)</f>
        <v/>
      </c>
      <c r="AD353" s="9">
        <f>IF(H353="yes",AA353*N(O353)/100,0)</f>
        <v/>
      </c>
      <c r="AE353" s="10">
        <f>IF(P353="yes",AA353/1000,0)</f>
        <v/>
      </c>
      <c r="AF353" s="10">
        <f>IF(R353="FG2",AE353*W353,AE353)</f>
        <v/>
      </c>
    </row>
    <row r="354">
      <c r="A354" s="6" t="inlineStr">
        <is>
          <t>HM00352</t>
        </is>
      </c>
      <c r="B354" s="7" t="inlineStr">
        <is>
          <t>8712345040918</t>
        </is>
      </c>
      <c r="C354" s="6" t="inlineStr">
        <is>
          <t>HM GREEN BEANS EACH</t>
        </is>
      </c>
      <c r="D354" s="6" t="inlineStr">
        <is>
          <t>Fine green beans</t>
        </is>
      </c>
      <c r="E354" s="6" t="inlineStr">
        <is>
          <t>Harbour Market</t>
        </is>
      </c>
      <c r="F354" s="6" t="inlineStr">
        <is>
          <t>Fruit &amp; Vegetables</t>
        </is>
      </c>
      <c r="G354" s="6" t="inlineStr">
        <is>
          <t>Vegetables</t>
        </is>
      </c>
      <c r="H354" s="6" t="inlineStr">
        <is>
          <t>yes</t>
        </is>
      </c>
      <c r="I354" s="6" t="inlineStr">
        <is>
          <t>Plant-based non-core</t>
        </is>
      </c>
      <c r="J354" s="6" t="inlineStr">
        <is>
          <t>B</t>
        </is>
      </c>
      <c r="K354" s="6" t="inlineStr">
        <is>
          <t>Follows the class</t>
        </is>
      </c>
      <c r="L354" s="6" t="n">
        <v>1.7</v>
      </c>
      <c r="M354" s="6" t="inlineStr">
        <is>
          <t>Median of the family</t>
        </is>
      </c>
      <c r="N354" s="6" t="n">
        <v>1.7</v>
      </c>
      <c r="O354" s="6" t="n">
        <v>0</v>
      </c>
      <c r="P354" s="6" t="inlineStr">
        <is>
          <t>yes</t>
        </is>
      </c>
      <c r="Q354" s="6" t="inlineStr">
        <is>
          <t>whole</t>
        </is>
      </c>
      <c r="R354" s="6" t="inlineStr">
        <is>
          <t>FG4</t>
        </is>
      </c>
      <c r="S354" s="6" t="n"/>
      <c r="T354" s="6" t="inlineStr">
        <is>
          <t>plant</t>
        </is>
      </c>
      <c r="U354" s="6" t="n"/>
      <c r="V354" s="6" t="n"/>
      <c r="W354" s="6" t="n">
        <v>1</v>
      </c>
      <c r="X354" s="6" t="n">
        <v>0.3</v>
      </c>
      <c r="Y354" s="6" t="inlineStr">
        <is>
          <t>typical_piece</t>
        </is>
      </c>
      <c r="Z354" s="8" t="n">
        <v>29852</v>
      </c>
      <c r="AA354" s="9">
        <f>IF(H354="yes",Z354*X354,0)</f>
        <v/>
      </c>
      <c r="AB354" s="9">
        <f>IF(H354="yes",AA354*N(L354)/100,0)</f>
        <v/>
      </c>
      <c r="AC354" s="9">
        <f>IF(H354="yes",AA354*N(N354)/100,0)</f>
        <v/>
      </c>
      <c r="AD354" s="9">
        <f>IF(H354="yes",AA354*N(O354)/100,0)</f>
        <v/>
      </c>
      <c r="AE354" s="10">
        <f>IF(P354="yes",AA354/1000,0)</f>
        <v/>
      </c>
      <c r="AF354" s="10">
        <f>IF(R354="FG2",AE354*W354,AE354)</f>
        <v/>
      </c>
    </row>
    <row r="355">
      <c r="A355" s="6" t="inlineStr">
        <is>
          <t>HM00353</t>
        </is>
      </c>
      <c r="B355" s="7" t="inlineStr">
        <is>
          <t>4012345797893</t>
        </is>
      </c>
      <c r="C355" s="6" t="inlineStr">
        <is>
          <t>HM GREEN BEANS 500G</t>
        </is>
      </c>
      <c r="D355" s="6" t="inlineStr">
        <is>
          <t>Fine green beans, 500g</t>
        </is>
      </c>
      <c r="E355" s="6" t="inlineStr">
        <is>
          <t>Harbour Market</t>
        </is>
      </c>
      <c r="F355" s="6" t="inlineStr">
        <is>
          <t>Fruit &amp; Vegetables</t>
        </is>
      </c>
      <c r="G355" s="6" t="inlineStr">
        <is>
          <t>Vegetables</t>
        </is>
      </c>
      <c r="H355" s="6" t="inlineStr">
        <is>
          <t>yes</t>
        </is>
      </c>
      <c r="I355" s="6" t="inlineStr">
        <is>
          <t>Plant-based non-core</t>
        </is>
      </c>
      <c r="J355" s="6" t="inlineStr">
        <is>
          <t>B</t>
        </is>
      </c>
      <c r="K355" s="6" t="inlineStr">
        <is>
          <t>Follows the class</t>
        </is>
      </c>
      <c r="L355" s="6" t="n">
        <v>1.9</v>
      </c>
      <c r="M355" s="6" t="inlineStr">
        <is>
          <t>Open Food Facts, by EAN</t>
        </is>
      </c>
      <c r="N355" s="6" t="n">
        <v>1.9</v>
      </c>
      <c r="O355" s="6" t="n">
        <v>0</v>
      </c>
      <c r="P355" s="6" t="inlineStr">
        <is>
          <t>yes</t>
        </is>
      </c>
      <c r="Q355" s="6" t="inlineStr">
        <is>
          <t>whole</t>
        </is>
      </c>
      <c r="R355" s="6" t="inlineStr">
        <is>
          <t>FG4</t>
        </is>
      </c>
      <c r="S355" s="6" t="n"/>
      <c r="T355" s="6" t="inlineStr">
        <is>
          <t>plant</t>
        </is>
      </c>
      <c r="U355" s="6" t="n"/>
      <c r="V355" s="6" t="n"/>
      <c r="W355" s="6" t="n">
        <v>1</v>
      </c>
      <c r="X355" s="6" t="n">
        <v>0.5</v>
      </c>
      <c r="Y355" s="6" t="inlineStr">
        <is>
          <t>declared</t>
        </is>
      </c>
      <c r="Z355" s="8" t="n">
        <v>16010</v>
      </c>
      <c r="AA355" s="9">
        <f>IF(H355="yes",Z355*X355,0)</f>
        <v/>
      </c>
      <c r="AB355" s="9">
        <f>IF(H355="yes",AA355*N(L355)/100,0)</f>
        <v/>
      </c>
      <c r="AC355" s="9">
        <f>IF(H355="yes",AA355*N(N355)/100,0)</f>
        <v/>
      </c>
      <c r="AD355" s="9">
        <f>IF(H355="yes",AA355*N(O355)/100,0)</f>
        <v/>
      </c>
      <c r="AE355" s="10">
        <f>IF(P355="yes",AA355/1000,0)</f>
        <v/>
      </c>
      <c r="AF355" s="10">
        <f>IF(R355="FG2",AE355*W355,AE355)</f>
        <v/>
      </c>
    </row>
    <row r="356">
      <c r="A356" s="6" t="inlineStr">
        <is>
          <t>HM00354</t>
        </is>
      </c>
      <c r="B356" s="7" t="inlineStr">
        <is>
          <t>4012345831306</t>
        </is>
      </c>
      <c r="C356" s="6" t="inlineStr">
        <is>
          <t>ORVALIS ARBORIO RICE 500G</t>
        </is>
      </c>
      <c r="D356" s="6" t="inlineStr">
        <is>
          <t>Arborio rice, 500g</t>
        </is>
      </c>
      <c r="E356" s="6" t="inlineStr">
        <is>
          <t>Orvalis</t>
        </is>
      </c>
      <c r="F356" s="6" t="inlineStr">
        <is>
          <t>Grocery</t>
        </is>
      </c>
      <c r="G356" s="6" t="inlineStr">
        <is>
          <t>Rice &amp; Grains</t>
        </is>
      </c>
      <c r="H356" s="6" t="inlineStr">
        <is>
          <t>yes</t>
        </is>
      </c>
      <c r="I356" s="6" t="inlineStr">
        <is>
          <t>Plant-based non-core</t>
        </is>
      </c>
      <c r="J356" s="6" t="inlineStr">
        <is>
          <t>A</t>
        </is>
      </c>
      <c r="K356" s="6" t="inlineStr">
        <is>
          <t>All ingredients on one side</t>
        </is>
      </c>
      <c r="L356" s="6" t="n">
        <v>7.8</v>
      </c>
      <c r="M356" s="6" t="inlineStr">
        <is>
          <t>Altera reference base</t>
        </is>
      </c>
      <c r="N356" s="6" t="n">
        <v>7.8</v>
      </c>
      <c r="O356" s="6" t="n">
        <v>0</v>
      </c>
      <c r="P356" s="6" t="inlineStr">
        <is>
          <t>yes</t>
        </is>
      </c>
      <c r="Q356" s="6" t="inlineStr">
        <is>
          <t>whole</t>
        </is>
      </c>
      <c r="R356" s="6" t="inlineStr">
        <is>
          <t>FG5</t>
        </is>
      </c>
      <c r="S356" s="6" t="inlineStr">
        <is>
          <t>refined grain</t>
        </is>
      </c>
      <c r="T356" s="6" t="inlineStr">
        <is>
          <t>plant</t>
        </is>
      </c>
      <c r="U356" s="6" t="n"/>
      <c r="V356" s="6" t="n"/>
      <c r="W356" s="6" t="n">
        <v>1</v>
      </c>
      <c r="X356" s="6" t="n">
        <v>0.5</v>
      </c>
      <c r="Y356" s="6" t="inlineStr">
        <is>
          <t>declared</t>
        </is>
      </c>
      <c r="Z356" s="8" t="n">
        <v>42406</v>
      </c>
      <c r="AA356" s="9">
        <f>IF(H356="yes",Z356*X356,0)</f>
        <v/>
      </c>
      <c r="AB356" s="9">
        <f>IF(H356="yes",AA356*N(L356)/100,0)</f>
        <v/>
      </c>
      <c r="AC356" s="9">
        <f>IF(H356="yes",AA356*N(N356)/100,0)</f>
        <v/>
      </c>
      <c r="AD356" s="9">
        <f>IF(H356="yes",AA356*N(O356)/100,0)</f>
        <v/>
      </c>
      <c r="AE356" s="10">
        <f>IF(P356="yes",AA356/1000,0)</f>
        <v/>
      </c>
      <c r="AF356" s="10">
        <f>IF(R356="FG2",AE356*W356,AE356)</f>
        <v/>
      </c>
    </row>
    <row r="357">
      <c r="A357" s="6" t="inlineStr">
        <is>
          <t>HM00355</t>
        </is>
      </c>
      <c r="B357" s="7" t="inlineStr">
        <is>
          <t>5012345170619</t>
        </is>
      </c>
      <c r="C357" s="6" t="inlineStr">
        <is>
          <t>HM TOMATOES VINE 300G</t>
        </is>
      </c>
      <c r="D357" s="6" t="inlineStr">
        <is>
          <t>Vine tomatoes, 300g</t>
        </is>
      </c>
      <c r="E357" s="6" t="inlineStr">
        <is>
          <t>Harbour Market</t>
        </is>
      </c>
      <c r="F357" s="6" t="inlineStr">
        <is>
          <t>Fruit &amp; Vegetables</t>
        </is>
      </c>
      <c r="G357" s="6" t="inlineStr">
        <is>
          <t>Vegetables</t>
        </is>
      </c>
      <c r="H357" s="6" t="inlineStr">
        <is>
          <t>yes</t>
        </is>
      </c>
      <c r="I357" s="6" t="inlineStr">
        <is>
          <t>Plant-based non-core</t>
        </is>
      </c>
      <c r="J357" s="6" t="inlineStr">
        <is>
          <t>B</t>
        </is>
      </c>
      <c r="K357" s="6" t="inlineStr">
        <is>
          <t>Follows the class</t>
        </is>
      </c>
      <c r="L357" s="6" t="n">
        <v>0.92</v>
      </c>
      <c r="M357" s="6" t="inlineStr">
        <is>
          <t>Open Food Facts, by EAN</t>
        </is>
      </c>
      <c r="N357" s="6" t="n">
        <v>0.92</v>
      </c>
      <c r="O357" s="6" t="n">
        <v>0</v>
      </c>
      <c r="P357" s="6" t="inlineStr">
        <is>
          <t>yes</t>
        </is>
      </c>
      <c r="Q357" s="6" t="inlineStr">
        <is>
          <t>whole</t>
        </is>
      </c>
      <c r="R357" s="6" t="inlineStr">
        <is>
          <t>FG4</t>
        </is>
      </c>
      <c r="S357" s="6" t="n"/>
      <c r="T357" s="6" t="inlineStr">
        <is>
          <t>plant</t>
        </is>
      </c>
      <c r="U357" s="6" t="n"/>
      <c r="V357" s="6" t="n"/>
      <c r="W357" s="6" t="n">
        <v>1</v>
      </c>
      <c r="X357" s="6" t="n">
        <v>0.3</v>
      </c>
      <c r="Y357" s="6" t="inlineStr">
        <is>
          <t>declared</t>
        </is>
      </c>
      <c r="Z357" s="8" t="n">
        <v>41859</v>
      </c>
      <c r="AA357" s="9">
        <f>IF(H357="yes",Z357*X357,0)</f>
        <v/>
      </c>
      <c r="AB357" s="9">
        <f>IF(H357="yes",AA357*N(L357)/100,0)</f>
        <v/>
      </c>
      <c r="AC357" s="9">
        <f>IF(H357="yes",AA357*N(N357)/100,0)</f>
        <v/>
      </c>
      <c r="AD357" s="9">
        <f>IF(H357="yes",AA357*N(O357)/100,0)</f>
        <v/>
      </c>
      <c r="AE357" s="10">
        <f>IF(P357="yes",AA357/1000,0)</f>
        <v/>
      </c>
      <c r="AF357" s="10">
        <f>IF(R357="FG2",AE357*W357,AE357)</f>
        <v/>
      </c>
    </row>
    <row r="358">
      <c r="A358" s="6" t="inlineStr">
        <is>
          <t>HM00356</t>
        </is>
      </c>
      <c r="B358" s="7" t="inlineStr">
        <is>
          <t>8712345886998</t>
        </is>
      </c>
      <c r="C358" s="6" t="inlineStr">
        <is>
          <t>HM EGG CRESS SANDWICH XL EACH</t>
        </is>
      </c>
      <c r="D358" s="6" t="inlineStr">
        <is>
          <t>Egg &amp; cress sandwich</t>
        </is>
      </c>
      <c r="E358" s="6" t="inlineStr">
        <is>
          <t>Harbour Market</t>
        </is>
      </c>
      <c r="F358" s="6" t="inlineStr">
        <is>
          <t>Ready Meals</t>
        </is>
      </c>
      <c r="G358" s="6" t="inlineStr">
        <is>
          <t>Sandwiches</t>
        </is>
      </c>
      <c r="H358" s="6" t="inlineStr">
        <is>
          <t>yes</t>
        </is>
      </c>
      <c r="I358" s="6" t="inlineStr">
        <is>
          <t>Animal &amp; plant composite</t>
        </is>
      </c>
      <c r="J358" s="6" t="inlineStr">
        <is>
          <t>B</t>
        </is>
      </c>
      <c r="K358" s="6" t="inlineStr">
        <is>
          <t>50/50 convention</t>
        </is>
      </c>
      <c r="L358" s="6" t="n">
        <v>10.8</v>
      </c>
      <c r="M358" s="6" t="inlineStr">
        <is>
          <t>Median of the family</t>
        </is>
      </c>
      <c r="N358" s="6" t="n">
        <v>5.4</v>
      </c>
      <c r="O358" s="6" t="n">
        <v>5.4</v>
      </c>
      <c r="P358" s="6" t="inlineStr">
        <is>
          <t>yes</t>
        </is>
      </c>
      <c r="Q358" s="6" t="inlineStr">
        <is>
          <t>composite</t>
        </is>
      </c>
      <c r="R358" s="6" t="n"/>
      <c r="S358" s="6" t="n"/>
      <c r="T358" s="6" t="n"/>
      <c r="U358" s="6" t="inlineStr">
        <is>
          <t>vegetarian</t>
        </is>
      </c>
      <c r="V358" s="6" t="n"/>
      <c r="W358" s="6" t="n">
        <v>1</v>
      </c>
      <c r="X358" s="6" t="n">
        <v>0.18</v>
      </c>
      <c r="Y358" s="6" t="inlineStr">
        <is>
          <t>declared</t>
        </is>
      </c>
      <c r="Z358" s="8" t="n">
        <v>17679</v>
      </c>
      <c r="AA358" s="9">
        <f>IF(H358="yes",Z358*X358,0)</f>
        <v/>
      </c>
      <c r="AB358" s="9">
        <f>IF(H358="yes",AA358*N(L358)/100,0)</f>
        <v/>
      </c>
      <c r="AC358" s="9">
        <f>IF(H358="yes",AA358*N(N358)/100,0)</f>
        <v/>
      </c>
      <c r="AD358" s="9">
        <f>IF(H358="yes",AA358*N(O358)/100,0)</f>
        <v/>
      </c>
      <c r="AE358" s="10">
        <f>IF(P358="yes",AA358/1000,0)</f>
        <v/>
      </c>
      <c r="AF358" s="10">
        <f>IF(R358="FG2",AE358*W358,AE358)</f>
        <v/>
      </c>
    </row>
    <row r="359">
      <c r="A359" s="6" t="inlineStr">
        <is>
          <t>HM00357</t>
        </is>
      </c>
      <c r="B359" s="7" t="inlineStr">
        <is>
          <t>4012345068481</t>
        </is>
      </c>
      <c r="C359" s="6" t="inlineStr">
        <is>
          <t>HM STRAWBERRIES 6PK</t>
        </is>
      </c>
      <c r="D359" s="6" t="inlineStr">
        <is>
          <t>Strawberries, 6pk</t>
        </is>
      </c>
      <c r="E359" s="6" t="inlineStr">
        <is>
          <t>Harbour Market</t>
        </is>
      </c>
      <c r="F359" s="6" t="inlineStr">
        <is>
          <t>Fruit &amp; Vegetables</t>
        </is>
      </c>
      <c r="G359" s="6" t="inlineStr">
        <is>
          <t>Fruit</t>
        </is>
      </c>
      <c r="H359" s="6" t="inlineStr">
        <is>
          <t>yes</t>
        </is>
      </c>
      <c r="I359" s="6" t="inlineStr">
        <is>
          <t>Plant-based non-core</t>
        </is>
      </c>
      <c r="J359" s="6" t="inlineStr">
        <is>
          <t>B</t>
        </is>
      </c>
      <c r="K359" s="6" t="inlineStr">
        <is>
          <t>Follows the class</t>
        </is>
      </c>
      <c r="L359" s="6" t="n">
        <v>0.68</v>
      </c>
      <c r="M359" s="6" t="inlineStr">
        <is>
          <t>Median of the family</t>
        </is>
      </c>
      <c r="N359" s="6" t="n">
        <v>0.68</v>
      </c>
      <c r="O359" s="6" t="n">
        <v>0</v>
      </c>
      <c r="P359" s="6" t="inlineStr">
        <is>
          <t>yes</t>
        </is>
      </c>
      <c r="Q359" s="6" t="inlineStr">
        <is>
          <t>whole</t>
        </is>
      </c>
      <c r="R359" s="6" t="inlineStr">
        <is>
          <t>FG4</t>
        </is>
      </c>
      <c r="S359" s="6" t="n"/>
      <c r="T359" s="6" t="inlineStr">
        <is>
          <t>plant</t>
        </is>
      </c>
      <c r="U359" s="6" t="n"/>
      <c r="V359" s="6" t="n"/>
      <c r="W359" s="6" t="n">
        <v>1</v>
      </c>
      <c r="X359" s="6" t="n">
        <v>0.9</v>
      </c>
      <c r="Y359" s="6" t="inlineStr">
        <is>
          <t>declared</t>
        </is>
      </c>
      <c r="Z359" s="8" t="n">
        <v>24177</v>
      </c>
      <c r="AA359" s="9">
        <f>IF(H359="yes",Z359*X359,0)</f>
        <v/>
      </c>
      <c r="AB359" s="9">
        <f>IF(H359="yes",AA359*N(L359)/100,0)</f>
        <v/>
      </c>
      <c r="AC359" s="9">
        <f>IF(H359="yes",AA359*N(N359)/100,0)</f>
        <v/>
      </c>
      <c r="AD359" s="9">
        <f>IF(H359="yes",AA359*N(O359)/100,0)</f>
        <v/>
      </c>
      <c r="AE359" s="10">
        <f>IF(P359="yes",AA359/1000,0)</f>
        <v/>
      </c>
      <c r="AF359" s="10">
        <f>IF(R359="FG2",AE359*W359,AE359)</f>
        <v/>
      </c>
    </row>
    <row r="360">
      <c r="A360" s="6" t="inlineStr">
        <is>
          <t>HM00358</t>
        </is>
      </c>
      <c r="B360" s="7" t="inlineStr">
        <is>
          <t>8712345668419</t>
        </is>
      </c>
      <c r="C360" s="6" t="inlineStr">
        <is>
          <t>ALDERWICK MILD CHEDDAR 10SL 250G</t>
        </is>
      </c>
      <c r="D360" s="6" t="inlineStr">
        <is>
          <t>Mild cheddar, 10sl 250g</t>
        </is>
      </c>
      <c r="E360" s="6" t="inlineStr">
        <is>
          <t>Alderwick</t>
        </is>
      </c>
      <c r="F360" s="6" t="inlineStr">
        <is>
          <t>Cheese</t>
        </is>
      </c>
      <c r="G360" s="6" t="inlineStr">
        <is>
          <t>Hard Cheese</t>
        </is>
      </c>
      <c r="H360" s="6" t="inlineStr">
        <is>
          <t>yes</t>
        </is>
      </c>
      <c r="I360" s="6" t="inlineStr">
        <is>
          <t>Animal core</t>
        </is>
      </c>
      <c r="J360" s="6" t="inlineStr">
        <is>
          <t>A</t>
        </is>
      </c>
      <c r="K360" s="6" t="inlineStr">
        <is>
          <t>All ingredients on one side</t>
        </is>
      </c>
      <c r="L360" s="6" t="n">
        <v>25</v>
      </c>
      <c r="M360" s="6" t="inlineStr">
        <is>
          <t>Declared by the retailer</t>
        </is>
      </c>
      <c r="N360" s="6" t="n">
        <v>0</v>
      </c>
      <c r="O360" s="6" t="n">
        <v>25</v>
      </c>
      <c r="P360" s="6" t="inlineStr">
        <is>
          <t>yes</t>
        </is>
      </c>
      <c r="Q360" s="6" t="inlineStr">
        <is>
          <t>whole</t>
        </is>
      </c>
      <c r="R360" s="6" t="inlineStr">
        <is>
          <t>FG2</t>
        </is>
      </c>
      <c r="S360" s="6" t="inlineStr">
        <is>
          <t>dairy</t>
        </is>
      </c>
      <c r="T360" s="6" t="inlineStr">
        <is>
          <t>animal</t>
        </is>
      </c>
      <c r="U360" s="6" t="n"/>
      <c r="V360" s="6" t="n"/>
      <c r="W360" s="6" t="n">
        <v>10</v>
      </c>
      <c r="X360" s="6" t="n">
        <v>0.25</v>
      </c>
      <c r="Y360" s="6" t="inlineStr">
        <is>
          <t>declared</t>
        </is>
      </c>
      <c r="Z360" s="8" t="n">
        <v>16346</v>
      </c>
      <c r="AA360" s="9">
        <f>IF(H360="yes",Z360*X360,0)</f>
        <v/>
      </c>
      <c r="AB360" s="9">
        <f>IF(H360="yes",AA360*N(L360)/100,0)</f>
        <v/>
      </c>
      <c r="AC360" s="9">
        <f>IF(H360="yes",AA360*N(N360)/100,0)</f>
        <v/>
      </c>
      <c r="AD360" s="9">
        <f>IF(H360="yes",AA360*N(O360)/100,0)</f>
        <v/>
      </c>
      <c r="AE360" s="10">
        <f>IF(P360="yes",AA360/1000,0)</f>
        <v/>
      </c>
      <c r="AF360" s="10">
        <f>IF(R360="FG2",AE360*W360,AE360)</f>
        <v/>
      </c>
    </row>
    <row r="361">
      <c r="A361" s="6" t="inlineStr">
        <is>
          <t>HM00359</t>
        </is>
      </c>
      <c r="B361" s="7" t="inlineStr">
        <is>
          <t>8712345064501</t>
        </is>
      </c>
      <c r="C361" s="6" t="inlineStr">
        <is>
          <t>WHLWHT SPAGHETTI 1KG ORVALIS</t>
        </is>
      </c>
      <c r="D361" s="6" t="inlineStr">
        <is>
          <t>Wholewheat spaghetti, 1kg</t>
        </is>
      </c>
      <c r="E361" s="6" t="inlineStr">
        <is>
          <t>Orvalis</t>
        </is>
      </c>
      <c r="F361" s="6" t="inlineStr">
        <is>
          <t>Grocery</t>
        </is>
      </c>
      <c r="G361" s="6" t="inlineStr">
        <is>
          <t>Pasta</t>
        </is>
      </c>
      <c r="H361" s="6" t="inlineStr">
        <is>
          <t>yes</t>
        </is>
      </c>
      <c r="I361" s="6" t="inlineStr">
        <is>
          <t>Plant-based non-core</t>
        </is>
      </c>
      <c r="J361" s="6" t="inlineStr">
        <is>
          <t>A</t>
        </is>
      </c>
      <c r="K361" s="6" t="inlineStr">
        <is>
          <t>All ingredients on one side</t>
        </is>
      </c>
      <c r="L361" s="6" t="n">
        <v>12.8</v>
      </c>
      <c r="M361" s="6" t="inlineStr">
        <is>
          <t>Declared by the retailer</t>
        </is>
      </c>
      <c r="N361" s="6" t="n">
        <v>12.8</v>
      </c>
      <c r="O361" s="6" t="n">
        <v>0</v>
      </c>
      <c r="P361" s="6" t="inlineStr">
        <is>
          <t>yes</t>
        </is>
      </c>
      <c r="Q361" s="6" t="inlineStr">
        <is>
          <t>whole</t>
        </is>
      </c>
      <c r="R361" s="6" t="inlineStr">
        <is>
          <t>FG5</t>
        </is>
      </c>
      <c r="S361" s="6" t="inlineStr">
        <is>
          <t>whole grain</t>
        </is>
      </c>
      <c r="T361" s="6" t="inlineStr">
        <is>
          <t>plant</t>
        </is>
      </c>
      <c r="U361" s="6" t="n"/>
      <c r="V361" s="6" t="n"/>
      <c r="W361" s="6" t="n">
        <v>1</v>
      </c>
      <c r="X361" s="6" t="n">
        <v>1</v>
      </c>
      <c r="Y361" s="6" t="inlineStr">
        <is>
          <t>declared</t>
        </is>
      </c>
      <c r="Z361" s="8" t="n">
        <v>16052</v>
      </c>
      <c r="AA361" s="9">
        <f>IF(H361="yes",Z361*X361,0)</f>
        <v/>
      </c>
      <c r="AB361" s="9">
        <f>IF(H361="yes",AA361*N(L361)/100,0)</f>
        <v/>
      </c>
      <c r="AC361" s="9">
        <f>IF(H361="yes",AA361*N(N361)/100,0)</f>
        <v/>
      </c>
      <c r="AD361" s="9">
        <f>IF(H361="yes",AA361*N(O361)/100,0)</f>
        <v/>
      </c>
      <c r="AE361" s="10">
        <f>IF(P361="yes",AA361/1000,0)</f>
        <v/>
      </c>
      <c r="AF361" s="10">
        <f>IF(R361="FG2",AE361*W361,AE361)</f>
        <v/>
      </c>
    </row>
    <row r="362">
      <c r="A362" s="6" t="inlineStr">
        <is>
          <t>HM00360</t>
        </is>
      </c>
      <c r="B362" s="7" t="inlineStr">
        <is>
          <t>8712345540203</t>
        </is>
      </c>
      <c r="C362" s="6" t="inlineStr">
        <is>
          <t>ORG FREE RANGE EGGS 12PK TARROW</t>
        </is>
      </c>
      <c r="D362" s="6" t="inlineStr">
        <is>
          <t>Organic free-range eggs, 12pk</t>
        </is>
      </c>
      <c r="E362" s="6" t="inlineStr">
        <is>
          <t>Tarrow Farm</t>
        </is>
      </c>
      <c r="F362" s="6" t="inlineStr">
        <is>
          <t>Dairy &amp; Eggs</t>
        </is>
      </c>
      <c r="G362" s="6" t="inlineStr">
        <is>
          <t>Eggs</t>
        </is>
      </c>
      <c r="H362" s="6" t="inlineStr">
        <is>
          <t>yes</t>
        </is>
      </c>
      <c r="I362" s="6" t="inlineStr">
        <is>
          <t>Animal core</t>
        </is>
      </c>
      <c r="J362" s="6" t="inlineStr">
        <is>
          <t>B</t>
        </is>
      </c>
      <c r="K362" s="6" t="inlineStr">
        <is>
          <t>Follows the class</t>
        </is>
      </c>
      <c r="L362" s="6" t="n">
        <v>13.2</v>
      </c>
      <c r="M362" s="6" t="inlineStr">
        <is>
          <t>Name match (CIQUAL / NEVO)</t>
        </is>
      </c>
      <c r="N362" s="6" t="n">
        <v>0</v>
      </c>
      <c r="O362" s="6" t="n">
        <v>13.2</v>
      </c>
      <c r="P362" s="6" t="inlineStr">
        <is>
          <t>yes</t>
        </is>
      </c>
      <c r="Q362" s="6" t="inlineStr">
        <is>
          <t>whole</t>
        </is>
      </c>
      <c r="R362" s="6" t="inlineStr">
        <is>
          <t>FG1</t>
        </is>
      </c>
      <c r="S362" s="6" t="inlineStr">
        <is>
          <t>eggs</t>
        </is>
      </c>
      <c r="T362" s="6" t="inlineStr">
        <is>
          <t>animal</t>
        </is>
      </c>
      <c r="U362" s="6" t="n"/>
      <c r="V362" s="6" t="n"/>
      <c r="W362" s="6" t="n">
        <v>1</v>
      </c>
      <c r="X362" s="6" t="n">
        <v>0.72</v>
      </c>
      <c r="Y362" s="6" t="inlineStr">
        <is>
          <t>declared</t>
        </is>
      </c>
      <c r="Z362" s="8" t="n">
        <v>42549</v>
      </c>
      <c r="AA362" s="9">
        <f>IF(H362="yes",Z362*X362,0)</f>
        <v/>
      </c>
      <c r="AB362" s="9">
        <f>IF(H362="yes",AA362*N(L362)/100,0)</f>
        <v/>
      </c>
      <c r="AC362" s="9">
        <f>IF(H362="yes",AA362*N(N362)/100,0)</f>
        <v/>
      </c>
      <c r="AD362" s="9">
        <f>IF(H362="yes",AA362*N(O362)/100,0)</f>
        <v/>
      </c>
      <c r="AE362" s="10">
        <f>IF(P362="yes",AA362/1000,0)</f>
        <v/>
      </c>
      <c r="AF362" s="10">
        <f>IF(R362="FG2",AE362*W362,AE362)</f>
        <v/>
      </c>
    </row>
    <row r="363">
      <c r="A363" s="6" t="inlineStr">
        <is>
          <t>HM00361</t>
        </is>
      </c>
      <c r="B363" s="7" t="inlineStr">
        <is>
          <t>5012345854199</t>
        </is>
      </c>
      <c r="C363" s="6" t="inlineStr">
        <is>
          <t>DIGESTIVE BISCUITS 400G BRAMBLECOTE</t>
        </is>
      </c>
      <c r="D363" s="6" t="inlineStr">
        <is>
          <t>Digestive biscuits, 400g</t>
        </is>
      </c>
      <c r="E363" s="6" t="inlineStr">
        <is>
          <t>Bramblecote</t>
        </is>
      </c>
      <c r="F363" s="6" t="inlineStr">
        <is>
          <t>Breakfast &amp; Snacks</t>
        </is>
      </c>
      <c r="G363" s="6" t="inlineStr">
        <is>
          <t>Biscuits</t>
        </is>
      </c>
      <c r="H363" s="6" t="inlineStr">
        <is>
          <t>yes</t>
        </is>
      </c>
      <c r="I363" s="6" t="inlineStr">
        <is>
          <t>Plant-based non-core</t>
        </is>
      </c>
      <c r="J363" s="6" t="inlineStr">
        <is>
          <t>B</t>
        </is>
      </c>
      <c r="K363" s="6" t="inlineStr">
        <is>
          <t>Follows the class</t>
        </is>
      </c>
      <c r="L363" s="6" t="n">
        <v>6.6</v>
      </c>
      <c r="M363" s="6" t="inlineStr">
        <is>
          <t>Declared by the retailer</t>
        </is>
      </c>
      <c r="N363" s="6" t="n">
        <v>6.6</v>
      </c>
      <c r="O363" s="6" t="n">
        <v>0</v>
      </c>
      <c r="P363" s="6" t="inlineStr">
        <is>
          <t>yes</t>
        </is>
      </c>
      <c r="Q363" s="6" t="inlineStr">
        <is>
          <t>whole</t>
        </is>
      </c>
      <c r="R363" s="6" t="inlineStr">
        <is>
          <t>FG7</t>
        </is>
      </c>
      <c r="S363" s="6" t="n"/>
      <c r="T363" s="6" t="inlineStr">
        <is>
          <t>plant</t>
        </is>
      </c>
      <c r="U363" s="6" t="n"/>
      <c r="V363" s="6" t="n"/>
      <c r="W363" s="6" t="n">
        <v>1</v>
      </c>
      <c r="X363" s="6" t="n">
        <v>0.4</v>
      </c>
      <c r="Y363" s="6" t="inlineStr">
        <is>
          <t>declared</t>
        </is>
      </c>
      <c r="Z363" s="8" t="n">
        <v>15484</v>
      </c>
      <c r="AA363" s="9">
        <f>IF(H363="yes",Z363*X363,0)</f>
        <v/>
      </c>
      <c r="AB363" s="9">
        <f>IF(H363="yes",AA363*N(L363)/100,0)</f>
        <v/>
      </c>
      <c r="AC363" s="9">
        <f>IF(H363="yes",AA363*N(N363)/100,0)</f>
        <v/>
      </c>
      <c r="AD363" s="9">
        <f>IF(H363="yes",AA363*N(O363)/100,0)</f>
        <v/>
      </c>
      <c r="AE363" s="10">
        <f>IF(P363="yes",AA363/1000,0)</f>
        <v/>
      </c>
      <c r="AF363" s="10">
        <f>IF(R363="FG2",AE363*W363,AE363)</f>
        <v/>
      </c>
    </row>
    <row r="364">
      <c r="A364" s="6" t="inlineStr">
        <is>
          <t>HM00362</t>
        </is>
      </c>
      <c r="B364" s="7" t="inlineStr">
        <is>
          <t>8712345176662</t>
        </is>
      </c>
      <c r="C364" s="6" t="inlineStr">
        <is>
          <t>HM BRAN FLAKES 1KG</t>
        </is>
      </c>
      <c r="D364" s="6" t="inlineStr">
        <is>
          <t>Bran flakes, 1kg</t>
        </is>
      </c>
      <c r="E364" s="6" t="inlineStr">
        <is>
          <t>Harbour Market</t>
        </is>
      </c>
      <c r="F364" s="6" t="inlineStr">
        <is>
          <t>Breakfast &amp; Snacks</t>
        </is>
      </c>
      <c r="G364" s="6" t="inlineStr">
        <is>
          <t>Cereals</t>
        </is>
      </c>
      <c r="H364" s="6" t="inlineStr">
        <is>
          <t>yes</t>
        </is>
      </c>
      <c r="I364" s="6" t="inlineStr">
        <is>
          <t>Plant-based non-core</t>
        </is>
      </c>
      <c r="J364" s="6" t="inlineStr">
        <is>
          <t>B</t>
        </is>
      </c>
      <c r="K364" s="6" t="inlineStr">
        <is>
          <t>Follows the class</t>
        </is>
      </c>
      <c r="L364" s="6" t="n">
        <v>10.4</v>
      </c>
      <c r="M364" s="6" t="inlineStr">
        <is>
          <t>Declared by the retailer</t>
        </is>
      </c>
      <c r="N364" s="6" t="n">
        <v>10.4</v>
      </c>
      <c r="O364" s="6" t="n">
        <v>0</v>
      </c>
      <c r="P364" s="6" t="inlineStr">
        <is>
          <t>yes</t>
        </is>
      </c>
      <c r="Q364" s="6" t="inlineStr">
        <is>
          <t>whole</t>
        </is>
      </c>
      <c r="R364" s="6" t="inlineStr">
        <is>
          <t>FG5</t>
        </is>
      </c>
      <c r="S364" s="6" t="inlineStr">
        <is>
          <t>whole grain</t>
        </is>
      </c>
      <c r="T364" s="6" t="inlineStr">
        <is>
          <t>plant</t>
        </is>
      </c>
      <c r="U364" s="6" t="n"/>
      <c r="V364" s="6" t="n"/>
      <c r="W364" s="6" t="n">
        <v>1</v>
      </c>
      <c r="X364" s="6" t="n">
        <v>1</v>
      </c>
      <c r="Y364" s="6" t="inlineStr">
        <is>
          <t>declared</t>
        </is>
      </c>
      <c r="Z364" s="8" t="n">
        <v>27365</v>
      </c>
      <c r="AA364" s="9">
        <f>IF(H364="yes",Z364*X364,0)</f>
        <v/>
      </c>
      <c r="AB364" s="9">
        <f>IF(H364="yes",AA364*N(L364)/100,0)</f>
        <v/>
      </c>
      <c r="AC364" s="9">
        <f>IF(H364="yes",AA364*N(N364)/100,0)</f>
        <v/>
      </c>
      <c r="AD364" s="9">
        <f>IF(H364="yes",AA364*N(O364)/100,0)</f>
        <v/>
      </c>
      <c r="AE364" s="10">
        <f>IF(P364="yes",AA364/1000,0)</f>
        <v/>
      </c>
      <c r="AF364" s="10">
        <f>IF(R364="FG2",AE364*W364,AE364)</f>
        <v/>
      </c>
    </row>
    <row r="365">
      <c r="A365" s="6" t="inlineStr">
        <is>
          <t>HM00363</t>
        </is>
      </c>
      <c r="B365" s="7" t="inlineStr">
        <is>
          <t>5012345623382</t>
        </is>
      </c>
      <c r="C365" s="6" t="inlineStr">
        <is>
          <t>TARROW COOKED HAM 400G</t>
        </is>
      </c>
      <c r="D365" s="6" t="inlineStr">
        <is>
          <t>Cooked ham, 400g</t>
        </is>
      </c>
      <c r="E365" s="6" t="inlineStr">
        <is>
          <t>Tarrow Farm</t>
        </is>
      </c>
      <c r="F365" s="6" t="inlineStr">
        <is>
          <t>Deli</t>
        </is>
      </c>
      <c r="G365" s="6" t="inlineStr">
        <is>
          <t>Cooked Meats</t>
        </is>
      </c>
      <c r="H365" s="6" t="inlineStr">
        <is>
          <t>yes</t>
        </is>
      </c>
      <c r="I365" s="6" t="inlineStr">
        <is>
          <t>Animal core</t>
        </is>
      </c>
      <c r="J365" s="6" t="inlineStr">
        <is>
          <t>A</t>
        </is>
      </c>
      <c r="K365" s="6" t="inlineStr">
        <is>
          <t>All ingredients on one side</t>
        </is>
      </c>
      <c r="L365" s="6" t="n">
        <v>18.3</v>
      </c>
      <c r="M365" s="6" t="inlineStr">
        <is>
          <t>Declared by the retailer</t>
        </is>
      </c>
      <c r="N365" s="6" t="n">
        <v>0</v>
      </c>
      <c r="O365" s="6" t="n">
        <v>18.3</v>
      </c>
      <c r="P365" s="6" t="inlineStr">
        <is>
          <t>yes</t>
        </is>
      </c>
      <c r="Q365" s="6" t="inlineStr">
        <is>
          <t>whole</t>
        </is>
      </c>
      <c r="R365" s="6" t="inlineStr">
        <is>
          <t>FG1</t>
        </is>
      </c>
      <c r="S365" s="6" t="inlineStr">
        <is>
          <t>red meat</t>
        </is>
      </c>
      <c r="T365" s="6" t="inlineStr">
        <is>
          <t>animal</t>
        </is>
      </c>
      <c r="U365" s="6" t="n"/>
      <c r="V365" s="6" t="n"/>
      <c r="W365" s="6" t="n">
        <v>1</v>
      </c>
      <c r="X365" s="6" t="n">
        <v>0.4</v>
      </c>
      <c r="Y365" s="6" t="inlineStr">
        <is>
          <t>declared</t>
        </is>
      </c>
      <c r="Z365" s="8" t="n">
        <v>12266</v>
      </c>
      <c r="AA365" s="9">
        <f>IF(H365="yes",Z365*X365,0)</f>
        <v/>
      </c>
      <c r="AB365" s="9">
        <f>IF(H365="yes",AA365*N(L365)/100,0)</f>
        <v/>
      </c>
      <c r="AC365" s="9">
        <f>IF(H365="yes",AA365*N(N365)/100,0)</f>
        <v/>
      </c>
      <c r="AD365" s="9">
        <f>IF(H365="yes",AA365*N(O365)/100,0)</f>
        <v/>
      </c>
      <c r="AE365" s="10">
        <f>IF(P365="yes",AA365/1000,0)</f>
        <v/>
      </c>
      <c r="AF365" s="10">
        <f>IF(R365="FG2",AE365*W365,AE365)</f>
        <v/>
      </c>
    </row>
    <row r="366">
      <c r="A366" s="6" t="inlineStr">
        <is>
          <t>HM00364</t>
        </is>
      </c>
      <c r="B366" s="7" t="inlineStr">
        <is>
          <t>5012345926407</t>
        </is>
      </c>
      <c r="C366" s="6" t="inlineStr">
        <is>
          <t>HM COCONUT YOG ALT 4X125G</t>
        </is>
      </c>
      <c r="D366" s="6" t="inlineStr">
        <is>
          <t>Coconut yoghurt alternative, 4x125g</t>
        </is>
      </c>
      <c r="E366" s="6" t="inlineStr">
        <is>
          <t>Harbour Market</t>
        </is>
      </c>
      <c r="F366" s="6" t="inlineStr">
        <is>
          <t>Plant-Based</t>
        </is>
      </c>
      <c r="G366" s="6" t="inlineStr">
        <is>
          <t>Plant Yoghurts</t>
        </is>
      </c>
      <c r="H366" s="6" t="inlineStr">
        <is>
          <t>yes</t>
        </is>
      </c>
      <c r="I366" s="6" t="inlineStr">
        <is>
          <t>Plant-based core</t>
        </is>
      </c>
      <c r="J366" s="6" t="inlineStr">
        <is>
          <t>A</t>
        </is>
      </c>
      <c r="K366" s="6" t="inlineStr">
        <is>
          <t>All ingredients on one side</t>
        </is>
      </c>
      <c r="L366" s="6" t="n">
        <v>0.75</v>
      </c>
      <c r="M366" s="6" t="inlineStr">
        <is>
          <t>Altera reference base</t>
        </is>
      </c>
      <c r="N366" s="6" t="n">
        <v>0.75</v>
      </c>
      <c r="O366" s="6" t="n">
        <v>0</v>
      </c>
      <c r="P366" s="6" t="inlineStr">
        <is>
          <t>yes</t>
        </is>
      </c>
      <c r="Q366" s="6" t="inlineStr">
        <is>
          <t>whole</t>
        </is>
      </c>
      <c r="R366" s="6" t="inlineStr">
        <is>
          <t>FG2</t>
        </is>
      </c>
      <c r="S366" s="6" t="inlineStr">
        <is>
          <t>dairy alternatives</t>
        </is>
      </c>
      <c r="T366" s="6" t="inlineStr">
        <is>
          <t>plant</t>
        </is>
      </c>
      <c r="U366" s="6" t="n"/>
      <c r="V366" s="6" t="n"/>
      <c r="W366" s="6" t="n">
        <v>1</v>
      </c>
      <c r="X366" s="6" t="n">
        <v>0.5</v>
      </c>
      <c r="Y366" s="6" t="inlineStr">
        <is>
          <t>label</t>
        </is>
      </c>
      <c r="Z366" s="8" t="n">
        <v>27809</v>
      </c>
      <c r="AA366" s="9">
        <f>IF(H366="yes",Z366*X366,0)</f>
        <v/>
      </c>
      <c r="AB366" s="9">
        <f>IF(H366="yes",AA366*N(L366)/100,0)</f>
        <v/>
      </c>
      <c r="AC366" s="9">
        <f>IF(H366="yes",AA366*N(N366)/100,0)</f>
        <v/>
      </c>
      <c r="AD366" s="9">
        <f>IF(H366="yes",AA366*N(O366)/100,0)</f>
        <v/>
      </c>
      <c r="AE366" s="10">
        <f>IF(P366="yes",AA366/1000,0)</f>
        <v/>
      </c>
      <c r="AF366" s="10">
        <f>IF(R366="FG2",AE366*W366,AE366)</f>
        <v/>
      </c>
    </row>
    <row r="367">
      <c r="A367" s="6" t="inlineStr">
        <is>
          <t>HM00365</t>
        </is>
      </c>
      <c r="B367" s="7" t="inlineStr">
        <is>
          <t>3012345470636</t>
        </is>
      </c>
      <c r="C367" s="6" t="inlineStr">
        <is>
          <t>HM SCAMPI 4PK 440G</t>
        </is>
      </c>
      <c r="D367" s="6" t="inlineStr">
        <is>
          <t>Breaded scampi, 4pk 440g</t>
        </is>
      </c>
      <c r="E367" s="6" t="inlineStr">
        <is>
          <t>Harbour Market</t>
        </is>
      </c>
      <c r="F367" s="6" t="inlineStr">
        <is>
          <t>Frozen</t>
        </is>
      </c>
      <c r="G367" s="6" t="inlineStr">
        <is>
          <t>Frozen Fish</t>
        </is>
      </c>
      <c r="H367" s="6" t="inlineStr">
        <is>
          <t>yes</t>
        </is>
      </c>
      <c r="I367" s="6" t="inlineStr">
        <is>
          <t>Animal core</t>
        </is>
      </c>
      <c r="J367" s="6" t="inlineStr">
        <is>
          <t>B</t>
        </is>
      </c>
      <c r="K367" s="6" t="inlineStr">
        <is>
          <t>First ingredient (step 4a)</t>
        </is>
      </c>
      <c r="L367" s="6" t="n">
        <v>10.2</v>
      </c>
      <c r="M367" s="6" t="inlineStr">
        <is>
          <t>Declared by the retailer</t>
        </is>
      </c>
      <c r="N367" s="6" t="n">
        <v>0</v>
      </c>
      <c r="O367" s="6" t="n">
        <v>10.2</v>
      </c>
      <c r="P367" s="6" t="inlineStr">
        <is>
          <t>yes</t>
        </is>
      </c>
      <c r="Q367" s="6" t="inlineStr">
        <is>
          <t>whole</t>
        </is>
      </c>
      <c r="R367" s="6" t="inlineStr">
        <is>
          <t>FG1</t>
        </is>
      </c>
      <c r="S367" s="6" t="inlineStr">
        <is>
          <t>fish shellfish</t>
        </is>
      </c>
      <c r="T367" s="6" t="inlineStr">
        <is>
          <t>animal</t>
        </is>
      </c>
      <c r="U367" s="6" t="n"/>
      <c r="V367" s="6" t="n"/>
      <c r="W367" s="6" t="n">
        <v>1</v>
      </c>
      <c r="X367" s="6" t="n">
        <v>0.44</v>
      </c>
      <c r="Y367" s="6" t="inlineStr">
        <is>
          <t>declared</t>
        </is>
      </c>
      <c r="Z367" s="8" t="n">
        <v>6823</v>
      </c>
      <c r="AA367" s="9">
        <f>IF(H367="yes",Z367*X367,0)</f>
        <v/>
      </c>
      <c r="AB367" s="9">
        <f>IF(H367="yes",AA367*N(L367)/100,0)</f>
        <v/>
      </c>
      <c r="AC367" s="9">
        <f>IF(H367="yes",AA367*N(N367)/100,0)</f>
        <v/>
      </c>
      <c r="AD367" s="9">
        <f>IF(H367="yes",AA367*N(O367)/100,0)</f>
        <v/>
      </c>
      <c r="AE367" s="10">
        <f>IF(P367="yes",AA367/1000,0)</f>
        <v/>
      </c>
      <c r="AF367" s="10">
        <f>IF(R367="FG2",AE367*W367,AE367)</f>
        <v/>
      </c>
    </row>
    <row r="368">
      <c r="A368" s="6" t="inlineStr">
        <is>
          <t>HM00366</t>
        </is>
      </c>
      <c r="B368" s="7" t="inlineStr">
        <is>
          <t>8712345151058</t>
        </is>
      </c>
      <c r="C368" s="6" t="inlineStr">
        <is>
          <t>LARGE EGGS 6PK TARROW</t>
        </is>
      </c>
      <c r="D368" s="6" t="inlineStr">
        <is>
          <t>Large eggs, 6pk</t>
        </is>
      </c>
      <c r="E368" s="6" t="inlineStr">
        <is>
          <t>Tarrow Farm</t>
        </is>
      </c>
      <c r="F368" s="6" t="inlineStr">
        <is>
          <t>Dairy &amp; Eggs</t>
        </is>
      </c>
      <c r="G368" s="6" t="inlineStr">
        <is>
          <t>Eggs</t>
        </is>
      </c>
      <c r="H368" s="6" t="inlineStr">
        <is>
          <t>yes</t>
        </is>
      </c>
      <c r="I368" s="6" t="inlineStr">
        <is>
          <t>Animal core</t>
        </is>
      </c>
      <c r="J368" s="6" t="inlineStr">
        <is>
          <t>B</t>
        </is>
      </c>
      <c r="K368" s="6" t="inlineStr">
        <is>
          <t>Follows the class</t>
        </is>
      </c>
      <c r="L368" s="6" t="n">
        <v>12.7</v>
      </c>
      <c r="M368" s="6" t="inlineStr">
        <is>
          <t>Name match (CIQUAL / NEVO)</t>
        </is>
      </c>
      <c r="N368" s="6" t="n">
        <v>0</v>
      </c>
      <c r="O368" s="6" t="n">
        <v>12.7</v>
      </c>
      <c r="P368" s="6" t="inlineStr">
        <is>
          <t>yes</t>
        </is>
      </c>
      <c r="Q368" s="6" t="inlineStr">
        <is>
          <t>whole</t>
        </is>
      </c>
      <c r="R368" s="6" t="inlineStr">
        <is>
          <t>FG1</t>
        </is>
      </c>
      <c r="S368" s="6" t="inlineStr">
        <is>
          <t>eggs</t>
        </is>
      </c>
      <c r="T368" s="6" t="inlineStr">
        <is>
          <t>animal</t>
        </is>
      </c>
      <c r="U368" s="6" t="n"/>
      <c r="V368" s="6" t="n"/>
      <c r="W368" s="6" t="n">
        <v>1</v>
      </c>
      <c r="X368" s="6" t="n">
        <v>0.36</v>
      </c>
      <c r="Y368" s="6" t="inlineStr">
        <is>
          <t>declared</t>
        </is>
      </c>
      <c r="Z368" s="8" t="n">
        <v>65175</v>
      </c>
      <c r="AA368" s="9">
        <f>IF(H368="yes",Z368*X368,0)</f>
        <v/>
      </c>
      <c r="AB368" s="9">
        <f>IF(H368="yes",AA368*N(L368)/100,0)</f>
        <v/>
      </c>
      <c r="AC368" s="9">
        <f>IF(H368="yes",AA368*N(N368)/100,0)</f>
        <v/>
      </c>
      <c r="AD368" s="9">
        <f>IF(H368="yes",AA368*N(O368)/100,0)</f>
        <v/>
      </c>
      <c r="AE368" s="10">
        <f>IF(P368="yes",AA368/1000,0)</f>
        <v/>
      </c>
      <c r="AF368" s="10">
        <f>IF(R368="FG2",AE368*W368,AE368)</f>
        <v/>
      </c>
    </row>
    <row r="369">
      <c r="A369" s="6" t="inlineStr">
        <is>
          <t>HM00367</t>
        </is>
      </c>
      <c r="B369" s="7" t="inlineStr">
        <is>
          <t>5012345224794</t>
        </is>
      </c>
      <c r="C369" s="6" t="inlineStr">
        <is>
          <t>VICTORIA SPONGE 400G BRAMBLECOTE</t>
        </is>
      </c>
      <c r="D369" s="6" t="inlineStr">
        <is>
          <t>Victoria sponge cake, 400g</t>
        </is>
      </c>
      <c r="E369" s="6" t="inlineStr">
        <is>
          <t>Bramblecote</t>
        </is>
      </c>
      <c r="F369" s="6" t="inlineStr">
        <is>
          <t>Bakery</t>
        </is>
      </c>
      <c r="G369" s="6" t="inlineStr">
        <is>
          <t>Cakes</t>
        </is>
      </c>
      <c r="H369" s="6" t="inlineStr">
        <is>
          <t>yes</t>
        </is>
      </c>
      <c r="I369" s="6" t="inlineStr">
        <is>
          <t>Animal &amp; plant composite</t>
        </is>
      </c>
      <c r="J369" s="6" t="inlineStr">
        <is>
          <t>B</t>
        </is>
      </c>
      <c r="K369" s="6" t="inlineStr">
        <is>
          <t>50/50 convention</t>
        </is>
      </c>
      <c r="L369" s="6" t="n">
        <v>5.1</v>
      </c>
      <c r="M369" s="6" t="inlineStr">
        <is>
          <t>Altera reference base</t>
        </is>
      </c>
      <c r="N369" s="6" t="n">
        <v>2.55</v>
      </c>
      <c r="O369" s="6" t="n">
        <v>2.55</v>
      </c>
      <c r="P369" s="6" t="inlineStr">
        <is>
          <t>yes</t>
        </is>
      </c>
      <c r="Q369" s="6" t="inlineStr">
        <is>
          <t>whole</t>
        </is>
      </c>
      <c r="R369" s="6" t="inlineStr">
        <is>
          <t>FG7</t>
        </is>
      </c>
      <c r="S369" s="6" t="n"/>
      <c r="T369" s="6" t="inlineStr">
        <is>
          <t>plant</t>
        </is>
      </c>
      <c r="U369" s="6" t="n"/>
      <c r="V369" s="6" t="n"/>
      <c r="W369" s="6" t="n">
        <v>1</v>
      </c>
      <c r="X369" s="6" t="n">
        <v>0.4</v>
      </c>
      <c r="Y369" s="6" t="inlineStr">
        <is>
          <t>declared</t>
        </is>
      </c>
      <c r="Z369" s="8" t="n">
        <v>17249</v>
      </c>
      <c r="AA369" s="9">
        <f>IF(H369="yes",Z369*X369,0)</f>
        <v/>
      </c>
      <c r="AB369" s="9">
        <f>IF(H369="yes",AA369*N(L369)/100,0)</f>
        <v/>
      </c>
      <c r="AC369" s="9">
        <f>IF(H369="yes",AA369*N(N369)/100,0)</f>
        <v/>
      </c>
      <c r="AD369" s="9">
        <f>IF(H369="yes",AA369*N(O369)/100,0)</f>
        <v/>
      </c>
      <c r="AE369" s="10">
        <f>IF(P369="yes",AA369/1000,0)</f>
        <v/>
      </c>
      <c r="AF369" s="10">
        <f>IF(R369="FG2",AE369*W369,AE369)</f>
        <v/>
      </c>
    </row>
    <row r="370">
      <c r="A370" s="6" t="inlineStr">
        <is>
          <t>HM00368</t>
        </is>
      </c>
      <c r="B370" s="7" t="inlineStr">
        <is>
          <t>8712345176686</t>
        </is>
      </c>
      <c r="C370" s="6" t="inlineStr">
        <is>
          <t>BF MINCE 20% 400G TARROW</t>
        </is>
      </c>
      <c r="D370" s="6" t="inlineStr">
        <is>
          <t>Beef mince, 20% fat, 400g</t>
        </is>
      </c>
      <c r="E370" s="6" t="inlineStr">
        <is>
          <t>Tarrow Farm</t>
        </is>
      </c>
      <c r="F370" s="6" t="inlineStr">
        <is>
          <t>Fresh Meat &amp; Poultry</t>
        </is>
      </c>
      <c r="G370" s="6" t="inlineStr">
        <is>
          <t>Beef</t>
        </is>
      </c>
      <c r="H370" s="6" t="inlineStr">
        <is>
          <t>yes</t>
        </is>
      </c>
      <c r="I370" s="6" t="inlineStr">
        <is>
          <t>Animal core</t>
        </is>
      </c>
      <c r="J370" s="6" t="inlineStr">
        <is>
          <t>A</t>
        </is>
      </c>
      <c r="K370" s="6" t="inlineStr">
        <is>
          <t>All ingredients on one side</t>
        </is>
      </c>
      <c r="L370" s="6" t="n">
        <v>18.4</v>
      </c>
      <c r="M370" s="6" t="inlineStr">
        <is>
          <t>Name match (CIQUAL / NEVO)</t>
        </is>
      </c>
      <c r="N370" s="6" t="n">
        <v>0</v>
      </c>
      <c r="O370" s="6" t="n">
        <v>18.4</v>
      </c>
      <c r="P370" s="6" t="inlineStr">
        <is>
          <t>yes</t>
        </is>
      </c>
      <c r="Q370" s="6" t="inlineStr">
        <is>
          <t>whole</t>
        </is>
      </c>
      <c r="R370" s="6" t="inlineStr">
        <is>
          <t>FG1</t>
        </is>
      </c>
      <c r="S370" s="6" t="inlineStr">
        <is>
          <t>red meat</t>
        </is>
      </c>
      <c r="T370" s="6" t="inlineStr">
        <is>
          <t>animal</t>
        </is>
      </c>
      <c r="U370" s="6" t="n"/>
      <c r="V370" s="6" t="n"/>
      <c r="W370" s="6" t="n">
        <v>1</v>
      </c>
      <c r="X370" s="6" t="n">
        <v>0.4</v>
      </c>
      <c r="Y370" s="6" t="inlineStr">
        <is>
          <t>declared</t>
        </is>
      </c>
      <c r="Z370" s="8" t="n">
        <v>43370</v>
      </c>
      <c r="AA370" s="9">
        <f>IF(H370="yes",Z370*X370,0)</f>
        <v/>
      </c>
      <c r="AB370" s="9">
        <f>IF(H370="yes",AA370*N(L370)/100,0)</f>
        <v/>
      </c>
      <c r="AC370" s="9">
        <f>IF(H370="yes",AA370*N(N370)/100,0)</f>
        <v/>
      </c>
      <c r="AD370" s="9">
        <f>IF(H370="yes",AA370*N(O370)/100,0)</f>
        <v/>
      </c>
      <c r="AE370" s="10">
        <f>IF(P370="yes",AA370/1000,0)</f>
        <v/>
      </c>
      <c r="AF370" s="10">
        <f>IF(R370="FG2",AE370*W370,AE370)</f>
        <v/>
      </c>
    </row>
    <row r="371">
      <c r="A371" s="6" t="inlineStr">
        <is>
          <t>HM00369</t>
        </is>
      </c>
      <c r="B371" s="7" t="inlineStr">
        <is>
          <t>8712345191122</t>
        </is>
      </c>
      <c r="C371" s="6" t="inlineStr">
        <is>
          <t>MARLOWE BUTTER SHORTBREAD 300G</t>
        </is>
      </c>
      <c r="D371" s="6" t="inlineStr">
        <is>
          <t>All-butter shortbread, 300g</t>
        </is>
      </c>
      <c r="E371" s="6" t="inlineStr">
        <is>
          <t>Marlowe</t>
        </is>
      </c>
      <c r="F371" s="6" t="inlineStr">
        <is>
          <t>Breakfast &amp; Snacks</t>
        </is>
      </c>
      <c r="G371" s="6" t="inlineStr">
        <is>
          <t>Biscuits</t>
        </is>
      </c>
      <c r="H371" s="6" t="inlineStr">
        <is>
          <t>yes</t>
        </is>
      </c>
      <c r="I371" s="6" t="inlineStr">
        <is>
          <t>Animal &amp; plant composite</t>
        </is>
      </c>
      <c r="J371" s="6" t="inlineStr">
        <is>
          <t>B</t>
        </is>
      </c>
      <c r="K371" s="6" t="inlineStr">
        <is>
          <t>50/50 convention</t>
        </is>
      </c>
      <c r="L371" s="6" t="n">
        <v>6.3</v>
      </c>
      <c r="M371" s="6" t="inlineStr">
        <is>
          <t>Declared by the retailer</t>
        </is>
      </c>
      <c r="N371" s="6" t="n">
        <v>3.15</v>
      </c>
      <c r="O371" s="6" t="n">
        <v>3.15</v>
      </c>
      <c r="P371" s="6" t="inlineStr">
        <is>
          <t>yes</t>
        </is>
      </c>
      <c r="Q371" s="6" t="inlineStr">
        <is>
          <t>whole</t>
        </is>
      </c>
      <c r="R371" s="6" t="inlineStr">
        <is>
          <t>FG7</t>
        </is>
      </c>
      <c r="S371" s="6" t="n"/>
      <c r="T371" s="6" t="inlineStr">
        <is>
          <t>plant</t>
        </is>
      </c>
      <c r="U371" s="6" t="n"/>
      <c r="V371" s="6" t="n"/>
      <c r="W371" s="6" t="n">
        <v>1</v>
      </c>
      <c r="X371" s="6" t="n">
        <v>0.3</v>
      </c>
      <c r="Y371" s="6" t="inlineStr">
        <is>
          <t>declared</t>
        </is>
      </c>
      <c r="Z371" s="8" t="n">
        <v>42315</v>
      </c>
      <c r="AA371" s="9">
        <f>IF(H371="yes",Z371*X371,0)</f>
        <v/>
      </c>
      <c r="AB371" s="9">
        <f>IF(H371="yes",AA371*N(L371)/100,0)</f>
        <v/>
      </c>
      <c r="AC371" s="9">
        <f>IF(H371="yes",AA371*N(N371)/100,0)</f>
        <v/>
      </c>
      <c r="AD371" s="9">
        <f>IF(H371="yes",AA371*N(O371)/100,0)</f>
        <v/>
      </c>
      <c r="AE371" s="10">
        <f>IF(P371="yes",AA371/1000,0)</f>
        <v/>
      </c>
      <c r="AF371" s="10">
        <f>IF(R371="FG2",AE371*W371,AE371)</f>
        <v/>
      </c>
    </row>
    <row r="372">
      <c r="A372" s="6" t="inlineStr">
        <is>
          <t>HM00370</t>
        </is>
      </c>
      <c r="B372" s="7" t="inlineStr">
        <is>
          <t>3012345561594</t>
        </is>
      </c>
      <c r="C372" s="6" t="inlineStr">
        <is>
          <t>HM BF LASAGNE 400G</t>
        </is>
      </c>
      <c r="D372" s="6" t="inlineStr">
        <is>
          <t>Beef lasagne, 400g</t>
        </is>
      </c>
      <c r="E372" s="6" t="inlineStr">
        <is>
          <t>Harbour Market</t>
        </is>
      </c>
      <c r="F372" s="6" t="inlineStr">
        <is>
          <t>Ready Meals</t>
        </is>
      </c>
      <c r="G372" s="6" t="inlineStr">
        <is>
          <t>Ready Meals</t>
        </is>
      </c>
      <c r="H372" s="6" t="inlineStr">
        <is>
          <t>yes</t>
        </is>
      </c>
      <c r="I372" s="6" t="inlineStr">
        <is>
          <t>Animal &amp; plant composite</t>
        </is>
      </c>
      <c r="J372" s="6" t="inlineStr">
        <is>
          <t>A</t>
        </is>
      </c>
      <c r="K372" s="6" t="inlineStr">
        <is>
          <t>NEVO food table (ratio only)</t>
        </is>
      </c>
      <c r="L372" s="6" t="n">
        <v>6.6</v>
      </c>
      <c r="M372" s="6" t="inlineStr">
        <is>
          <t>Name match (CIQUAL / NEVO)</t>
        </is>
      </c>
      <c r="N372" s="6" t="n">
        <v>2.31</v>
      </c>
      <c r="O372" s="6" t="n">
        <v>4.29</v>
      </c>
      <c r="P372" s="6" t="inlineStr">
        <is>
          <t>yes</t>
        </is>
      </c>
      <c r="Q372" s="6" t="inlineStr">
        <is>
          <t>composite</t>
        </is>
      </c>
      <c r="R372" s="6" t="n"/>
      <c r="S372" s="6" t="n"/>
      <c r="T372" s="6" t="n"/>
      <c r="U372" s="6" t="inlineStr">
        <is>
          <t>meat-based</t>
        </is>
      </c>
      <c r="V372" s="6" t="n"/>
      <c r="W372" s="6" t="n">
        <v>1</v>
      </c>
      <c r="X372" s="6" t="n">
        <v>0.4</v>
      </c>
      <c r="Y372" s="6" t="inlineStr">
        <is>
          <t>declared</t>
        </is>
      </c>
      <c r="Z372" s="8" t="n">
        <v>17608</v>
      </c>
      <c r="AA372" s="9">
        <f>IF(H372="yes",Z372*X372,0)</f>
        <v/>
      </c>
      <c r="AB372" s="9">
        <f>IF(H372="yes",AA372*N(L372)/100,0)</f>
        <v/>
      </c>
      <c r="AC372" s="9">
        <f>IF(H372="yes",AA372*N(N372)/100,0)</f>
        <v/>
      </c>
      <c r="AD372" s="9">
        <f>IF(H372="yes",AA372*N(O372)/100,0)</f>
        <v/>
      </c>
      <c r="AE372" s="10">
        <f>IF(P372="yes",AA372/1000,0)</f>
        <v/>
      </c>
      <c r="AF372" s="10">
        <f>IF(R372="FG2",AE372*W372,AE372)</f>
        <v/>
      </c>
    </row>
    <row r="373">
      <c r="A373" s="6" t="inlineStr">
        <is>
          <t>HM00371</t>
        </is>
      </c>
      <c r="B373" s="7" t="inlineStr">
        <is>
          <t>5012345254128</t>
        </is>
      </c>
      <c r="C373" s="6" t="inlineStr">
        <is>
          <t>ORVALIS BROWN BASMATI 500G</t>
        </is>
      </c>
      <c r="D373" s="6" t="inlineStr">
        <is>
          <t>Brown basmati rice, 500g</t>
        </is>
      </c>
      <c r="E373" s="6" t="inlineStr">
        <is>
          <t>Orvalis</t>
        </is>
      </c>
      <c r="F373" s="6" t="inlineStr">
        <is>
          <t>Grocery</t>
        </is>
      </c>
      <c r="G373" s="6" t="inlineStr">
        <is>
          <t>Rice &amp; Grains</t>
        </is>
      </c>
      <c r="H373" s="6" t="inlineStr">
        <is>
          <t>yes</t>
        </is>
      </c>
      <c r="I373" s="6" t="inlineStr">
        <is>
          <t>Plant-based non-core</t>
        </is>
      </c>
      <c r="J373" s="6" t="inlineStr">
        <is>
          <t>A</t>
        </is>
      </c>
      <c r="K373" s="6" t="inlineStr">
        <is>
          <t>All ingredients on one side</t>
        </is>
      </c>
      <c r="L373" s="6" t="n">
        <v>7.6</v>
      </c>
      <c r="M373" s="6" t="inlineStr">
        <is>
          <t>Name match (CIQUAL / NEVO)</t>
        </is>
      </c>
      <c r="N373" s="6" t="n">
        <v>7.6</v>
      </c>
      <c r="O373" s="6" t="n">
        <v>0</v>
      </c>
      <c r="P373" s="6" t="inlineStr">
        <is>
          <t>yes</t>
        </is>
      </c>
      <c r="Q373" s="6" t="inlineStr">
        <is>
          <t>whole</t>
        </is>
      </c>
      <c r="R373" s="6" t="inlineStr">
        <is>
          <t>FG5</t>
        </is>
      </c>
      <c r="S373" s="6" t="inlineStr">
        <is>
          <t>whole grain</t>
        </is>
      </c>
      <c r="T373" s="6" t="inlineStr">
        <is>
          <t>plant</t>
        </is>
      </c>
      <c r="U373" s="6" t="n"/>
      <c r="V373" s="6" t="n"/>
      <c r="W373" s="6" t="n">
        <v>1</v>
      </c>
      <c r="X373" s="6" t="n">
        <v>0.5</v>
      </c>
      <c r="Y373" s="6" t="inlineStr">
        <is>
          <t>label</t>
        </is>
      </c>
      <c r="Z373" s="8" t="n">
        <v>11987</v>
      </c>
      <c r="AA373" s="9">
        <f>IF(H373="yes",Z373*X373,0)</f>
        <v/>
      </c>
      <c r="AB373" s="9">
        <f>IF(H373="yes",AA373*N(L373)/100,0)</f>
        <v/>
      </c>
      <c r="AC373" s="9">
        <f>IF(H373="yes",AA373*N(N373)/100,0)</f>
        <v/>
      </c>
      <c r="AD373" s="9">
        <f>IF(H373="yes",AA373*N(O373)/100,0)</f>
        <v/>
      </c>
      <c r="AE373" s="10">
        <f>IF(P373="yes",AA373/1000,0)</f>
        <v/>
      </c>
      <c r="AF373" s="10">
        <f>IF(R373="FG2",AE373*W373,AE373)</f>
        <v/>
      </c>
    </row>
    <row r="374">
      <c r="A374" s="6" t="inlineStr">
        <is>
          <t>HM00372</t>
        </is>
      </c>
      <c r="B374" s="7" t="inlineStr">
        <is>
          <t>3012345238656</t>
        </is>
      </c>
      <c r="C374" s="6" t="inlineStr">
        <is>
          <t>HM BROCCOLI FLORETS 750G</t>
        </is>
      </c>
      <c r="D374" s="6" t="inlineStr">
        <is>
          <t>Broccoli florets, 750g</t>
        </is>
      </c>
      <c r="E374" s="6" t="inlineStr">
        <is>
          <t>Harbour Market</t>
        </is>
      </c>
      <c r="F374" s="6" t="inlineStr">
        <is>
          <t>Frozen</t>
        </is>
      </c>
      <c r="G374" s="6" t="inlineStr">
        <is>
          <t>Frozen Vegetables</t>
        </is>
      </c>
      <c r="H374" s="6" t="inlineStr">
        <is>
          <t>yes</t>
        </is>
      </c>
      <c r="I374" s="6" t="inlineStr">
        <is>
          <t>Plant-based non-core</t>
        </is>
      </c>
      <c r="J374" s="6" t="inlineStr">
        <is>
          <t>A</t>
        </is>
      </c>
      <c r="K374" s="6" t="inlineStr">
        <is>
          <t>All ingredients on one side</t>
        </is>
      </c>
      <c r="L374" s="6" t="n">
        <v>2.7</v>
      </c>
      <c r="M374" s="6" t="inlineStr">
        <is>
          <t>Declared by the retailer</t>
        </is>
      </c>
      <c r="N374" s="6" t="n">
        <v>2.7</v>
      </c>
      <c r="O374" s="6" t="n">
        <v>0</v>
      </c>
      <c r="P374" s="6" t="inlineStr">
        <is>
          <t>yes</t>
        </is>
      </c>
      <c r="Q374" s="6" t="inlineStr">
        <is>
          <t>whole</t>
        </is>
      </c>
      <c r="R374" s="6" t="inlineStr">
        <is>
          <t>FG4</t>
        </is>
      </c>
      <c r="S374" s="6" t="n"/>
      <c r="T374" s="6" t="inlineStr">
        <is>
          <t>plant</t>
        </is>
      </c>
      <c r="U374" s="6" t="n"/>
      <c r="V374" s="6" t="n"/>
      <c r="W374" s="6" t="n">
        <v>1</v>
      </c>
      <c r="X374" s="6" t="n">
        <v>0.75</v>
      </c>
      <c r="Y374" s="6" t="inlineStr">
        <is>
          <t>label</t>
        </is>
      </c>
      <c r="Z374" s="8" t="n">
        <v>12785</v>
      </c>
      <c r="AA374" s="9">
        <f>IF(H374="yes",Z374*X374,0)</f>
        <v/>
      </c>
      <c r="AB374" s="9">
        <f>IF(H374="yes",AA374*N(L374)/100,0)</f>
        <v/>
      </c>
      <c r="AC374" s="9">
        <f>IF(H374="yes",AA374*N(N374)/100,0)</f>
        <v/>
      </c>
      <c r="AD374" s="9">
        <f>IF(H374="yes",AA374*N(O374)/100,0)</f>
        <v/>
      </c>
      <c r="AE374" s="10">
        <f>IF(P374="yes",AA374/1000,0)</f>
        <v/>
      </c>
      <c r="AF374" s="10">
        <f>IF(R374="FG2",AE374*W374,AE374)</f>
        <v/>
      </c>
    </row>
    <row r="375">
      <c r="A375" s="6" t="inlineStr">
        <is>
          <t>HM00373</t>
        </is>
      </c>
      <c r="B375" s="7" t="inlineStr">
        <is>
          <t>2909687168750</t>
        </is>
      </c>
      <c r="C375" s="6" t="inlineStr">
        <is>
          <t>HM STRAWBERRIES LOOSE</t>
        </is>
      </c>
      <c r="D375" s="6" t="inlineStr">
        <is>
          <t>Strawberries</t>
        </is>
      </c>
      <c r="E375" s="6" t="inlineStr">
        <is>
          <t>Harbour Market</t>
        </is>
      </c>
      <c r="F375" s="6" t="inlineStr">
        <is>
          <t>Fruit &amp; Vegetables</t>
        </is>
      </c>
      <c r="G375" s="6" t="inlineStr">
        <is>
          <t>Fruit</t>
        </is>
      </c>
      <c r="H375" s="6" t="inlineStr">
        <is>
          <t>yes</t>
        </is>
      </c>
      <c r="I375" s="6" t="inlineStr">
        <is>
          <t>Plant-based non-core</t>
        </is>
      </c>
      <c r="J375" s="6" t="inlineStr">
        <is>
          <t>B</t>
        </is>
      </c>
      <c r="K375" s="6" t="inlineStr">
        <is>
          <t>Follows the class</t>
        </is>
      </c>
      <c r="L375" s="6" t="n">
        <v>0.67</v>
      </c>
      <c r="M375" s="6" t="inlineStr">
        <is>
          <t>Name match (CIQUAL / NEVO)</t>
        </is>
      </c>
      <c r="N375" s="6" t="n">
        <v>0.67</v>
      </c>
      <c r="O375" s="6" t="n">
        <v>0</v>
      </c>
      <c r="P375" s="6" t="inlineStr">
        <is>
          <t>yes</t>
        </is>
      </c>
      <c r="Q375" s="6" t="inlineStr">
        <is>
          <t>whole</t>
        </is>
      </c>
      <c r="R375" s="6" t="inlineStr">
        <is>
          <t>FG4</t>
        </is>
      </c>
      <c r="S375" s="6" t="n"/>
      <c r="T375" s="6" t="inlineStr">
        <is>
          <t>plant</t>
        </is>
      </c>
      <c r="U375" s="6" t="n"/>
      <c r="V375" s="6" t="n"/>
      <c r="W375" s="6" t="n">
        <v>1</v>
      </c>
      <c r="X375" s="6" t="n">
        <v>1</v>
      </c>
      <c r="Y375" s="6" t="inlineStr">
        <is>
          <t>variable</t>
        </is>
      </c>
      <c r="Z375" s="8" t="n">
        <v>8005</v>
      </c>
      <c r="AA375" s="9">
        <f>IF(H375="yes",Z375*X375,0)</f>
        <v/>
      </c>
      <c r="AB375" s="9">
        <f>IF(H375="yes",AA375*N(L375)/100,0)</f>
        <v/>
      </c>
      <c r="AC375" s="9">
        <f>IF(H375="yes",AA375*N(N375)/100,0)</f>
        <v/>
      </c>
      <c r="AD375" s="9">
        <f>IF(H375="yes",AA375*N(O375)/100,0)</f>
        <v/>
      </c>
      <c r="AE375" s="10">
        <f>IF(P375="yes",AA375/1000,0)</f>
        <v/>
      </c>
      <c r="AF375" s="10">
        <f>IF(R375="FG2",AE375*W375,AE375)</f>
        <v/>
      </c>
    </row>
    <row r="376">
      <c r="A376" s="6" t="inlineStr">
        <is>
          <t>HM00374</t>
        </is>
      </c>
      <c r="B376" s="7" t="inlineStr">
        <is>
          <t>8712345993061</t>
        </is>
      </c>
      <c r="C376" s="6" t="inlineStr">
        <is>
          <t>SALAMI MILANO 70G CASTELNA</t>
        </is>
      </c>
      <c r="D376" s="6" t="inlineStr">
        <is>
          <t>Milano salami, 70g</t>
        </is>
      </c>
      <c r="E376" s="6" t="inlineStr">
        <is>
          <t>Castelna</t>
        </is>
      </c>
      <c r="F376" s="6" t="inlineStr">
        <is>
          <t>Deli</t>
        </is>
      </c>
      <c r="G376" s="6" t="inlineStr">
        <is>
          <t>Cured Meats</t>
        </is>
      </c>
      <c r="H376" s="6" t="inlineStr">
        <is>
          <t>yes</t>
        </is>
      </c>
      <c r="I376" s="6" t="inlineStr">
        <is>
          <t>Animal core</t>
        </is>
      </c>
      <c r="J376" s="6" t="inlineStr">
        <is>
          <t>B</t>
        </is>
      </c>
      <c r="K376" s="6" t="inlineStr">
        <is>
          <t>Follows the class</t>
        </is>
      </c>
      <c r="L376" s="6" t="n">
        <v>23.4</v>
      </c>
      <c r="M376" s="6" t="inlineStr">
        <is>
          <t>Declared by the retailer</t>
        </is>
      </c>
      <c r="N376" s="6" t="n">
        <v>0</v>
      </c>
      <c r="O376" s="6" t="n">
        <v>23.4</v>
      </c>
      <c r="P376" s="6" t="inlineStr">
        <is>
          <t>yes</t>
        </is>
      </c>
      <c r="Q376" s="6" t="inlineStr">
        <is>
          <t>whole</t>
        </is>
      </c>
      <c r="R376" s="6" t="inlineStr">
        <is>
          <t>FG1</t>
        </is>
      </c>
      <c r="S376" s="6" t="inlineStr">
        <is>
          <t>red meat</t>
        </is>
      </c>
      <c r="T376" s="6" t="inlineStr">
        <is>
          <t>animal</t>
        </is>
      </c>
      <c r="U376" s="6" t="n"/>
      <c r="V376" s="6" t="n"/>
      <c r="W376" s="6" t="n">
        <v>1</v>
      </c>
      <c r="X376" s="6" t="n">
        <v>0.07000000000000001</v>
      </c>
      <c r="Y376" s="6" t="inlineStr">
        <is>
          <t>declared</t>
        </is>
      </c>
      <c r="Z376" s="8" t="n">
        <v>54443</v>
      </c>
      <c r="AA376" s="9">
        <f>IF(H376="yes",Z376*X376,0)</f>
        <v/>
      </c>
      <c r="AB376" s="9">
        <f>IF(H376="yes",AA376*N(L376)/100,0)</f>
        <v/>
      </c>
      <c r="AC376" s="9">
        <f>IF(H376="yes",AA376*N(N376)/100,0)</f>
        <v/>
      </c>
      <c r="AD376" s="9">
        <f>IF(H376="yes",AA376*N(O376)/100,0)</f>
        <v/>
      </c>
      <c r="AE376" s="10">
        <f>IF(P376="yes",AA376/1000,0)</f>
        <v/>
      </c>
      <c r="AF376" s="10">
        <f>IF(R376="FG2",AE376*W376,AE376)</f>
        <v/>
      </c>
    </row>
    <row r="377">
      <c r="A377" s="6" t="inlineStr">
        <is>
          <t>HM00375</t>
        </is>
      </c>
      <c r="B377" s="7" t="inlineStr">
        <is>
          <t>0012345722004</t>
        </is>
      </c>
      <c r="C377" s="6" t="inlineStr">
        <is>
          <t>HM SALAMI MILANO 200G</t>
        </is>
      </c>
      <c r="D377" s="6" t="inlineStr">
        <is>
          <t>Milano salami, 200g</t>
        </is>
      </c>
      <c r="E377" s="6" t="inlineStr">
        <is>
          <t>Harbour Market</t>
        </is>
      </c>
      <c r="F377" s="6" t="inlineStr">
        <is>
          <t>Deli</t>
        </is>
      </c>
      <c r="G377" s="6" t="inlineStr">
        <is>
          <t>Cured Meats</t>
        </is>
      </c>
      <c r="H377" s="6" t="inlineStr">
        <is>
          <t>yes</t>
        </is>
      </c>
      <c r="I377" s="6" t="inlineStr">
        <is>
          <t>Animal core</t>
        </is>
      </c>
      <c r="J377" s="6" t="inlineStr">
        <is>
          <t>A</t>
        </is>
      </c>
      <c r="K377" s="6" t="inlineStr">
        <is>
          <t>All ingredients on one side</t>
        </is>
      </c>
      <c r="L377" s="6" t="n">
        <v>23.1</v>
      </c>
      <c r="M377" s="6" t="inlineStr">
        <is>
          <t>Name match (CIQUAL / NEVO)</t>
        </is>
      </c>
      <c r="N377" s="6" t="n">
        <v>0</v>
      </c>
      <c r="O377" s="6" t="n">
        <v>23.1</v>
      </c>
      <c r="P377" s="6" t="inlineStr">
        <is>
          <t>yes</t>
        </is>
      </c>
      <c r="Q377" s="6" t="inlineStr">
        <is>
          <t>whole</t>
        </is>
      </c>
      <c r="R377" s="6" t="inlineStr">
        <is>
          <t>FG1</t>
        </is>
      </c>
      <c r="S377" s="6" t="inlineStr">
        <is>
          <t>red meat</t>
        </is>
      </c>
      <c r="T377" s="6" t="inlineStr">
        <is>
          <t>animal</t>
        </is>
      </c>
      <c r="U377" s="6" t="n"/>
      <c r="V377" s="6" t="n"/>
      <c r="W377" s="6" t="n">
        <v>1</v>
      </c>
      <c r="X377" s="6" t="n">
        <v>0.2</v>
      </c>
      <c r="Y377" s="6" t="inlineStr">
        <is>
          <t>declared</t>
        </is>
      </c>
      <c r="Z377" s="8" t="n">
        <v>10929</v>
      </c>
      <c r="AA377" s="9">
        <f>IF(H377="yes",Z377*X377,0)</f>
        <v/>
      </c>
      <c r="AB377" s="9">
        <f>IF(H377="yes",AA377*N(L377)/100,0)</f>
        <v/>
      </c>
      <c r="AC377" s="9">
        <f>IF(H377="yes",AA377*N(N377)/100,0)</f>
        <v/>
      </c>
      <c r="AD377" s="9">
        <f>IF(H377="yes",AA377*N(O377)/100,0)</f>
        <v/>
      </c>
      <c r="AE377" s="10">
        <f>IF(P377="yes",AA377/1000,0)</f>
        <v/>
      </c>
      <c r="AF377" s="10">
        <f>IF(R377="FG2",AE377*W377,AE377)</f>
        <v/>
      </c>
    </row>
    <row r="378">
      <c r="A378" s="6" t="inlineStr">
        <is>
          <t>HM00376</t>
        </is>
      </c>
      <c r="B378" s="7" t="inlineStr">
        <is>
          <t>3012345238540</t>
        </is>
      </c>
      <c r="C378" s="6" t="inlineStr">
        <is>
          <t>HM MILK CHOC BUTTONS 200G</t>
        </is>
      </c>
      <c r="D378" s="6" t="inlineStr">
        <is>
          <t>Milk chocolate buttons, 200g</t>
        </is>
      </c>
      <c r="E378" s="6" t="inlineStr">
        <is>
          <t>Harbour Market</t>
        </is>
      </c>
      <c r="F378" s="6" t="inlineStr">
        <is>
          <t>Breakfast &amp; Snacks</t>
        </is>
      </c>
      <c r="G378" s="6" t="inlineStr">
        <is>
          <t>Chocolate</t>
        </is>
      </c>
      <c r="H378" s="6" t="inlineStr">
        <is>
          <t>yes</t>
        </is>
      </c>
      <c r="I378" s="6" t="inlineStr">
        <is>
          <t>Animal &amp; plant composite</t>
        </is>
      </c>
      <c r="J378" s="6" t="inlineStr">
        <is>
          <t>A</t>
        </is>
      </c>
      <c r="K378" s="6" t="inlineStr">
        <is>
          <t>Ingredient list</t>
        </is>
      </c>
      <c r="L378" s="6" t="n">
        <v>7.2</v>
      </c>
      <c r="M378" s="6" t="inlineStr">
        <is>
          <t>Declared by the retailer</t>
        </is>
      </c>
      <c r="N378" s="6" t="n">
        <v>3.31</v>
      </c>
      <c r="O378" s="6" t="n">
        <v>3.89</v>
      </c>
      <c r="P378" s="6" t="inlineStr">
        <is>
          <t>yes</t>
        </is>
      </c>
      <c r="Q378" s="6" t="inlineStr">
        <is>
          <t>whole</t>
        </is>
      </c>
      <c r="R378" s="6" t="inlineStr">
        <is>
          <t>FG7</t>
        </is>
      </c>
      <c r="S378" s="6" t="n"/>
      <c r="T378" s="6" t="inlineStr">
        <is>
          <t>plant</t>
        </is>
      </c>
      <c r="U378" s="6" t="n"/>
      <c r="V378" s="6" t="n"/>
      <c r="W378" s="6" t="n">
        <v>1</v>
      </c>
      <c r="X378" s="6" t="n">
        <v>0.2</v>
      </c>
      <c r="Y378" s="6" t="inlineStr">
        <is>
          <t>declared</t>
        </is>
      </c>
      <c r="Z378" s="8" t="n">
        <v>68277</v>
      </c>
      <c r="AA378" s="9">
        <f>IF(H378="yes",Z378*X378,0)</f>
        <v/>
      </c>
      <c r="AB378" s="9">
        <f>IF(H378="yes",AA378*N(L378)/100,0)</f>
        <v/>
      </c>
      <c r="AC378" s="9">
        <f>IF(H378="yes",AA378*N(N378)/100,0)</f>
        <v/>
      </c>
      <c r="AD378" s="9">
        <f>IF(H378="yes",AA378*N(O378)/100,0)</f>
        <v/>
      </c>
      <c r="AE378" s="10">
        <f>IF(P378="yes",AA378/1000,0)</f>
        <v/>
      </c>
      <c r="AF378" s="10">
        <f>IF(R378="FG2",AE378*W378,AE378)</f>
        <v/>
      </c>
    </row>
    <row r="379">
      <c r="A379" s="6" t="inlineStr">
        <is>
          <t>HM00377</t>
        </is>
      </c>
      <c r="B379" s="7" t="inlineStr">
        <is>
          <t>8712345446161</t>
        </is>
      </c>
      <c r="C379" s="6" t="inlineStr">
        <is>
          <t>BLACK BEANS 400G ORVALIS</t>
        </is>
      </c>
      <c r="D379" s="6" t="inlineStr">
        <is>
          <t>Black beans in water, 400g</t>
        </is>
      </c>
      <c r="E379" s="6" t="inlineStr">
        <is>
          <t>Orvalis</t>
        </is>
      </c>
      <c r="F379" s="6" t="inlineStr">
        <is>
          <t>Grocery</t>
        </is>
      </c>
      <c r="G379" s="6" t="inlineStr">
        <is>
          <t>Pulses</t>
        </is>
      </c>
      <c r="H379" s="6" t="inlineStr">
        <is>
          <t>yes</t>
        </is>
      </c>
      <c r="I379" s="6" t="inlineStr">
        <is>
          <t>Plant-based core</t>
        </is>
      </c>
      <c r="J379" s="6" t="inlineStr">
        <is>
          <t>A</t>
        </is>
      </c>
      <c r="K379" s="6" t="inlineStr">
        <is>
          <t>All ingredients on one side</t>
        </is>
      </c>
      <c r="L379" s="6" t="n">
        <v>7.3</v>
      </c>
      <c r="M379" s="6" t="inlineStr">
        <is>
          <t>Open Food Facts, by EAN</t>
        </is>
      </c>
      <c r="N379" s="6" t="n">
        <v>7.3</v>
      </c>
      <c r="O379" s="6" t="n">
        <v>0</v>
      </c>
      <c r="P379" s="6" t="inlineStr">
        <is>
          <t>yes</t>
        </is>
      </c>
      <c r="Q379" s="6" t="inlineStr">
        <is>
          <t>whole</t>
        </is>
      </c>
      <c r="R379" s="6" t="inlineStr">
        <is>
          <t>FG1</t>
        </is>
      </c>
      <c r="S379" s="6" t="inlineStr">
        <is>
          <t>pulses</t>
        </is>
      </c>
      <c r="T379" s="6" t="inlineStr">
        <is>
          <t>plant</t>
        </is>
      </c>
      <c r="U379" s="6" t="n"/>
      <c r="V379" s="6" t="n"/>
      <c r="W379" s="6" t="n">
        <v>1</v>
      </c>
      <c r="X379" s="6" t="n">
        <v>0.4</v>
      </c>
      <c r="Y379" s="6" t="inlineStr">
        <is>
          <t>declared</t>
        </is>
      </c>
      <c r="Z379" s="8" t="n">
        <v>20129</v>
      </c>
      <c r="AA379" s="9">
        <f>IF(H379="yes",Z379*X379,0)</f>
        <v/>
      </c>
      <c r="AB379" s="9">
        <f>IF(H379="yes",AA379*N(L379)/100,0)</f>
        <v/>
      </c>
      <c r="AC379" s="9">
        <f>IF(H379="yes",AA379*N(N379)/100,0)</f>
        <v/>
      </c>
      <c r="AD379" s="9">
        <f>IF(H379="yes",AA379*N(O379)/100,0)</f>
        <v/>
      </c>
      <c r="AE379" s="10">
        <f>IF(P379="yes",AA379/1000,0)</f>
        <v/>
      </c>
      <c r="AF379" s="10">
        <f>IF(R379="FG2",AE379*W379,AE379)</f>
        <v/>
      </c>
    </row>
    <row r="380">
      <c r="A380" s="6" t="inlineStr">
        <is>
          <t>HM00378</t>
        </is>
      </c>
      <c r="B380" s="7" t="inlineStr">
        <is>
          <t>3012345878289</t>
        </is>
      </c>
      <c r="C380" s="6" t="inlineStr">
        <is>
          <t>ORVALIS EGG LASAGNE SHEETS 500G</t>
        </is>
      </c>
      <c r="D380" s="6" t="inlineStr">
        <is>
          <t>Egg lasagne sheets, 500g</t>
        </is>
      </c>
      <c r="E380" s="6" t="inlineStr">
        <is>
          <t>Orvalis</t>
        </is>
      </c>
      <c r="F380" s="6" t="inlineStr">
        <is>
          <t>Grocery</t>
        </is>
      </c>
      <c r="G380" s="6" t="inlineStr">
        <is>
          <t>Fresh Pasta</t>
        </is>
      </c>
      <c r="H380" s="6" t="inlineStr">
        <is>
          <t>yes</t>
        </is>
      </c>
      <c r="I380" s="6" t="inlineStr">
        <is>
          <t>Animal &amp; plant composite</t>
        </is>
      </c>
      <c r="J380" s="6" t="inlineStr">
        <is>
          <t>A</t>
        </is>
      </c>
      <c r="K380" s="6" t="inlineStr">
        <is>
          <t>Ingredient list</t>
        </is>
      </c>
      <c r="L380" s="6" t="n">
        <v>13.8</v>
      </c>
      <c r="M380" s="6" t="inlineStr">
        <is>
          <t>Declared by the retailer</t>
        </is>
      </c>
      <c r="N380" s="6" t="n">
        <v>10.76</v>
      </c>
      <c r="O380" s="6" t="n">
        <v>3.04</v>
      </c>
      <c r="P380" s="6" t="inlineStr">
        <is>
          <t>yes</t>
        </is>
      </c>
      <c r="Q380" s="6" t="inlineStr">
        <is>
          <t>composite</t>
        </is>
      </c>
      <c r="R380" s="6" t="n"/>
      <c r="S380" s="6" t="n"/>
      <c r="T380" s="6" t="n"/>
      <c r="U380" s="6" t="inlineStr">
        <is>
          <t>vegetarian</t>
        </is>
      </c>
      <c r="V380" s="6" t="n"/>
      <c r="W380" s="6" t="n">
        <v>1</v>
      </c>
      <c r="X380" s="6" t="n">
        <v>0.5</v>
      </c>
      <c r="Y380" s="6" t="inlineStr">
        <is>
          <t>declared</t>
        </is>
      </c>
      <c r="Z380" s="8" t="n">
        <v>4575</v>
      </c>
      <c r="AA380" s="9">
        <f>IF(H380="yes",Z380*X380,0)</f>
        <v/>
      </c>
      <c r="AB380" s="9">
        <f>IF(H380="yes",AA380*N(L380)/100,0)</f>
        <v/>
      </c>
      <c r="AC380" s="9">
        <f>IF(H380="yes",AA380*N(N380)/100,0)</f>
        <v/>
      </c>
      <c r="AD380" s="9">
        <f>IF(H380="yes",AA380*N(O380)/100,0)</f>
        <v/>
      </c>
      <c r="AE380" s="10">
        <f>IF(P380="yes",AA380/1000,0)</f>
        <v/>
      </c>
      <c r="AF380" s="10">
        <f>IF(R380="FG2",AE380*W380,AE380)</f>
        <v/>
      </c>
    </row>
    <row r="381">
      <c r="A381" s="6" t="inlineStr">
        <is>
          <t>HM00379</t>
        </is>
      </c>
      <c r="B381" s="7" t="inlineStr">
        <is>
          <t>5012345268903</t>
        </is>
      </c>
      <c r="C381" s="6" t="inlineStr">
        <is>
          <t>PENROCK SALT VINEGAR CRISPS 200G</t>
        </is>
      </c>
      <c r="D381" s="6" t="inlineStr">
        <is>
          <t>Salt &amp; vinegar crisps, 200g</t>
        </is>
      </c>
      <c r="E381" s="6" t="inlineStr">
        <is>
          <t>Penrock</t>
        </is>
      </c>
      <c r="F381" s="6" t="inlineStr">
        <is>
          <t>Breakfast &amp; Snacks</t>
        </is>
      </c>
      <c r="G381" s="6" t="inlineStr">
        <is>
          <t>Crisps</t>
        </is>
      </c>
      <c r="H381" s="6" t="inlineStr">
        <is>
          <t>yes</t>
        </is>
      </c>
      <c r="I381" s="6" t="inlineStr">
        <is>
          <t>Plant-based non-core</t>
        </is>
      </c>
      <c r="J381" s="6" t="inlineStr">
        <is>
          <t>B</t>
        </is>
      </c>
      <c r="K381" s="6" t="inlineStr">
        <is>
          <t>Follows the class</t>
        </is>
      </c>
      <c r="L381" s="6" t="n">
        <v>5.7</v>
      </c>
      <c r="M381" s="6" t="inlineStr">
        <is>
          <t>Open Food Facts, by EAN</t>
        </is>
      </c>
      <c r="N381" s="6" t="n">
        <v>5.7</v>
      </c>
      <c r="O381" s="6" t="n">
        <v>0</v>
      </c>
      <c r="P381" s="6" t="inlineStr">
        <is>
          <t>yes</t>
        </is>
      </c>
      <c r="Q381" s="6" t="inlineStr">
        <is>
          <t>whole</t>
        </is>
      </c>
      <c r="R381" s="6" t="inlineStr">
        <is>
          <t>FG7</t>
        </is>
      </c>
      <c r="S381" s="6" t="n"/>
      <c r="T381" s="6" t="inlineStr">
        <is>
          <t>plant</t>
        </is>
      </c>
      <c r="U381" s="6" t="n"/>
      <c r="V381" s="6" t="n"/>
      <c r="W381" s="6" t="n">
        <v>1</v>
      </c>
      <c r="X381" s="6" t="n">
        <v>0.2</v>
      </c>
      <c r="Y381" s="6" t="inlineStr">
        <is>
          <t>declared</t>
        </is>
      </c>
      <c r="Z381" s="8" t="n">
        <v>82698</v>
      </c>
      <c r="AA381" s="9">
        <f>IF(H381="yes",Z381*X381,0)</f>
        <v/>
      </c>
      <c r="AB381" s="9">
        <f>IF(H381="yes",AA381*N(L381)/100,0)</f>
        <v/>
      </c>
      <c r="AC381" s="9">
        <f>IF(H381="yes",AA381*N(N381)/100,0)</f>
        <v/>
      </c>
      <c r="AD381" s="9">
        <f>IF(H381="yes",AA381*N(O381)/100,0)</f>
        <v/>
      </c>
      <c r="AE381" s="10">
        <f>IF(P381="yes",AA381/1000,0)</f>
        <v/>
      </c>
      <c r="AF381" s="10">
        <f>IF(R381="FG2",AE381*W381,AE381)</f>
        <v/>
      </c>
    </row>
    <row r="382">
      <c r="A382" s="6" t="inlineStr">
        <is>
          <t>HM00380</t>
        </is>
      </c>
      <c r="B382" s="7" t="inlineStr">
        <is>
          <t>4012345528206</t>
        </is>
      </c>
      <c r="C382" s="6" t="inlineStr">
        <is>
          <t>MARLOWE MILK CHOC BAR 200G</t>
        </is>
      </c>
      <c r="D382" s="6" t="inlineStr">
        <is>
          <t>Milk chocolate bar, 200g</t>
        </is>
      </c>
      <c r="E382" s="6" t="inlineStr">
        <is>
          <t>Marlowe</t>
        </is>
      </c>
      <c r="F382" s="6" t="inlineStr">
        <is>
          <t>Breakfast &amp; Snacks</t>
        </is>
      </c>
      <c r="G382" s="6" t="inlineStr">
        <is>
          <t>Chocolate</t>
        </is>
      </c>
      <c r="H382" s="6" t="inlineStr">
        <is>
          <t>yes</t>
        </is>
      </c>
      <c r="I382" s="6" t="inlineStr">
        <is>
          <t>Animal &amp; plant composite</t>
        </is>
      </c>
      <c r="J382" s="6" t="inlineStr">
        <is>
          <t>A</t>
        </is>
      </c>
      <c r="K382" s="6" t="inlineStr">
        <is>
          <t>Ingredient list</t>
        </is>
      </c>
      <c r="L382" s="6" t="n">
        <v>7.7</v>
      </c>
      <c r="M382" s="6" t="inlineStr">
        <is>
          <t>Declared by the retailer</t>
        </is>
      </c>
      <c r="N382" s="6" t="n">
        <v>3.54</v>
      </c>
      <c r="O382" s="6" t="n">
        <v>4.16</v>
      </c>
      <c r="P382" s="6" t="inlineStr">
        <is>
          <t>yes</t>
        </is>
      </c>
      <c r="Q382" s="6" t="inlineStr">
        <is>
          <t>whole</t>
        </is>
      </c>
      <c r="R382" s="6" t="inlineStr">
        <is>
          <t>FG7</t>
        </is>
      </c>
      <c r="S382" s="6" t="n"/>
      <c r="T382" s="6" t="inlineStr">
        <is>
          <t>plant</t>
        </is>
      </c>
      <c r="U382" s="6" t="n"/>
      <c r="V382" s="6" t="n"/>
      <c r="W382" s="6" t="n">
        <v>1</v>
      </c>
      <c r="X382" s="6" t="n">
        <v>0.2</v>
      </c>
      <c r="Y382" s="6" t="inlineStr">
        <is>
          <t>declared</t>
        </is>
      </c>
      <c r="Z382" s="8" t="n">
        <v>70416</v>
      </c>
      <c r="AA382" s="9">
        <f>IF(H382="yes",Z382*X382,0)</f>
        <v/>
      </c>
      <c r="AB382" s="9">
        <f>IF(H382="yes",AA382*N(L382)/100,0)</f>
        <v/>
      </c>
      <c r="AC382" s="9">
        <f>IF(H382="yes",AA382*N(N382)/100,0)</f>
        <v/>
      </c>
      <c r="AD382" s="9">
        <f>IF(H382="yes",AA382*N(O382)/100,0)</f>
        <v/>
      </c>
      <c r="AE382" s="10">
        <f>IF(P382="yes",AA382/1000,0)</f>
        <v/>
      </c>
      <c r="AF382" s="10">
        <f>IF(R382="FG2",AE382*W382,AE382)</f>
        <v/>
      </c>
    </row>
    <row r="383">
      <c r="A383" s="6" t="inlineStr">
        <is>
          <t>HM00381</t>
        </is>
      </c>
      <c r="B383" s="7" t="inlineStr">
        <is>
          <t>8712345635824</t>
        </is>
      </c>
      <c r="C383" s="6" t="inlineStr">
        <is>
          <t>HM RED LEICESTER 800G</t>
        </is>
      </c>
      <c r="D383" s="6" t="inlineStr">
        <is>
          <t>Red Leicester, 800g</t>
        </is>
      </c>
      <c r="E383" s="6" t="inlineStr">
        <is>
          <t>Harbour Market</t>
        </is>
      </c>
      <c r="F383" s="6" t="inlineStr">
        <is>
          <t>Cheese</t>
        </is>
      </c>
      <c r="G383" s="6" t="inlineStr">
        <is>
          <t>Hard Cheese</t>
        </is>
      </c>
      <c r="H383" s="6" t="inlineStr">
        <is>
          <t>yes</t>
        </is>
      </c>
      <c r="I383" s="6" t="inlineStr">
        <is>
          <t>Animal core</t>
        </is>
      </c>
      <c r="J383" s="6" t="inlineStr">
        <is>
          <t>A</t>
        </is>
      </c>
      <c r="K383" s="6" t="inlineStr">
        <is>
          <t>All ingredients on one side</t>
        </is>
      </c>
      <c r="L383" s="6" t="n">
        <v>25.8</v>
      </c>
      <c r="M383" s="6" t="inlineStr">
        <is>
          <t>Name match (CIQUAL / NEVO)</t>
        </is>
      </c>
      <c r="N383" s="6" t="n">
        <v>0</v>
      </c>
      <c r="O383" s="6" t="n">
        <v>25.8</v>
      </c>
      <c r="P383" s="6" t="inlineStr">
        <is>
          <t>yes</t>
        </is>
      </c>
      <c r="Q383" s="6" t="inlineStr">
        <is>
          <t>whole</t>
        </is>
      </c>
      <c r="R383" s="6" t="inlineStr">
        <is>
          <t>FG2</t>
        </is>
      </c>
      <c r="S383" s="6" t="inlineStr">
        <is>
          <t>dairy</t>
        </is>
      </c>
      <c r="T383" s="6" t="inlineStr">
        <is>
          <t>animal</t>
        </is>
      </c>
      <c r="U383" s="6" t="n"/>
      <c r="V383" s="6" t="n"/>
      <c r="W383" s="6" t="n">
        <v>10</v>
      </c>
      <c r="X383" s="6" t="n">
        <v>0.8</v>
      </c>
      <c r="Y383" s="6" t="inlineStr">
        <is>
          <t>declared</t>
        </is>
      </c>
      <c r="Z383" s="8" t="n">
        <v>19755</v>
      </c>
      <c r="AA383" s="9">
        <f>IF(H383="yes",Z383*X383,0)</f>
        <v/>
      </c>
      <c r="AB383" s="9">
        <f>IF(H383="yes",AA383*N(L383)/100,0)</f>
        <v/>
      </c>
      <c r="AC383" s="9">
        <f>IF(H383="yes",AA383*N(N383)/100,0)</f>
        <v/>
      </c>
      <c r="AD383" s="9">
        <f>IF(H383="yes",AA383*N(O383)/100,0)</f>
        <v/>
      </c>
      <c r="AE383" s="10">
        <f>IF(P383="yes",AA383/1000,0)</f>
        <v/>
      </c>
      <c r="AF383" s="10">
        <f>IF(R383="FG2",AE383*W383,AE383)</f>
        <v/>
      </c>
    </row>
    <row r="384">
      <c r="A384" s="6" t="inlineStr">
        <is>
          <t>HM00382</t>
        </is>
      </c>
      <c r="B384" s="7" t="inlineStr">
        <is>
          <t>3012345506144</t>
        </is>
      </c>
      <c r="C384" s="6" t="inlineStr">
        <is>
          <t>SARDINES OLV OIL 160G KESTREL</t>
        </is>
      </c>
      <c r="D384" s="6" t="inlineStr">
        <is>
          <t>Sardines in olive oil, 160g</t>
        </is>
      </c>
      <c r="E384" s="6" t="inlineStr">
        <is>
          <t>Kestrel Bay</t>
        </is>
      </c>
      <c r="F384" s="6" t="inlineStr">
        <is>
          <t>Fish &amp; Seafood</t>
        </is>
      </c>
      <c r="G384" s="6" t="inlineStr">
        <is>
          <t>Canned Fish</t>
        </is>
      </c>
      <c r="H384" s="6" t="inlineStr">
        <is>
          <t>yes</t>
        </is>
      </c>
      <c r="I384" s="6" t="inlineStr">
        <is>
          <t>Animal core</t>
        </is>
      </c>
      <c r="J384" s="6" t="inlineStr">
        <is>
          <t>B</t>
        </is>
      </c>
      <c r="K384" s="6" t="inlineStr">
        <is>
          <t>Follows the class</t>
        </is>
      </c>
      <c r="L384" s="6" t="n">
        <v>23.6</v>
      </c>
      <c r="M384" s="6" t="inlineStr">
        <is>
          <t>Declared by the retailer</t>
        </is>
      </c>
      <c r="N384" s="6" t="n">
        <v>0</v>
      </c>
      <c r="O384" s="6" t="n">
        <v>23.6</v>
      </c>
      <c r="P384" s="6" t="inlineStr">
        <is>
          <t>yes</t>
        </is>
      </c>
      <c r="Q384" s="6" t="inlineStr">
        <is>
          <t>whole</t>
        </is>
      </c>
      <c r="R384" s="6" t="inlineStr">
        <is>
          <t>FG1</t>
        </is>
      </c>
      <c r="S384" s="6" t="inlineStr">
        <is>
          <t>fish shellfish</t>
        </is>
      </c>
      <c r="T384" s="6" t="inlineStr">
        <is>
          <t>animal</t>
        </is>
      </c>
      <c r="U384" s="6" t="n"/>
      <c r="V384" s="6" t="n"/>
      <c r="W384" s="6" t="n">
        <v>1</v>
      </c>
      <c r="X384" s="6" t="n">
        <v>0.16</v>
      </c>
      <c r="Y384" s="6" t="inlineStr">
        <is>
          <t>label</t>
        </is>
      </c>
      <c r="Z384" s="8" t="n">
        <v>41711</v>
      </c>
      <c r="AA384" s="9">
        <f>IF(H384="yes",Z384*X384,0)</f>
        <v/>
      </c>
      <c r="AB384" s="9">
        <f>IF(H384="yes",AA384*N(L384)/100,0)</f>
        <v/>
      </c>
      <c r="AC384" s="9">
        <f>IF(H384="yes",AA384*N(N384)/100,0)</f>
        <v/>
      </c>
      <c r="AD384" s="9">
        <f>IF(H384="yes",AA384*N(O384)/100,0)</f>
        <v/>
      </c>
      <c r="AE384" s="10">
        <f>IF(P384="yes",AA384/1000,0)</f>
        <v/>
      </c>
      <c r="AF384" s="10">
        <f>IF(R384="FG2",AE384*W384,AE384)</f>
        <v/>
      </c>
    </row>
    <row r="385">
      <c r="A385" s="6" t="inlineStr">
        <is>
          <t>HM00383</t>
        </is>
      </c>
      <c r="B385" s="7" t="inlineStr">
        <is>
          <t>4012345990492</t>
        </is>
      </c>
      <c r="C385" s="6" t="inlineStr">
        <is>
          <t>HM WHOLE MILK 4PT 2.27L</t>
        </is>
      </c>
      <c r="D385" s="6" t="inlineStr">
        <is>
          <t>Whole milk, 4pt 2.27l</t>
        </is>
      </c>
      <c r="E385" s="6" t="inlineStr">
        <is>
          <t>Harbour Market</t>
        </is>
      </c>
      <c r="F385" s="6" t="inlineStr">
        <is>
          <t>Dairy &amp; Eggs</t>
        </is>
      </c>
      <c r="G385" s="6" t="inlineStr">
        <is>
          <t>Milk</t>
        </is>
      </c>
      <c r="H385" s="6" t="inlineStr">
        <is>
          <t>yes</t>
        </is>
      </c>
      <c r="I385" s="6" t="inlineStr">
        <is>
          <t>Animal core</t>
        </is>
      </c>
      <c r="J385" s="6" t="inlineStr">
        <is>
          <t>A</t>
        </is>
      </c>
      <c r="K385" s="6" t="inlineStr">
        <is>
          <t>All ingredients on one side</t>
        </is>
      </c>
      <c r="L385" s="6" t="n">
        <v>3.4</v>
      </c>
      <c r="M385" s="6" t="inlineStr">
        <is>
          <t>Median of the family</t>
        </is>
      </c>
      <c r="N385" s="6" t="n">
        <v>0</v>
      </c>
      <c r="O385" s="6" t="n">
        <v>3.4</v>
      </c>
      <c r="P385" s="6" t="inlineStr">
        <is>
          <t>yes</t>
        </is>
      </c>
      <c r="Q385" s="6" t="inlineStr">
        <is>
          <t>whole</t>
        </is>
      </c>
      <c r="R385" s="6" t="inlineStr">
        <is>
          <t>FG2</t>
        </is>
      </c>
      <c r="S385" s="6" t="inlineStr">
        <is>
          <t>dairy</t>
        </is>
      </c>
      <c r="T385" s="6" t="inlineStr">
        <is>
          <t>animal</t>
        </is>
      </c>
      <c r="U385" s="6" t="n"/>
      <c r="V385" s="6" t="n"/>
      <c r="W385" s="6" t="n">
        <v>1</v>
      </c>
      <c r="X385" s="6" t="n">
        <v>2.34</v>
      </c>
      <c r="Y385" s="6" t="inlineStr">
        <is>
          <t>declared</t>
        </is>
      </c>
      <c r="Z385" s="8" t="n">
        <v>47291</v>
      </c>
      <c r="AA385" s="9">
        <f>IF(H385="yes",Z385*X385,0)</f>
        <v/>
      </c>
      <c r="AB385" s="9">
        <f>IF(H385="yes",AA385*N(L385)/100,0)</f>
        <v/>
      </c>
      <c r="AC385" s="9">
        <f>IF(H385="yes",AA385*N(N385)/100,0)</f>
        <v/>
      </c>
      <c r="AD385" s="9">
        <f>IF(H385="yes",AA385*N(O385)/100,0)</f>
        <v/>
      </c>
      <c r="AE385" s="10">
        <f>IF(P385="yes",AA385/1000,0)</f>
        <v/>
      </c>
      <c r="AF385" s="10">
        <f>IF(R385="FG2",AE385*W385,AE385)</f>
        <v/>
      </c>
    </row>
    <row r="386">
      <c r="A386" s="6" t="inlineStr">
        <is>
          <t>HM00384</t>
        </is>
      </c>
      <c r="B386" s="7" t="inlineStr">
        <is>
          <t>8712345197773</t>
        </is>
      </c>
      <c r="C386" s="6" t="inlineStr">
        <is>
          <t>HM PARMESAN WEDGE 400G</t>
        </is>
      </c>
      <c r="D386" s="6" t="inlineStr">
        <is>
          <t>Parmesan wedge, 400g</t>
        </is>
      </c>
      <c r="E386" s="6" t="inlineStr">
        <is>
          <t>Harbour Market</t>
        </is>
      </c>
      <c r="F386" s="6" t="inlineStr">
        <is>
          <t>Cheese</t>
        </is>
      </c>
      <c r="G386" s="6" t="inlineStr">
        <is>
          <t>Hard Cheese</t>
        </is>
      </c>
      <c r="H386" s="6" t="inlineStr">
        <is>
          <t>yes</t>
        </is>
      </c>
      <c r="I386" s="6" t="inlineStr">
        <is>
          <t>Animal core</t>
        </is>
      </c>
      <c r="J386" s="6" t="inlineStr">
        <is>
          <t>A</t>
        </is>
      </c>
      <c r="K386" s="6" t="inlineStr">
        <is>
          <t>All ingredients on one side</t>
        </is>
      </c>
      <c r="L386" s="6" t="n">
        <v>33.8</v>
      </c>
      <c r="M386" s="6" t="inlineStr">
        <is>
          <t>Median of the family</t>
        </is>
      </c>
      <c r="N386" s="6" t="n">
        <v>0</v>
      </c>
      <c r="O386" s="6" t="n">
        <v>33.8</v>
      </c>
      <c r="P386" s="6" t="inlineStr">
        <is>
          <t>yes</t>
        </is>
      </c>
      <c r="Q386" s="6" t="inlineStr">
        <is>
          <t>whole</t>
        </is>
      </c>
      <c r="R386" s="6" t="inlineStr">
        <is>
          <t>FG2</t>
        </is>
      </c>
      <c r="S386" s="6" t="inlineStr">
        <is>
          <t>dairy</t>
        </is>
      </c>
      <c r="T386" s="6" t="inlineStr">
        <is>
          <t>animal</t>
        </is>
      </c>
      <c r="U386" s="6" t="n"/>
      <c r="V386" s="6" t="n"/>
      <c r="W386" s="6" t="n">
        <v>10</v>
      </c>
      <c r="X386" s="6" t="n">
        <v>0.4</v>
      </c>
      <c r="Y386" s="6" t="inlineStr">
        <is>
          <t>declared</t>
        </is>
      </c>
      <c r="Z386" s="8" t="n">
        <v>6687</v>
      </c>
      <c r="AA386" s="9">
        <f>IF(H386="yes",Z386*X386,0)</f>
        <v/>
      </c>
      <c r="AB386" s="9">
        <f>IF(H386="yes",AA386*N(L386)/100,0)</f>
        <v/>
      </c>
      <c r="AC386" s="9">
        <f>IF(H386="yes",AA386*N(N386)/100,0)</f>
        <v/>
      </c>
      <c r="AD386" s="9">
        <f>IF(H386="yes",AA386*N(O386)/100,0)</f>
        <v/>
      </c>
      <c r="AE386" s="10">
        <f>IF(P386="yes",AA386/1000,0)</f>
        <v/>
      </c>
      <c r="AF386" s="10">
        <f>IF(R386="FG2",AE386*W386,AE386)</f>
        <v/>
      </c>
    </row>
    <row r="387">
      <c r="A387" s="6" t="inlineStr">
        <is>
          <t>HM00385</t>
        </is>
      </c>
      <c r="B387" s="7" t="inlineStr">
        <is>
          <t>3012345972864</t>
        </is>
      </c>
      <c r="C387" s="6" t="inlineStr">
        <is>
          <t>TORTILLA WRAPS 6PK 360G BRAMBLECOTE</t>
        </is>
      </c>
      <c r="D387" s="6" t="inlineStr">
        <is>
          <t>Plain tortilla wraps, 6pk 360g</t>
        </is>
      </c>
      <c r="E387" s="6" t="inlineStr">
        <is>
          <t>Bramblecote</t>
        </is>
      </c>
      <c r="F387" s="6" t="inlineStr">
        <is>
          <t>Bakery</t>
        </is>
      </c>
      <c r="G387" s="6" t="inlineStr">
        <is>
          <t>Bread</t>
        </is>
      </c>
      <c r="H387" s="6" t="inlineStr">
        <is>
          <t>yes</t>
        </is>
      </c>
      <c r="I387" s="6" t="inlineStr">
        <is>
          <t>Plant-based non-core</t>
        </is>
      </c>
      <c r="J387" s="6" t="inlineStr">
        <is>
          <t>A</t>
        </is>
      </c>
      <c r="K387" s="6" t="inlineStr">
        <is>
          <t>All ingredients on one side</t>
        </is>
      </c>
      <c r="L387" s="6" t="n">
        <v>8.4</v>
      </c>
      <c r="M387" s="6" t="inlineStr">
        <is>
          <t>Declared by the retailer</t>
        </is>
      </c>
      <c r="N387" s="6" t="n">
        <v>8.4</v>
      </c>
      <c r="O387" s="6" t="n">
        <v>0</v>
      </c>
      <c r="P387" s="6" t="inlineStr">
        <is>
          <t>yes</t>
        </is>
      </c>
      <c r="Q387" s="6" t="inlineStr">
        <is>
          <t>whole</t>
        </is>
      </c>
      <c r="R387" s="6" t="inlineStr">
        <is>
          <t>FG5</t>
        </is>
      </c>
      <c r="S387" s="6" t="inlineStr">
        <is>
          <t>refined grain</t>
        </is>
      </c>
      <c r="T387" s="6" t="inlineStr">
        <is>
          <t>plant</t>
        </is>
      </c>
      <c r="U387" s="6" t="n"/>
      <c r="V387" s="6" t="n"/>
      <c r="W387" s="6" t="n">
        <v>1</v>
      </c>
      <c r="X387" s="6" t="n">
        <v>0.36</v>
      </c>
      <c r="Y387" s="6" t="inlineStr">
        <is>
          <t>declared</t>
        </is>
      </c>
      <c r="Z387" s="8" t="n">
        <v>188950</v>
      </c>
      <c r="AA387" s="9">
        <f>IF(H387="yes",Z387*X387,0)</f>
        <v/>
      </c>
      <c r="AB387" s="9">
        <f>IF(H387="yes",AA387*N(L387)/100,0)</f>
        <v/>
      </c>
      <c r="AC387" s="9">
        <f>IF(H387="yes",AA387*N(N387)/100,0)</f>
        <v/>
      </c>
      <c r="AD387" s="9">
        <f>IF(H387="yes",AA387*N(O387)/100,0)</f>
        <v/>
      </c>
      <c r="AE387" s="10">
        <f>IF(P387="yes",AA387/1000,0)</f>
        <v/>
      </c>
      <c r="AF387" s="10">
        <f>IF(R387="FG2",AE387*W387,AE387)</f>
        <v/>
      </c>
    </row>
    <row r="388">
      <c r="A388" s="6" t="inlineStr">
        <is>
          <t>HM00386</t>
        </is>
      </c>
      <c r="B388" s="7" t="inlineStr">
        <is>
          <t>3012345982832</t>
        </is>
      </c>
      <c r="C388" s="6" t="inlineStr">
        <is>
          <t>MARLOWE STRAWB ICE CREAM 900ML</t>
        </is>
      </c>
      <c r="D388" s="6" t="inlineStr">
        <is>
          <t>Strawberry ice cream, 900ml</t>
        </is>
      </c>
      <c r="E388" s="6" t="inlineStr">
        <is>
          <t>Marlowe</t>
        </is>
      </c>
      <c r="F388" s="6" t="inlineStr">
        <is>
          <t>Frozen</t>
        </is>
      </c>
      <c r="G388" s="6" t="inlineStr">
        <is>
          <t>Ice Cream</t>
        </is>
      </c>
      <c r="H388" s="6" t="inlineStr">
        <is>
          <t>yes</t>
        </is>
      </c>
      <c r="I388" s="6" t="inlineStr">
        <is>
          <t>Animal core</t>
        </is>
      </c>
      <c r="J388" s="6" t="inlineStr">
        <is>
          <t>B</t>
        </is>
      </c>
      <c r="K388" s="6" t="inlineStr">
        <is>
          <t>First ingredient (step 4a)</t>
        </is>
      </c>
      <c r="L388" s="6" t="n">
        <v>3.3</v>
      </c>
      <c r="M388" s="6" t="inlineStr">
        <is>
          <t>Open Food Facts, by EAN</t>
        </is>
      </c>
      <c r="N388" s="6" t="n">
        <v>0</v>
      </c>
      <c r="O388" s="6" t="n">
        <v>3.3</v>
      </c>
      <c r="P388" s="6" t="inlineStr">
        <is>
          <t>yes</t>
        </is>
      </c>
      <c r="Q388" s="6" t="inlineStr">
        <is>
          <t>whole</t>
        </is>
      </c>
      <c r="R388" s="6" t="inlineStr">
        <is>
          <t>FG7</t>
        </is>
      </c>
      <c r="S388" s="6" t="n"/>
      <c r="T388" s="6" t="inlineStr">
        <is>
          <t>animal</t>
        </is>
      </c>
      <c r="U388" s="6" t="n"/>
      <c r="V388" s="6" t="n"/>
      <c r="W388" s="6" t="n">
        <v>1</v>
      </c>
      <c r="X388" s="6" t="n">
        <v>0.5</v>
      </c>
      <c r="Y388" s="6" t="inlineStr">
        <is>
          <t>declared</t>
        </is>
      </c>
      <c r="Z388" s="8" t="n">
        <v>16288</v>
      </c>
      <c r="AA388" s="9">
        <f>IF(H388="yes",Z388*X388,0)</f>
        <v/>
      </c>
      <c r="AB388" s="9">
        <f>IF(H388="yes",AA388*N(L388)/100,0)</f>
        <v/>
      </c>
      <c r="AC388" s="9">
        <f>IF(H388="yes",AA388*N(N388)/100,0)</f>
        <v/>
      </c>
      <c r="AD388" s="9">
        <f>IF(H388="yes",AA388*N(O388)/100,0)</f>
        <v/>
      </c>
      <c r="AE388" s="10">
        <f>IF(P388="yes",AA388/1000,0)</f>
        <v/>
      </c>
      <c r="AF388" s="10">
        <f>IF(R388="FG2",AE388*W388,AE388)</f>
        <v/>
      </c>
    </row>
    <row r="389">
      <c r="A389" s="6" t="inlineStr">
        <is>
          <t>HM00387</t>
        </is>
      </c>
      <c r="B389" s="7" t="inlineStr">
        <is>
          <t>3012345465038</t>
        </is>
      </c>
      <c r="C389" s="6" t="inlineStr">
        <is>
          <t>HM SOYA DRINK UNSWT 1L</t>
        </is>
      </c>
      <c r="D389" s="6" t="inlineStr">
        <is>
          <t>Unsweetened soya drink, 1l</t>
        </is>
      </c>
      <c r="E389" s="6" t="inlineStr">
        <is>
          <t>Harbour Market</t>
        </is>
      </c>
      <c r="F389" s="6" t="inlineStr">
        <is>
          <t>Plant-Based</t>
        </is>
      </c>
      <c r="G389" s="6" t="inlineStr">
        <is>
          <t>Plant Drinks</t>
        </is>
      </c>
      <c r="H389" s="6" t="inlineStr">
        <is>
          <t>yes</t>
        </is>
      </c>
      <c r="I389" s="6" t="inlineStr">
        <is>
          <t>Plant-based core</t>
        </is>
      </c>
      <c r="J389" s="6" t="inlineStr">
        <is>
          <t>A</t>
        </is>
      </c>
      <c r="K389" s="6" t="inlineStr">
        <is>
          <t>All ingredients on one side</t>
        </is>
      </c>
      <c r="L389" s="6" t="n">
        <v>3.1</v>
      </c>
      <c r="M389" s="6" t="inlineStr">
        <is>
          <t>Median of the family</t>
        </is>
      </c>
      <c r="N389" s="6" t="n">
        <v>3.1</v>
      </c>
      <c r="O389" s="6" t="n">
        <v>0</v>
      </c>
      <c r="P389" s="6" t="inlineStr">
        <is>
          <t>yes</t>
        </is>
      </c>
      <c r="Q389" s="6" t="inlineStr">
        <is>
          <t>whole</t>
        </is>
      </c>
      <c r="R389" s="6" t="inlineStr">
        <is>
          <t>FG2</t>
        </is>
      </c>
      <c r="S389" s="6" t="inlineStr">
        <is>
          <t>dairy alternatives</t>
        </is>
      </c>
      <c r="T389" s="6" t="inlineStr">
        <is>
          <t>plant</t>
        </is>
      </c>
      <c r="U389" s="6" t="n"/>
      <c r="V389" s="6" t="n"/>
      <c r="W389" s="6" t="n">
        <v>1</v>
      </c>
      <c r="X389" s="6" t="n">
        <v>1.03</v>
      </c>
      <c r="Y389" s="6" t="inlineStr">
        <is>
          <t>declared</t>
        </is>
      </c>
      <c r="Z389" s="8" t="n">
        <v>19437</v>
      </c>
      <c r="AA389" s="9">
        <f>IF(H389="yes",Z389*X389,0)</f>
        <v/>
      </c>
      <c r="AB389" s="9">
        <f>IF(H389="yes",AA389*N(L389)/100,0)</f>
        <v/>
      </c>
      <c r="AC389" s="9">
        <f>IF(H389="yes",AA389*N(N389)/100,0)</f>
        <v/>
      </c>
      <c r="AD389" s="9">
        <f>IF(H389="yes",AA389*N(O389)/100,0)</f>
        <v/>
      </c>
      <c r="AE389" s="10">
        <f>IF(P389="yes",AA389/1000,0)</f>
        <v/>
      </c>
      <c r="AF389" s="10">
        <f>IF(R389="FG2",AE389*W389,AE389)</f>
        <v/>
      </c>
    </row>
    <row r="390">
      <c r="A390" s="6" t="inlineStr">
        <is>
          <t>HM00388</t>
        </is>
      </c>
      <c r="B390" s="7" t="inlineStr">
        <is>
          <t>3012345122771</t>
        </is>
      </c>
      <c r="C390" s="6" t="inlineStr">
        <is>
          <t>HM ICEBERG LETTUCE EACH</t>
        </is>
      </c>
      <c r="D390" s="6" t="inlineStr">
        <is>
          <t>Iceberg lettuce</t>
        </is>
      </c>
      <c r="E390" s="6" t="inlineStr">
        <is>
          <t>Harbour Market</t>
        </is>
      </c>
      <c r="F390" s="6" t="inlineStr">
        <is>
          <t>Fruit &amp; Vegetables</t>
        </is>
      </c>
      <c r="G390" s="6" t="inlineStr">
        <is>
          <t>Vegetables</t>
        </is>
      </c>
      <c r="H390" s="6" t="inlineStr">
        <is>
          <t>yes</t>
        </is>
      </c>
      <c r="I390" s="6" t="inlineStr">
        <is>
          <t>Plant-based non-core</t>
        </is>
      </c>
      <c r="J390" s="6" t="inlineStr">
        <is>
          <t>B</t>
        </is>
      </c>
      <c r="K390" s="6" t="inlineStr">
        <is>
          <t>Follows the class</t>
        </is>
      </c>
      <c r="L390" s="6" t="n">
        <v>0.96</v>
      </c>
      <c r="M390" s="6" t="inlineStr">
        <is>
          <t>Open Food Facts, by EAN</t>
        </is>
      </c>
      <c r="N390" s="6" t="n">
        <v>0.96</v>
      </c>
      <c r="O390" s="6" t="n">
        <v>0</v>
      </c>
      <c r="P390" s="6" t="inlineStr">
        <is>
          <t>yes</t>
        </is>
      </c>
      <c r="Q390" s="6" t="inlineStr">
        <is>
          <t>whole</t>
        </is>
      </c>
      <c r="R390" s="6" t="inlineStr">
        <is>
          <t>FG4</t>
        </is>
      </c>
      <c r="S390" s="6" t="n"/>
      <c r="T390" s="6" t="inlineStr">
        <is>
          <t>plant</t>
        </is>
      </c>
      <c r="U390" s="6" t="n"/>
      <c r="V390" s="6" t="n"/>
      <c r="W390" s="6" t="n">
        <v>1</v>
      </c>
      <c r="X390" s="6" t="n">
        <v>0.5</v>
      </c>
      <c r="Y390" s="6" t="inlineStr">
        <is>
          <t>typical_piece</t>
        </is>
      </c>
      <c r="Z390" s="8" t="n">
        <v>15347</v>
      </c>
      <c r="AA390" s="9">
        <f>IF(H390="yes",Z390*X390,0)</f>
        <v/>
      </c>
      <c r="AB390" s="9">
        <f>IF(H390="yes",AA390*N(L390)/100,0)</f>
        <v/>
      </c>
      <c r="AC390" s="9">
        <f>IF(H390="yes",AA390*N(N390)/100,0)</f>
        <v/>
      </c>
      <c r="AD390" s="9">
        <f>IF(H390="yes",AA390*N(O390)/100,0)</f>
        <v/>
      </c>
      <c r="AE390" s="10">
        <f>IF(P390="yes",AA390/1000,0)</f>
        <v/>
      </c>
      <c r="AF390" s="10">
        <f>IF(R390="FG2",AE390*W390,AE390)</f>
        <v/>
      </c>
    </row>
    <row r="391">
      <c r="A391" s="6" t="inlineStr">
        <is>
          <t>HM00389</t>
        </is>
      </c>
      <c r="B391" s="7" t="inlineStr">
        <is>
          <t>4012345639735</t>
        </is>
      </c>
      <c r="C391" s="6" t="inlineStr">
        <is>
          <t>HM SUNFLOWER SEEDS 150G</t>
        </is>
      </c>
      <c r="D391" s="6" t="inlineStr">
        <is>
          <t>Sunflower seeds, 150g</t>
        </is>
      </c>
      <c r="E391" s="6" t="inlineStr">
        <is>
          <t>Harbour Market</t>
        </is>
      </c>
      <c r="F391" s="6" t="inlineStr">
        <is>
          <t>Grocery</t>
        </is>
      </c>
      <c r="G391" s="6" t="inlineStr">
        <is>
          <t>Nuts &amp; Seeds</t>
        </is>
      </c>
      <c r="H391" s="6" t="inlineStr">
        <is>
          <t>yes</t>
        </is>
      </c>
      <c r="I391" s="6" t="inlineStr">
        <is>
          <t>Plant-based core</t>
        </is>
      </c>
      <c r="J391" s="6" t="inlineStr">
        <is>
          <t>A</t>
        </is>
      </c>
      <c r="K391" s="6" t="inlineStr">
        <is>
          <t>All ingredients on one side</t>
        </is>
      </c>
      <c r="L391" s="6" t="n">
        <v>20.4</v>
      </c>
      <c r="M391" s="6" t="inlineStr">
        <is>
          <t>Name match (CIQUAL / NEVO)</t>
        </is>
      </c>
      <c r="N391" s="6" t="n">
        <v>20.4</v>
      </c>
      <c r="O391" s="6" t="n">
        <v>0</v>
      </c>
      <c r="P391" s="6" t="inlineStr">
        <is>
          <t>yes</t>
        </is>
      </c>
      <c r="Q391" s="6" t="inlineStr">
        <is>
          <t>whole</t>
        </is>
      </c>
      <c r="R391" s="6" t="inlineStr">
        <is>
          <t>FG1</t>
        </is>
      </c>
      <c r="S391" s="6" t="inlineStr">
        <is>
          <t>seeds</t>
        </is>
      </c>
      <c r="T391" s="6" t="inlineStr">
        <is>
          <t>plant</t>
        </is>
      </c>
      <c r="U391" s="6" t="n"/>
      <c r="V391" s="6" t="n"/>
      <c r="W391" s="6" t="n">
        <v>1</v>
      </c>
      <c r="X391" s="6" t="n">
        <v>0.15</v>
      </c>
      <c r="Y391" s="6" t="inlineStr">
        <is>
          <t>declared</t>
        </is>
      </c>
      <c r="Z391" s="8" t="n">
        <v>9254</v>
      </c>
      <c r="AA391" s="9">
        <f>IF(H391="yes",Z391*X391,0)</f>
        <v/>
      </c>
      <c r="AB391" s="9">
        <f>IF(H391="yes",AA391*N(L391)/100,0)</f>
        <v/>
      </c>
      <c r="AC391" s="9">
        <f>IF(H391="yes",AA391*N(N391)/100,0)</f>
        <v/>
      </c>
      <c r="AD391" s="9">
        <f>IF(H391="yes",AA391*N(O391)/100,0)</f>
        <v/>
      </c>
      <c r="AE391" s="10">
        <f>IF(P391="yes",AA391/1000,0)</f>
        <v/>
      </c>
      <c r="AF391" s="10">
        <f>IF(R391="FG2",AE391*W391,AE391)</f>
        <v/>
      </c>
    </row>
    <row r="392">
      <c r="A392" s="6" t="inlineStr">
        <is>
          <t>HM00390</t>
        </is>
      </c>
      <c r="B392" s="7" t="inlineStr">
        <is>
          <t>3012345334525</t>
        </is>
      </c>
      <c r="C392" s="6" t="inlineStr">
        <is>
          <t>HM PORK BELLY SLICES 400G</t>
        </is>
      </c>
      <c r="D392" s="6" t="inlineStr">
        <is>
          <t>Pork belly slices, 400g</t>
        </is>
      </c>
      <c r="E392" s="6" t="inlineStr">
        <is>
          <t>Harbour Market</t>
        </is>
      </c>
      <c r="F392" s="6" t="inlineStr">
        <is>
          <t>Fresh Meat &amp; Poultry</t>
        </is>
      </c>
      <c r="G392" s="6" t="inlineStr">
        <is>
          <t>Pork</t>
        </is>
      </c>
      <c r="H392" s="6" t="inlineStr">
        <is>
          <t>yes</t>
        </is>
      </c>
      <c r="I392" s="6" t="inlineStr">
        <is>
          <t>Animal core</t>
        </is>
      </c>
      <c r="J392" s="6" t="inlineStr">
        <is>
          <t>B</t>
        </is>
      </c>
      <c r="K392" s="6" t="inlineStr">
        <is>
          <t>Follows the class</t>
        </is>
      </c>
      <c r="L392" s="6" t="n">
        <v>17.6</v>
      </c>
      <c r="M392" s="6" t="inlineStr">
        <is>
          <t>Altera reference base</t>
        </is>
      </c>
      <c r="N392" s="6" t="n">
        <v>0</v>
      </c>
      <c r="O392" s="6" t="n">
        <v>17.6</v>
      </c>
      <c r="P392" s="6" t="inlineStr">
        <is>
          <t>yes</t>
        </is>
      </c>
      <c r="Q392" s="6" t="inlineStr">
        <is>
          <t>whole</t>
        </is>
      </c>
      <c r="R392" s="6" t="inlineStr">
        <is>
          <t>FG1</t>
        </is>
      </c>
      <c r="S392" s="6" t="inlineStr">
        <is>
          <t>red meat</t>
        </is>
      </c>
      <c r="T392" s="6" t="inlineStr">
        <is>
          <t>animal</t>
        </is>
      </c>
      <c r="U392" s="6" t="n"/>
      <c r="V392" s="6" t="n"/>
      <c r="W392" s="6" t="n">
        <v>1</v>
      </c>
      <c r="X392" s="6" t="n">
        <v>0.4</v>
      </c>
      <c r="Y392" s="6" t="inlineStr">
        <is>
          <t>declared</t>
        </is>
      </c>
      <c r="Z392" s="8" t="n">
        <v>41915</v>
      </c>
      <c r="AA392" s="9">
        <f>IF(H392="yes",Z392*X392,0)</f>
        <v/>
      </c>
      <c r="AB392" s="9">
        <f>IF(H392="yes",AA392*N(L392)/100,0)</f>
        <v/>
      </c>
      <c r="AC392" s="9">
        <f>IF(H392="yes",AA392*N(N392)/100,0)</f>
        <v/>
      </c>
      <c r="AD392" s="9">
        <f>IF(H392="yes",AA392*N(O392)/100,0)</f>
        <v/>
      </c>
      <c r="AE392" s="10">
        <f>IF(P392="yes",AA392/1000,0)</f>
        <v/>
      </c>
      <c r="AF392" s="10">
        <f>IF(R392="FG2",AE392*W392,AE392)</f>
        <v/>
      </c>
    </row>
    <row r="393">
      <c r="A393" s="6" t="inlineStr">
        <is>
          <t>HM00391</t>
        </is>
      </c>
      <c r="B393" s="7" t="inlineStr">
        <is>
          <t>8712345922443</t>
        </is>
      </c>
      <c r="C393" s="6" t="inlineStr">
        <is>
          <t>CHKN BREAST FLT 1.4KG TARROW</t>
        </is>
      </c>
      <c r="D393" s="6" t="inlineStr">
        <is>
          <t>Chicken breast fillets, 1.4kg</t>
        </is>
      </c>
      <c r="E393" s="6" t="inlineStr">
        <is>
          <t>Tarrow Farm</t>
        </is>
      </c>
      <c r="F393" s="6" t="inlineStr">
        <is>
          <t>Fresh Meat &amp; Poultry</t>
        </is>
      </c>
      <c r="G393" s="6" t="inlineStr">
        <is>
          <t>Poultry</t>
        </is>
      </c>
      <c r="H393" s="6" t="inlineStr">
        <is>
          <t>yes</t>
        </is>
      </c>
      <c r="I393" s="6" t="inlineStr">
        <is>
          <t>Animal core</t>
        </is>
      </c>
      <c r="J393" s="6" t="inlineStr">
        <is>
          <t>A</t>
        </is>
      </c>
      <c r="K393" s="6" t="inlineStr">
        <is>
          <t>All ingredients on one side</t>
        </is>
      </c>
      <c r="L393" s="6" t="n">
        <v>23.4</v>
      </c>
      <c r="M393" s="6" t="inlineStr">
        <is>
          <t>Declared by the retailer</t>
        </is>
      </c>
      <c r="N393" s="6" t="n">
        <v>0</v>
      </c>
      <c r="O393" s="6" t="n">
        <v>23.4</v>
      </c>
      <c r="P393" s="6" t="inlineStr">
        <is>
          <t>yes</t>
        </is>
      </c>
      <c r="Q393" s="6" t="inlineStr">
        <is>
          <t>whole</t>
        </is>
      </c>
      <c r="R393" s="6" t="inlineStr">
        <is>
          <t>FG1</t>
        </is>
      </c>
      <c r="S393" s="6" t="inlineStr">
        <is>
          <t>poultry</t>
        </is>
      </c>
      <c r="T393" s="6" t="inlineStr">
        <is>
          <t>animal</t>
        </is>
      </c>
      <c r="U393" s="6" t="n"/>
      <c r="V393" s="6" t="n"/>
      <c r="W393" s="6" t="n">
        <v>1</v>
      </c>
      <c r="X393" s="6" t="n">
        <v>1.4</v>
      </c>
      <c r="Y393" s="6" t="inlineStr">
        <is>
          <t>declared</t>
        </is>
      </c>
      <c r="Z393" s="8" t="n">
        <v>14247</v>
      </c>
      <c r="AA393" s="9">
        <f>IF(H393="yes",Z393*X393,0)</f>
        <v/>
      </c>
      <c r="AB393" s="9">
        <f>IF(H393="yes",AA393*N(L393)/100,0)</f>
        <v/>
      </c>
      <c r="AC393" s="9">
        <f>IF(H393="yes",AA393*N(N393)/100,0)</f>
        <v/>
      </c>
      <c r="AD393" s="9">
        <f>IF(H393="yes",AA393*N(O393)/100,0)</f>
        <v/>
      </c>
      <c r="AE393" s="10">
        <f>IF(P393="yes",AA393/1000,0)</f>
        <v/>
      </c>
      <c r="AF393" s="10">
        <f>IF(R393="FG2",AE393*W393,AE393)</f>
        <v/>
      </c>
    </row>
    <row r="394">
      <c r="A394" s="6" t="inlineStr">
        <is>
          <t>HM00392</t>
        </is>
      </c>
      <c r="B394" s="7" t="inlineStr">
        <is>
          <t>4012345310269</t>
        </is>
      </c>
      <c r="C394" s="6" t="inlineStr">
        <is>
          <t>HM INSTANT COFFEE 200G</t>
        </is>
      </c>
      <c r="D394" s="6" t="inlineStr">
        <is>
          <t>Instant coffee, 200g</t>
        </is>
      </c>
      <c r="E394" s="6" t="inlineStr">
        <is>
          <t>Harbour Market</t>
        </is>
      </c>
      <c r="F394" s="6" t="inlineStr">
        <is>
          <t>Grocery</t>
        </is>
      </c>
      <c r="G394" s="6" t="inlineStr">
        <is>
          <t>Tea &amp; Coffee</t>
        </is>
      </c>
      <c r="H394" s="6" t="inlineStr">
        <is>
          <t>yes</t>
        </is>
      </c>
      <c r="I394" s="6" t="inlineStr">
        <is>
          <t>Plant-based non-core</t>
        </is>
      </c>
      <c r="J394" s="6" t="inlineStr">
        <is>
          <t>A</t>
        </is>
      </c>
      <c r="K394" s="6" t="inlineStr">
        <is>
          <t>All ingredients on one side</t>
        </is>
      </c>
      <c r="L394" s="6" t="n">
        <v>7.5</v>
      </c>
      <c r="M394" s="6" t="inlineStr">
        <is>
          <t>Declared by the retailer</t>
        </is>
      </c>
      <c r="N394" s="6" t="n">
        <v>7.5</v>
      </c>
      <c r="O394" s="6" t="n">
        <v>0</v>
      </c>
      <c r="P394" s="6" t="inlineStr">
        <is>
          <t>no</t>
        </is>
      </c>
      <c r="Q394" s="6" t="n"/>
      <c r="R394" s="6" t="n"/>
      <c r="S394" s="6" t="n"/>
      <c r="T394" s="6" t="n"/>
      <c r="U394" s="6" t="n"/>
      <c r="V394" s="6" t="inlineStr">
        <is>
          <t>coffee tea</t>
        </is>
      </c>
      <c r="W394" s="6" t="n">
        <v>1</v>
      </c>
      <c r="X394" s="6" t="n">
        <v>0.2</v>
      </c>
      <c r="Y394" s="6" t="inlineStr">
        <is>
          <t>declared</t>
        </is>
      </c>
      <c r="Z394" s="8" t="n">
        <v>31333</v>
      </c>
      <c r="AA394" s="9">
        <f>IF(H394="yes",Z394*X394,0)</f>
        <v/>
      </c>
      <c r="AB394" s="9">
        <f>IF(H394="yes",AA394*N(L394)/100,0)</f>
        <v/>
      </c>
      <c r="AC394" s="9">
        <f>IF(H394="yes",AA394*N(N394)/100,0)</f>
        <v/>
      </c>
      <c r="AD394" s="9">
        <f>IF(H394="yes",AA394*N(O394)/100,0)</f>
        <v/>
      </c>
      <c r="AE394" s="10">
        <f>IF(P394="yes",AA394/1000,0)</f>
        <v/>
      </c>
      <c r="AF394" s="10">
        <f>IF(R394="FG2",AE394*W394,AE394)</f>
        <v/>
      </c>
    </row>
    <row r="395">
      <c r="A395" s="6" t="inlineStr">
        <is>
          <t>HM00393</t>
        </is>
      </c>
      <c r="B395" s="7" t="inlineStr">
        <is>
          <t>8712345592011</t>
        </is>
      </c>
      <c r="C395" s="6" t="inlineStr">
        <is>
          <t>SEMI SKMD MILK 500ML FJELDA</t>
        </is>
      </c>
      <c r="D395" s="6" t="inlineStr">
        <is>
          <t>Semi-skimmed milk, 500ml</t>
        </is>
      </c>
      <c r="E395" s="6" t="inlineStr">
        <is>
          <t>Fjelda</t>
        </is>
      </c>
      <c r="F395" s="6" t="inlineStr">
        <is>
          <t>Dairy &amp; Eggs</t>
        </is>
      </c>
      <c r="G395" s="6" t="inlineStr">
        <is>
          <t>Milk</t>
        </is>
      </c>
      <c r="H395" s="6" t="inlineStr">
        <is>
          <t>yes</t>
        </is>
      </c>
      <c r="I395" s="6" t="inlineStr">
        <is>
          <t>Animal core</t>
        </is>
      </c>
      <c r="J395" s="6" t="inlineStr">
        <is>
          <t>A</t>
        </is>
      </c>
      <c r="K395" s="6" t="inlineStr">
        <is>
          <t>All ingredients on one side</t>
        </is>
      </c>
      <c r="L395" s="6" t="n">
        <v>3.5</v>
      </c>
      <c r="M395" s="6" t="inlineStr">
        <is>
          <t>Altera reference base</t>
        </is>
      </c>
      <c r="N395" s="6" t="n">
        <v>0</v>
      </c>
      <c r="O395" s="6" t="n">
        <v>3.5</v>
      </c>
      <c r="P395" s="6" t="inlineStr">
        <is>
          <t>yes</t>
        </is>
      </c>
      <c r="Q395" s="6" t="inlineStr">
        <is>
          <t>whole</t>
        </is>
      </c>
      <c r="R395" s="6" t="inlineStr">
        <is>
          <t>FG2</t>
        </is>
      </c>
      <c r="S395" s="6" t="inlineStr">
        <is>
          <t>dairy</t>
        </is>
      </c>
      <c r="T395" s="6" t="inlineStr">
        <is>
          <t>animal</t>
        </is>
      </c>
      <c r="U395" s="6" t="n"/>
      <c r="V395" s="6" t="n"/>
      <c r="W395" s="6" t="n">
        <v>1</v>
      </c>
      <c r="X395" s="6" t="n">
        <v>0.515</v>
      </c>
      <c r="Y395" s="6" t="inlineStr">
        <is>
          <t>declared</t>
        </is>
      </c>
      <c r="Z395" s="8" t="n">
        <v>73332</v>
      </c>
      <c r="AA395" s="9">
        <f>IF(H395="yes",Z395*X395,0)</f>
        <v/>
      </c>
      <c r="AB395" s="9">
        <f>IF(H395="yes",AA395*N(L395)/100,0)</f>
        <v/>
      </c>
      <c r="AC395" s="9">
        <f>IF(H395="yes",AA395*N(N395)/100,0)</f>
        <v/>
      </c>
      <c r="AD395" s="9">
        <f>IF(H395="yes",AA395*N(O395)/100,0)</f>
        <v/>
      </c>
      <c r="AE395" s="10">
        <f>IF(P395="yes",AA395/1000,0)</f>
        <v/>
      </c>
      <c r="AF395" s="10">
        <f>IF(R395="FG2",AE395*W395,AE395)</f>
        <v/>
      </c>
    </row>
    <row r="396">
      <c r="A396" s="6" t="inlineStr">
        <is>
          <t>HM00394</t>
        </is>
      </c>
      <c r="B396" s="7" t="inlineStr">
        <is>
          <t>8712345280499</t>
        </is>
      </c>
      <c r="C396" s="6" t="inlineStr">
        <is>
          <t>HM MILD CHEDDAR 400G</t>
        </is>
      </c>
      <c r="D396" s="6" t="inlineStr">
        <is>
          <t>Mild cheddar, 400g</t>
        </is>
      </c>
      <c r="E396" s="6" t="inlineStr">
        <is>
          <t>Harbour Market</t>
        </is>
      </c>
      <c r="F396" s="6" t="inlineStr">
        <is>
          <t>Cheese</t>
        </is>
      </c>
      <c r="G396" s="6" t="inlineStr">
        <is>
          <t>Hard Cheese</t>
        </is>
      </c>
      <c r="H396" s="6" t="inlineStr">
        <is>
          <t>yes</t>
        </is>
      </c>
      <c r="I396" s="6" t="inlineStr">
        <is>
          <t>Animal core</t>
        </is>
      </c>
      <c r="J396" s="6" t="inlineStr">
        <is>
          <t>B</t>
        </is>
      </c>
      <c r="K396" s="6" t="inlineStr">
        <is>
          <t>Follows the class</t>
        </is>
      </c>
      <c r="L396" s="6" t="n">
        <v>24.9</v>
      </c>
      <c r="M396" s="6" t="inlineStr">
        <is>
          <t>Declared by the retailer</t>
        </is>
      </c>
      <c r="N396" s="6" t="n">
        <v>0</v>
      </c>
      <c r="O396" s="6" t="n">
        <v>24.9</v>
      </c>
      <c r="P396" s="6" t="inlineStr">
        <is>
          <t>yes</t>
        </is>
      </c>
      <c r="Q396" s="6" t="inlineStr">
        <is>
          <t>whole</t>
        </is>
      </c>
      <c r="R396" s="6" t="inlineStr">
        <is>
          <t>FG2</t>
        </is>
      </c>
      <c r="S396" s="6" t="inlineStr">
        <is>
          <t>dairy</t>
        </is>
      </c>
      <c r="T396" s="6" t="inlineStr">
        <is>
          <t>animal</t>
        </is>
      </c>
      <c r="U396" s="6" t="n"/>
      <c r="V396" s="6" t="n"/>
      <c r="W396" s="6" t="n">
        <v>10</v>
      </c>
      <c r="X396" s="6" t="n">
        <v>0.4</v>
      </c>
      <c r="Y396" s="6" t="inlineStr">
        <is>
          <t>declared</t>
        </is>
      </c>
      <c r="Z396" s="8" t="n">
        <v>154953</v>
      </c>
      <c r="AA396" s="9">
        <f>IF(H396="yes",Z396*X396,0)</f>
        <v/>
      </c>
      <c r="AB396" s="9">
        <f>IF(H396="yes",AA396*N(L396)/100,0)</f>
        <v/>
      </c>
      <c r="AC396" s="9">
        <f>IF(H396="yes",AA396*N(N396)/100,0)</f>
        <v/>
      </c>
      <c r="AD396" s="9">
        <f>IF(H396="yes",AA396*N(O396)/100,0)</f>
        <v/>
      </c>
      <c r="AE396" s="10">
        <f>IF(P396="yes",AA396/1000,0)</f>
        <v/>
      </c>
      <c r="AF396" s="10">
        <f>IF(R396="FG2",AE396*W396,AE396)</f>
        <v/>
      </c>
    </row>
    <row r="397">
      <c r="A397" s="6" t="inlineStr">
        <is>
          <t>HM00395</t>
        </is>
      </c>
      <c r="B397" s="7" t="inlineStr">
        <is>
          <t>5012345845791</t>
        </is>
      </c>
      <c r="C397" s="6" t="inlineStr">
        <is>
          <t>HM SPARKLING WATER 12X500ML</t>
        </is>
      </c>
      <c r="D397" s="6" t="inlineStr">
        <is>
          <t>Sparkling mineral water, 12x500ml</t>
        </is>
      </c>
      <c r="E397" s="6" t="inlineStr">
        <is>
          <t>Harbour Market</t>
        </is>
      </c>
      <c r="F397" s="6" t="inlineStr">
        <is>
          <t>Soft Drinks &amp; Water</t>
        </is>
      </c>
      <c r="G397" s="6" t="inlineStr">
        <is>
          <t>Water</t>
        </is>
      </c>
      <c r="H397" s="6" t="inlineStr">
        <is>
          <t>yes</t>
        </is>
      </c>
      <c r="I397" s="6" t="inlineStr">
        <is>
          <t>Plant-based non-core</t>
        </is>
      </c>
      <c r="J397" s="6" t="inlineStr">
        <is>
          <t>A</t>
        </is>
      </c>
      <c r="K397" s="6" t="inlineStr">
        <is>
          <t>All ingredients on one side</t>
        </is>
      </c>
      <c r="L397" s="6" t="n">
        <v>0</v>
      </c>
      <c r="M397" s="6" t="inlineStr">
        <is>
          <t>Open Food Facts, by EAN</t>
        </is>
      </c>
      <c r="N397" s="6" t="n">
        <v>0</v>
      </c>
      <c r="O397" s="6" t="n">
        <v>0</v>
      </c>
      <c r="P397" s="6" t="inlineStr">
        <is>
          <t>no</t>
        </is>
      </c>
      <c r="Q397" s="6" t="n"/>
      <c r="R397" s="6" t="n"/>
      <c r="S397" s="6" t="n"/>
      <c r="T397" s="6" t="n"/>
      <c r="U397" s="6" t="n"/>
      <c r="V397" s="6" t="inlineStr">
        <is>
          <t>beverage</t>
        </is>
      </c>
      <c r="W397" s="6" t="n">
        <v>1</v>
      </c>
      <c r="X397" s="6" t="n">
        <v>6</v>
      </c>
      <c r="Y397" s="6" t="inlineStr">
        <is>
          <t>declared</t>
        </is>
      </c>
      <c r="Z397" s="8" t="n">
        <v>58491</v>
      </c>
      <c r="AA397" s="9">
        <f>IF(H397="yes",Z397*X397,0)</f>
        <v/>
      </c>
      <c r="AB397" s="9">
        <f>IF(H397="yes",AA397*N(L397)/100,0)</f>
        <v/>
      </c>
      <c r="AC397" s="9">
        <f>IF(H397="yes",AA397*N(N397)/100,0)</f>
        <v/>
      </c>
      <c r="AD397" s="9">
        <f>IF(H397="yes",AA397*N(O397)/100,0)</f>
        <v/>
      </c>
      <c r="AE397" s="10">
        <f>IF(P397="yes",AA397/1000,0)</f>
        <v/>
      </c>
      <c r="AF397" s="10">
        <f>IF(R397="FG2",AE397*W397,AE397)</f>
        <v/>
      </c>
    </row>
    <row r="398">
      <c r="A398" s="6" t="inlineStr">
        <is>
          <t>HM00396</t>
        </is>
      </c>
      <c r="B398" s="7" t="inlineStr">
        <is>
          <t>3012345013710</t>
        </is>
      </c>
      <c r="C398" s="6" t="inlineStr">
        <is>
          <t>ALDERWICK MATURE CHEDDAR 400G</t>
        </is>
      </c>
      <c r="D398" s="6" t="inlineStr">
        <is>
          <t>Mature cheddar, 400g</t>
        </is>
      </c>
      <c r="E398" s="6" t="inlineStr">
        <is>
          <t>Alderwick</t>
        </is>
      </c>
      <c r="F398" s="6" t="inlineStr">
        <is>
          <t>Cheese</t>
        </is>
      </c>
      <c r="G398" s="6" t="inlineStr">
        <is>
          <t>Hard Cheese</t>
        </is>
      </c>
      <c r="H398" s="6" t="inlineStr">
        <is>
          <t>yes</t>
        </is>
      </c>
      <c r="I398" s="6" t="inlineStr">
        <is>
          <t>Animal core</t>
        </is>
      </c>
      <c r="J398" s="6" t="inlineStr">
        <is>
          <t>A</t>
        </is>
      </c>
      <c r="K398" s="6" t="inlineStr">
        <is>
          <t>All ingredients on one side</t>
        </is>
      </c>
      <c r="L398" s="6" t="n">
        <v>25</v>
      </c>
      <c r="M398" s="6" t="inlineStr">
        <is>
          <t>Altera reference base</t>
        </is>
      </c>
      <c r="N398" s="6" t="n">
        <v>0</v>
      </c>
      <c r="O398" s="6" t="n">
        <v>25</v>
      </c>
      <c r="P398" s="6" t="inlineStr">
        <is>
          <t>yes</t>
        </is>
      </c>
      <c r="Q398" s="6" t="inlineStr">
        <is>
          <t>whole</t>
        </is>
      </c>
      <c r="R398" s="6" t="inlineStr">
        <is>
          <t>FG2</t>
        </is>
      </c>
      <c r="S398" s="6" t="inlineStr">
        <is>
          <t>dairy</t>
        </is>
      </c>
      <c r="T398" s="6" t="inlineStr">
        <is>
          <t>animal</t>
        </is>
      </c>
      <c r="U398" s="6" t="n"/>
      <c r="V398" s="6" t="n"/>
      <c r="W398" s="6" t="n">
        <v>10</v>
      </c>
      <c r="X398" s="6" t="n">
        <v>0.4</v>
      </c>
      <c r="Y398" s="6" t="inlineStr">
        <is>
          <t>declared</t>
        </is>
      </c>
      <c r="Z398" s="8" t="n">
        <v>24310</v>
      </c>
      <c r="AA398" s="9">
        <f>IF(H398="yes",Z398*X398,0)</f>
        <v/>
      </c>
      <c r="AB398" s="9">
        <f>IF(H398="yes",AA398*N(L398)/100,0)</f>
        <v/>
      </c>
      <c r="AC398" s="9">
        <f>IF(H398="yes",AA398*N(N398)/100,0)</f>
        <v/>
      </c>
      <c r="AD398" s="9">
        <f>IF(H398="yes",AA398*N(O398)/100,0)</f>
        <v/>
      </c>
      <c r="AE398" s="10">
        <f>IF(P398="yes",AA398/1000,0)</f>
        <v/>
      </c>
      <c r="AF398" s="10">
        <f>IF(R398="FG2",AE398*W398,AE398)</f>
        <v/>
      </c>
    </row>
    <row r="399">
      <c r="A399" s="6" t="inlineStr">
        <is>
          <t>HM00397</t>
        </is>
      </c>
      <c r="B399" s="7" t="inlineStr">
        <is>
          <t>8712345215484</t>
        </is>
      </c>
      <c r="C399" s="6" t="inlineStr">
        <is>
          <t>PENROCK CHIA SEEDS 150G</t>
        </is>
      </c>
      <c r="D399" s="6" t="inlineStr">
        <is>
          <t>Chia seeds, 150g</t>
        </is>
      </c>
      <c r="E399" s="6" t="inlineStr">
        <is>
          <t>Penrock</t>
        </is>
      </c>
      <c r="F399" s="6" t="inlineStr">
        <is>
          <t>Grocery</t>
        </is>
      </c>
      <c r="G399" s="6" t="inlineStr">
        <is>
          <t>Nuts &amp; Seeds</t>
        </is>
      </c>
      <c r="H399" s="6" t="inlineStr">
        <is>
          <t>yes</t>
        </is>
      </c>
      <c r="I399" s="6" t="inlineStr">
        <is>
          <t>Plant-based core</t>
        </is>
      </c>
      <c r="J399" s="6" t="inlineStr">
        <is>
          <t>B</t>
        </is>
      </c>
      <c r="K399" s="6" t="inlineStr">
        <is>
          <t>Follows the class</t>
        </is>
      </c>
      <c r="L399" s="6" t="n">
        <v>16.2</v>
      </c>
      <c r="M399" s="6" t="inlineStr">
        <is>
          <t>Declared by the retailer</t>
        </is>
      </c>
      <c r="N399" s="6" t="n">
        <v>16.2</v>
      </c>
      <c r="O399" s="6" t="n">
        <v>0</v>
      </c>
      <c r="P399" s="6" t="inlineStr">
        <is>
          <t>yes</t>
        </is>
      </c>
      <c r="Q399" s="6" t="inlineStr">
        <is>
          <t>whole</t>
        </is>
      </c>
      <c r="R399" s="6" t="inlineStr">
        <is>
          <t>FG1</t>
        </is>
      </c>
      <c r="S399" s="6" t="inlineStr">
        <is>
          <t>seeds</t>
        </is>
      </c>
      <c r="T399" s="6" t="inlineStr">
        <is>
          <t>plant</t>
        </is>
      </c>
      <c r="U399" s="6" t="n"/>
      <c r="V399" s="6" t="n"/>
      <c r="W399" s="6" t="n">
        <v>1</v>
      </c>
      <c r="X399" s="6" t="n">
        <v>0.15</v>
      </c>
      <c r="Y399" s="6" t="inlineStr">
        <is>
          <t>label</t>
        </is>
      </c>
      <c r="Z399" s="8" t="n">
        <v>1997</v>
      </c>
      <c r="AA399" s="9">
        <f>IF(H399="yes",Z399*X399,0)</f>
        <v/>
      </c>
      <c r="AB399" s="9">
        <f>IF(H399="yes",AA399*N(L399)/100,0)</f>
        <v/>
      </c>
      <c r="AC399" s="9">
        <f>IF(H399="yes",AA399*N(N399)/100,0)</f>
        <v/>
      </c>
      <c r="AD399" s="9">
        <f>IF(H399="yes",AA399*N(O399)/100,0)</f>
        <v/>
      </c>
      <c r="AE399" s="10">
        <f>IF(P399="yes",AA399/1000,0)</f>
        <v/>
      </c>
      <c r="AF399" s="10">
        <f>IF(R399="FG2",AE399*W399,AE399)</f>
        <v/>
      </c>
    </row>
    <row r="400">
      <c r="A400" s="6" t="inlineStr">
        <is>
          <t>HM00398</t>
        </is>
      </c>
      <c r="B400" s="7" t="inlineStr">
        <is>
          <t>8712345660031</t>
        </is>
      </c>
      <c r="C400" s="6" t="inlineStr">
        <is>
          <t>HM LONG GRAIN RICE 500G</t>
        </is>
      </c>
      <c r="D400" s="6" t="inlineStr">
        <is>
          <t>Long-grain rice, 500g</t>
        </is>
      </c>
      <c r="E400" s="6" t="inlineStr">
        <is>
          <t>Harbour Market</t>
        </is>
      </c>
      <c r="F400" s="6" t="inlineStr">
        <is>
          <t>Grocery</t>
        </is>
      </c>
      <c r="G400" s="6" t="inlineStr">
        <is>
          <t>Rice &amp; Grains</t>
        </is>
      </c>
      <c r="H400" s="6" t="inlineStr">
        <is>
          <t>yes</t>
        </is>
      </c>
      <c r="I400" s="6" t="inlineStr">
        <is>
          <t>Plant-based non-core</t>
        </is>
      </c>
      <c r="J400" s="6" t="inlineStr">
        <is>
          <t>A</t>
        </is>
      </c>
      <c r="K400" s="6" t="inlineStr">
        <is>
          <t>All ingredients on one side</t>
        </is>
      </c>
      <c r="L400" s="6" t="n">
        <v>7.1</v>
      </c>
      <c r="M400" s="6" t="inlineStr">
        <is>
          <t>Name match (CIQUAL / NEVO)</t>
        </is>
      </c>
      <c r="N400" s="6" t="n">
        <v>7.1</v>
      </c>
      <c r="O400" s="6" t="n">
        <v>0</v>
      </c>
      <c r="P400" s="6" t="inlineStr">
        <is>
          <t>yes</t>
        </is>
      </c>
      <c r="Q400" s="6" t="inlineStr">
        <is>
          <t>whole</t>
        </is>
      </c>
      <c r="R400" s="6" t="inlineStr">
        <is>
          <t>FG5</t>
        </is>
      </c>
      <c r="S400" s="6" t="inlineStr">
        <is>
          <t>refined grain</t>
        </is>
      </c>
      <c r="T400" s="6" t="inlineStr">
        <is>
          <t>plant</t>
        </is>
      </c>
      <c r="U400" s="6" t="n"/>
      <c r="V400" s="6" t="n"/>
      <c r="W400" s="6" t="n">
        <v>1</v>
      </c>
      <c r="X400" s="6" t="n">
        <v>0.5</v>
      </c>
      <c r="Y400" s="6" t="inlineStr">
        <is>
          <t>declared</t>
        </is>
      </c>
      <c r="Z400" s="8" t="n">
        <v>24098</v>
      </c>
      <c r="AA400" s="9">
        <f>IF(H400="yes",Z400*X400,0)</f>
        <v/>
      </c>
      <c r="AB400" s="9">
        <f>IF(H400="yes",AA400*N(L400)/100,0)</f>
        <v/>
      </c>
      <c r="AC400" s="9">
        <f>IF(H400="yes",AA400*N(N400)/100,0)</f>
        <v/>
      </c>
      <c r="AD400" s="9">
        <f>IF(H400="yes",AA400*N(O400)/100,0)</f>
        <v/>
      </c>
      <c r="AE400" s="10">
        <f>IF(P400="yes",AA400/1000,0)</f>
        <v/>
      </c>
      <c r="AF400" s="10">
        <f>IF(R400="FG2",AE400*W400,AE400)</f>
        <v/>
      </c>
    </row>
    <row r="401">
      <c r="A401" s="6" t="inlineStr">
        <is>
          <t>HM00399</t>
        </is>
      </c>
      <c r="B401" s="7" t="inlineStr">
        <is>
          <t>5012345408040</t>
        </is>
      </c>
      <c r="C401" s="6" t="inlineStr">
        <is>
          <t>KESTREL RAW KING PRAWNS 225G</t>
        </is>
      </c>
      <c r="D401" s="6" t="inlineStr">
        <is>
          <t>Raw king prawns, 225g</t>
        </is>
      </c>
      <c r="E401" s="6" t="inlineStr">
        <is>
          <t>Kestrel Bay</t>
        </is>
      </c>
      <c r="F401" s="6" t="inlineStr">
        <is>
          <t>Fish &amp; Seafood</t>
        </is>
      </c>
      <c r="G401" s="6" t="inlineStr">
        <is>
          <t>Shellfish</t>
        </is>
      </c>
      <c r="H401" s="6" t="inlineStr">
        <is>
          <t>yes</t>
        </is>
      </c>
      <c r="I401" s="6" t="inlineStr">
        <is>
          <t>Animal core</t>
        </is>
      </c>
      <c r="J401" s="6" t="inlineStr">
        <is>
          <t>B</t>
        </is>
      </c>
      <c r="K401" s="6" t="inlineStr">
        <is>
          <t>Follows the class</t>
        </is>
      </c>
      <c r="L401" s="6" t="n">
        <v>17.9</v>
      </c>
      <c r="M401" s="6" t="inlineStr">
        <is>
          <t>Name match (CIQUAL / NEVO)</t>
        </is>
      </c>
      <c r="N401" s="6" t="n">
        <v>0</v>
      </c>
      <c r="O401" s="6" t="n">
        <v>17.9</v>
      </c>
      <c r="P401" s="6" t="inlineStr">
        <is>
          <t>yes</t>
        </is>
      </c>
      <c r="Q401" s="6" t="inlineStr">
        <is>
          <t>whole</t>
        </is>
      </c>
      <c r="R401" s="6" t="inlineStr">
        <is>
          <t>FG1</t>
        </is>
      </c>
      <c r="S401" s="6" t="inlineStr">
        <is>
          <t>fish shellfish</t>
        </is>
      </c>
      <c r="T401" s="6" t="inlineStr">
        <is>
          <t>animal</t>
        </is>
      </c>
      <c r="U401" s="6" t="n"/>
      <c r="V401" s="6" t="n"/>
      <c r="W401" s="6" t="n">
        <v>1</v>
      </c>
      <c r="X401" s="6" t="n">
        <v>0.225</v>
      </c>
      <c r="Y401" s="6" t="inlineStr">
        <is>
          <t>declared</t>
        </is>
      </c>
      <c r="Z401" s="8" t="n">
        <v>101918</v>
      </c>
      <c r="AA401" s="9">
        <f>IF(H401="yes",Z401*X401,0)</f>
        <v/>
      </c>
      <c r="AB401" s="9">
        <f>IF(H401="yes",AA401*N(L401)/100,0)</f>
        <v/>
      </c>
      <c r="AC401" s="9">
        <f>IF(H401="yes",AA401*N(N401)/100,0)</f>
        <v/>
      </c>
      <c r="AD401" s="9">
        <f>IF(H401="yes",AA401*N(O401)/100,0)</f>
        <v/>
      </c>
      <c r="AE401" s="10">
        <f>IF(P401="yes",AA401/1000,0)</f>
        <v/>
      </c>
      <c r="AF401" s="10">
        <f>IF(R401="FG2",AE401*W401,AE401)</f>
        <v/>
      </c>
    </row>
    <row r="402">
      <c r="A402" s="6" t="inlineStr">
        <is>
          <t>HM00400</t>
        </is>
      </c>
      <c r="B402" s="7" t="inlineStr">
        <is>
          <t>8712345746759</t>
        </is>
      </c>
      <c r="C402" s="6" t="inlineStr">
        <is>
          <t>HM CHOC CHIP COOKIES 300G</t>
        </is>
      </c>
      <c r="D402" s="6" t="inlineStr">
        <is>
          <t>Chocolate chip cookies, 300g</t>
        </is>
      </c>
      <c r="E402" s="6" t="inlineStr">
        <is>
          <t>Harbour Market</t>
        </is>
      </c>
      <c r="F402" s="6" t="inlineStr">
        <is>
          <t>Breakfast &amp; Snacks</t>
        </is>
      </c>
      <c r="G402" s="6" t="inlineStr">
        <is>
          <t>Biscuits</t>
        </is>
      </c>
      <c r="H402" s="6" t="inlineStr">
        <is>
          <t>yes</t>
        </is>
      </c>
      <c r="I402" s="6" t="inlineStr">
        <is>
          <t>Animal &amp; plant composite</t>
        </is>
      </c>
      <c r="J402" s="6" t="inlineStr">
        <is>
          <t>B</t>
        </is>
      </c>
      <c r="K402" s="6" t="inlineStr">
        <is>
          <t>50/50 convention</t>
        </is>
      </c>
      <c r="L402" s="6" t="n">
        <v>6.6</v>
      </c>
      <c r="M402" s="6" t="inlineStr">
        <is>
          <t>Declared by the retailer</t>
        </is>
      </c>
      <c r="N402" s="6" t="n">
        <v>3.3</v>
      </c>
      <c r="O402" s="6" t="n">
        <v>3.3</v>
      </c>
      <c r="P402" s="6" t="inlineStr">
        <is>
          <t>yes</t>
        </is>
      </c>
      <c r="Q402" s="6" t="inlineStr">
        <is>
          <t>whole</t>
        </is>
      </c>
      <c r="R402" s="6" t="inlineStr">
        <is>
          <t>FG7</t>
        </is>
      </c>
      <c r="S402" s="6" t="n"/>
      <c r="T402" s="6" t="inlineStr">
        <is>
          <t>plant</t>
        </is>
      </c>
      <c r="U402" s="6" t="n"/>
      <c r="V402" s="6" t="n"/>
      <c r="W402" s="6" t="n">
        <v>1</v>
      </c>
      <c r="X402" s="6" t="n">
        <v>0.3</v>
      </c>
      <c r="Y402" s="6" t="inlineStr">
        <is>
          <t>declared</t>
        </is>
      </c>
      <c r="Z402" s="8" t="n">
        <v>35334</v>
      </c>
      <c r="AA402" s="9">
        <f>IF(H402="yes",Z402*X402,0)</f>
        <v/>
      </c>
      <c r="AB402" s="9">
        <f>IF(H402="yes",AA402*N(L402)/100,0)</f>
        <v/>
      </c>
      <c r="AC402" s="9">
        <f>IF(H402="yes",AA402*N(N402)/100,0)</f>
        <v/>
      </c>
      <c r="AD402" s="9">
        <f>IF(H402="yes",AA402*N(O402)/100,0)</f>
        <v/>
      </c>
      <c r="AE402" s="10">
        <f>IF(P402="yes",AA402/1000,0)</f>
        <v/>
      </c>
      <c r="AF402" s="10">
        <f>IF(R402="FG2",AE402*W402,AE402)</f>
        <v/>
      </c>
    </row>
    <row r="403">
      <c r="A403" s="6" t="inlineStr">
        <is>
          <t>HM00401</t>
        </is>
      </c>
      <c r="B403" s="7" t="inlineStr">
        <is>
          <t>5012345069982</t>
        </is>
      </c>
      <c r="C403" s="6" t="inlineStr">
        <is>
          <t>GROUND CUMIN 40G CASTELNA</t>
        </is>
      </c>
      <c r="D403" s="6" t="inlineStr">
        <is>
          <t>Ground cumin, 40g</t>
        </is>
      </c>
      <c r="E403" s="6" t="inlineStr">
        <is>
          <t>Castelna</t>
        </is>
      </c>
      <c r="F403" s="6" t="inlineStr">
        <is>
          <t>Grocery</t>
        </is>
      </c>
      <c r="G403" s="6" t="inlineStr">
        <is>
          <t>Herbs &amp; Spices</t>
        </is>
      </c>
      <c r="H403" s="6" t="inlineStr">
        <is>
          <t>yes</t>
        </is>
      </c>
      <c r="I403" s="6" t="inlineStr">
        <is>
          <t>Plant-based non-core</t>
        </is>
      </c>
      <c r="J403" s="6" t="inlineStr">
        <is>
          <t>A</t>
        </is>
      </c>
      <c r="K403" s="6" t="inlineStr">
        <is>
          <t>All ingredients on one side</t>
        </is>
      </c>
      <c r="L403" s="6" t="n">
        <v>10.2</v>
      </c>
      <c r="M403" s="6" t="inlineStr">
        <is>
          <t>Declared by the retailer</t>
        </is>
      </c>
      <c r="N403" s="6" t="n">
        <v>10.2</v>
      </c>
      <c r="O403" s="6" t="n">
        <v>0</v>
      </c>
      <c r="P403" s="6" t="inlineStr">
        <is>
          <t>no</t>
        </is>
      </c>
      <c r="Q403" s="6" t="n"/>
      <c r="R403" s="6" t="n"/>
      <c r="S403" s="6" t="n"/>
      <c r="T403" s="6" t="n"/>
      <c r="U403" s="6" t="n"/>
      <c r="V403" s="6" t="inlineStr">
        <is>
          <t>herbs spices</t>
        </is>
      </c>
      <c r="W403" s="6" t="n">
        <v>1</v>
      </c>
      <c r="X403" s="6" t="n">
        <v>0.04</v>
      </c>
      <c r="Y403" s="6" t="inlineStr">
        <is>
          <t>declared</t>
        </is>
      </c>
      <c r="Z403" s="8" t="n">
        <v>6163</v>
      </c>
      <c r="AA403" s="9">
        <f>IF(H403="yes",Z403*X403,0)</f>
        <v/>
      </c>
      <c r="AB403" s="9">
        <f>IF(H403="yes",AA403*N(L403)/100,0)</f>
        <v/>
      </c>
      <c r="AC403" s="9">
        <f>IF(H403="yes",AA403*N(N403)/100,0)</f>
        <v/>
      </c>
      <c r="AD403" s="9">
        <f>IF(H403="yes",AA403*N(O403)/100,0)</f>
        <v/>
      </c>
      <c r="AE403" s="10">
        <f>IF(P403="yes",AA403/1000,0)</f>
        <v/>
      </c>
      <c r="AF403" s="10">
        <f>IF(R403="FG2",AE403*W403,AE403)</f>
        <v/>
      </c>
    </row>
    <row r="404">
      <c r="A404" s="6" t="inlineStr">
        <is>
          <t>HM00402</t>
        </is>
      </c>
      <c r="B404" s="7" t="inlineStr">
        <is>
          <t>4012345703542</t>
        </is>
      </c>
      <c r="C404" s="6" t="inlineStr">
        <is>
          <t>ORVALIS PORRIDGE OATS 500G</t>
        </is>
      </c>
      <c r="D404" s="6" t="inlineStr">
        <is>
          <t>Porridge oats, 500g</t>
        </is>
      </c>
      <c r="E404" s="6" t="inlineStr">
        <is>
          <t>Orvalis</t>
        </is>
      </c>
      <c r="F404" s="6" t="inlineStr">
        <is>
          <t>Grocery</t>
        </is>
      </c>
      <c r="G404" s="6" t="inlineStr">
        <is>
          <t>Rice &amp; Grains</t>
        </is>
      </c>
      <c r="H404" s="6" t="inlineStr">
        <is>
          <t>yes</t>
        </is>
      </c>
      <c r="I404" s="6" t="inlineStr">
        <is>
          <t>Plant-based non-core</t>
        </is>
      </c>
      <c r="J404" s="6" t="inlineStr">
        <is>
          <t>B</t>
        </is>
      </c>
      <c r="K404" s="6" t="inlineStr">
        <is>
          <t>Follows the class</t>
        </is>
      </c>
      <c r="L404" s="6" t="n">
        <v>10.5</v>
      </c>
      <c r="M404" s="6" t="inlineStr">
        <is>
          <t>Name match (CIQUAL / NEVO)</t>
        </is>
      </c>
      <c r="N404" s="6" t="n">
        <v>10.5</v>
      </c>
      <c r="O404" s="6" t="n">
        <v>0</v>
      </c>
      <c r="P404" s="6" t="inlineStr">
        <is>
          <t>yes</t>
        </is>
      </c>
      <c r="Q404" s="6" t="inlineStr">
        <is>
          <t>whole</t>
        </is>
      </c>
      <c r="R404" s="6" t="inlineStr">
        <is>
          <t>FG5</t>
        </is>
      </c>
      <c r="S404" s="6" t="inlineStr">
        <is>
          <t>whole grain</t>
        </is>
      </c>
      <c r="T404" s="6" t="inlineStr">
        <is>
          <t>plant</t>
        </is>
      </c>
      <c r="U404" s="6" t="n"/>
      <c r="V404" s="6" t="n"/>
      <c r="W404" s="6" t="n">
        <v>1</v>
      </c>
      <c r="X404" s="6" t="n">
        <v>0.5</v>
      </c>
      <c r="Y404" s="6" t="inlineStr">
        <is>
          <t>declared</t>
        </is>
      </c>
      <c r="Z404" s="8" t="n">
        <v>13914</v>
      </c>
      <c r="AA404" s="9">
        <f>IF(H404="yes",Z404*X404,0)</f>
        <v/>
      </c>
      <c r="AB404" s="9">
        <f>IF(H404="yes",AA404*N(L404)/100,0)</f>
        <v/>
      </c>
      <c r="AC404" s="9">
        <f>IF(H404="yes",AA404*N(N404)/100,0)</f>
        <v/>
      </c>
      <c r="AD404" s="9">
        <f>IF(H404="yes",AA404*N(O404)/100,0)</f>
        <v/>
      </c>
      <c r="AE404" s="10">
        <f>IF(P404="yes",AA404/1000,0)</f>
        <v/>
      </c>
      <c r="AF404" s="10">
        <f>IF(R404="FG2",AE404*W404,AE404)</f>
        <v/>
      </c>
    </row>
    <row r="405">
      <c r="A405" s="6" t="inlineStr">
        <is>
          <t>HM00403</t>
        </is>
      </c>
      <c r="B405" s="7" t="inlineStr">
        <is>
          <t>3012345889223</t>
        </is>
      </c>
      <c r="C405" s="6" t="inlineStr">
        <is>
          <t>HM PIZZA HAM MUSHROOM 2X320G</t>
        </is>
      </c>
      <c r="D405" s="6" t="inlineStr">
        <is>
          <t>Ham &amp; mushroom pizza, 2x320g</t>
        </is>
      </c>
      <c r="E405" s="6" t="inlineStr">
        <is>
          <t>Harbour Market</t>
        </is>
      </c>
      <c r="F405" s="6" t="inlineStr">
        <is>
          <t>Frozen</t>
        </is>
      </c>
      <c r="G405" s="6" t="inlineStr">
        <is>
          <t>Pizza</t>
        </is>
      </c>
      <c r="H405" s="6" t="inlineStr">
        <is>
          <t>yes</t>
        </is>
      </c>
      <c r="I405" s="6" t="inlineStr">
        <is>
          <t>Animal &amp; plant composite</t>
        </is>
      </c>
      <c r="J405" s="6" t="inlineStr">
        <is>
          <t>B</t>
        </is>
      </c>
      <c r="K405" s="6" t="inlineStr">
        <is>
          <t>50/50 convention</t>
        </is>
      </c>
      <c r="L405" s="6" t="n">
        <v>9.699999999999999</v>
      </c>
      <c r="M405" s="6" t="inlineStr">
        <is>
          <t>Name match (CIQUAL / NEVO)</t>
        </is>
      </c>
      <c r="N405" s="6" t="n">
        <v>4.85</v>
      </c>
      <c r="O405" s="6" t="n">
        <v>4.85</v>
      </c>
      <c r="P405" s="6" t="inlineStr">
        <is>
          <t>yes</t>
        </is>
      </c>
      <c r="Q405" s="6" t="inlineStr">
        <is>
          <t>composite</t>
        </is>
      </c>
      <c r="R405" s="6" t="n"/>
      <c r="S405" s="6" t="n"/>
      <c r="T405" s="6" t="n"/>
      <c r="U405" s="6" t="inlineStr">
        <is>
          <t>meat-based</t>
        </is>
      </c>
      <c r="V405" s="6" t="n"/>
      <c r="W405" s="6" t="n">
        <v>1</v>
      </c>
      <c r="X405" s="6" t="n">
        <v>0.64</v>
      </c>
      <c r="Y405" s="6" t="inlineStr">
        <is>
          <t>declared</t>
        </is>
      </c>
      <c r="Z405" s="8" t="n">
        <v>23999</v>
      </c>
      <c r="AA405" s="9">
        <f>IF(H405="yes",Z405*X405,0)</f>
        <v/>
      </c>
      <c r="AB405" s="9">
        <f>IF(H405="yes",AA405*N(L405)/100,0)</f>
        <v/>
      </c>
      <c r="AC405" s="9">
        <f>IF(H405="yes",AA405*N(N405)/100,0)</f>
        <v/>
      </c>
      <c r="AD405" s="9">
        <f>IF(H405="yes",AA405*N(O405)/100,0)</f>
        <v/>
      </c>
      <c r="AE405" s="10">
        <f>IF(P405="yes",AA405/1000,0)</f>
        <v/>
      </c>
      <c r="AF405" s="10">
        <f>IF(R405="FG2",AE405*W405,AE405)</f>
        <v/>
      </c>
    </row>
    <row r="406">
      <c r="A406" s="6" t="inlineStr">
        <is>
          <t>HM00404</t>
        </is>
      </c>
      <c r="B406" s="7" t="inlineStr">
        <is>
          <t>4012345947250</t>
        </is>
      </c>
      <c r="C406" s="6" t="inlineStr">
        <is>
          <t>HM MIXED DRIED HERBS 50G</t>
        </is>
      </c>
      <c r="D406" s="6" t="inlineStr">
        <is>
          <t>Mixed dried herbs, 50g</t>
        </is>
      </c>
      <c r="E406" s="6" t="inlineStr">
        <is>
          <t>Harbour Market</t>
        </is>
      </c>
      <c r="F406" s="6" t="inlineStr">
        <is>
          <t>Grocery</t>
        </is>
      </c>
      <c r="G406" s="6" t="inlineStr">
        <is>
          <t>Herbs &amp; Spices</t>
        </is>
      </c>
      <c r="H406" s="6" t="inlineStr">
        <is>
          <t>yes</t>
        </is>
      </c>
      <c r="I406" s="6" t="inlineStr">
        <is>
          <t>Plant-based non-core</t>
        </is>
      </c>
      <c r="J406" s="6" t="inlineStr">
        <is>
          <t>B</t>
        </is>
      </c>
      <c r="K406" s="6" t="inlineStr">
        <is>
          <t>Follows the class</t>
        </is>
      </c>
      <c r="L406" s="6" t="n">
        <v>9.699999999999999</v>
      </c>
      <c r="M406" s="6" t="inlineStr">
        <is>
          <t>Declared by the retailer</t>
        </is>
      </c>
      <c r="N406" s="6" t="n">
        <v>9.699999999999999</v>
      </c>
      <c r="O406" s="6" t="n">
        <v>0</v>
      </c>
      <c r="P406" s="6" t="inlineStr">
        <is>
          <t>no</t>
        </is>
      </c>
      <c r="Q406" s="6" t="n"/>
      <c r="R406" s="6" t="n"/>
      <c r="S406" s="6" t="n"/>
      <c r="T406" s="6" t="n"/>
      <c r="U406" s="6" t="n"/>
      <c r="V406" s="6" t="inlineStr">
        <is>
          <t>herbs spices</t>
        </is>
      </c>
      <c r="W406" s="6" t="n">
        <v>1</v>
      </c>
      <c r="X406" s="6" t="n">
        <v>0.05</v>
      </c>
      <c r="Y406" s="6" t="inlineStr">
        <is>
          <t>declared</t>
        </is>
      </c>
      <c r="Z406" s="8" t="n">
        <v>3553</v>
      </c>
      <c r="AA406" s="9">
        <f>IF(H406="yes",Z406*X406,0)</f>
        <v/>
      </c>
      <c r="AB406" s="9">
        <f>IF(H406="yes",AA406*N(L406)/100,0)</f>
        <v/>
      </c>
      <c r="AC406" s="9">
        <f>IF(H406="yes",AA406*N(N406)/100,0)</f>
        <v/>
      </c>
      <c r="AD406" s="9">
        <f>IF(H406="yes",AA406*N(O406)/100,0)</f>
        <v/>
      </c>
      <c r="AE406" s="10">
        <f>IF(P406="yes",AA406/1000,0)</f>
        <v/>
      </c>
      <c r="AF406" s="10">
        <f>IF(R406="FG2",AE406*W406,AE406)</f>
        <v/>
      </c>
    </row>
    <row r="407">
      <c r="A407" s="6" t="inlineStr">
        <is>
          <t>HM00405</t>
        </is>
      </c>
      <c r="B407" s="7" t="inlineStr">
        <is>
          <t>5012345817538</t>
        </is>
      </c>
      <c r="C407" s="6" t="inlineStr">
        <is>
          <t>HOUMOUS CARAMEL ONION 200G SOLVANE</t>
        </is>
      </c>
      <c r="D407" s="6" t="inlineStr">
        <is>
          <t>Caramelised onion houmous, 200g</t>
        </is>
      </c>
      <c r="E407" s="6" t="inlineStr">
        <is>
          <t>Solvane</t>
        </is>
      </c>
      <c r="F407" s="6" t="inlineStr">
        <is>
          <t>Deli</t>
        </is>
      </c>
      <c r="G407" s="6" t="inlineStr">
        <is>
          <t>Dips</t>
        </is>
      </c>
      <c r="H407" s="6" t="inlineStr">
        <is>
          <t>yes</t>
        </is>
      </c>
      <c r="I407" s="6" t="inlineStr">
        <is>
          <t>Plant-based core</t>
        </is>
      </c>
      <c r="J407" s="6" t="inlineStr">
        <is>
          <t>A</t>
        </is>
      </c>
      <c r="K407" s="6" t="inlineStr">
        <is>
          <t>All ingredients on one side</t>
        </is>
      </c>
      <c r="L407" s="6" t="n">
        <v>6.9</v>
      </c>
      <c r="M407" s="6" t="inlineStr">
        <is>
          <t>Declared by the retailer</t>
        </is>
      </c>
      <c r="N407" s="6" t="n">
        <v>6.9</v>
      </c>
      <c r="O407" s="6" t="n">
        <v>0</v>
      </c>
      <c r="P407" s="6" t="inlineStr">
        <is>
          <t>yes</t>
        </is>
      </c>
      <c r="Q407" s="6" t="inlineStr">
        <is>
          <t>whole</t>
        </is>
      </c>
      <c r="R407" s="6" t="inlineStr">
        <is>
          <t>FG1</t>
        </is>
      </c>
      <c r="S407" s="6" t="inlineStr">
        <is>
          <t>pulses</t>
        </is>
      </c>
      <c r="T407" s="6" t="inlineStr">
        <is>
          <t>plant</t>
        </is>
      </c>
      <c r="U407" s="6" t="n"/>
      <c r="V407" s="6" t="n"/>
      <c r="W407" s="6" t="n">
        <v>1</v>
      </c>
      <c r="X407" s="6" t="n">
        <v>0.2</v>
      </c>
      <c r="Y407" s="6" t="inlineStr">
        <is>
          <t>declared</t>
        </is>
      </c>
      <c r="Z407" s="8" t="n">
        <v>68269</v>
      </c>
      <c r="AA407" s="9">
        <f>IF(H407="yes",Z407*X407,0)</f>
        <v/>
      </c>
      <c r="AB407" s="9">
        <f>IF(H407="yes",AA407*N(L407)/100,0)</f>
        <v/>
      </c>
      <c r="AC407" s="9">
        <f>IF(H407="yes",AA407*N(N407)/100,0)</f>
        <v/>
      </c>
      <c r="AD407" s="9">
        <f>IF(H407="yes",AA407*N(O407)/100,0)</f>
        <v/>
      </c>
      <c r="AE407" s="10">
        <f>IF(P407="yes",AA407/1000,0)</f>
        <v/>
      </c>
      <c r="AF407" s="10">
        <f>IF(R407="FG2",AE407*W407,AE407)</f>
        <v/>
      </c>
    </row>
    <row r="408">
      <c r="A408" s="6" t="inlineStr">
        <is>
          <t>HM00406</t>
        </is>
      </c>
      <c r="B408" s="7" t="inlineStr">
        <is>
          <t>4012345975185</t>
        </is>
      </c>
      <c r="C408" s="6" t="inlineStr">
        <is>
          <t>ORVALIS CORN FLAKES 1KG</t>
        </is>
      </c>
      <c r="D408" s="6" t="inlineStr">
        <is>
          <t>Corn flakes, 1kg</t>
        </is>
      </c>
      <c r="E408" s="6" t="inlineStr">
        <is>
          <t>Orvalis</t>
        </is>
      </c>
      <c r="F408" s="6" t="inlineStr">
        <is>
          <t>Breakfast &amp; Snacks</t>
        </is>
      </c>
      <c r="G408" s="6" t="inlineStr">
        <is>
          <t>Cereals</t>
        </is>
      </c>
      <c r="H408" s="6" t="inlineStr">
        <is>
          <t>yes</t>
        </is>
      </c>
      <c r="I408" s="6" t="inlineStr">
        <is>
          <t>Plant-based non-core</t>
        </is>
      </c>
      <c r="J408" s="6" t="inlineStr">
        <is>
          <t>A</t>
        </is>
      </c>
      <c r="K408" s="6" t="inlineStr">
        <is>
          <t>All ingredients on one side</t>
        </is>
      </c>
      <c r="L408" s="6" t="n">
        <v>7.2</v>
      </c>
      <c r="M408" s="6" t="inlineStr">
        <is>
          <t>Open Food Facts, by EAN</t>
        </is>
      </c>
      <c r="N408" s="6" t="n">
        <v>7.2</v>
      </c>
      <c r="O408" s="6" t="n">
        <v>0</v>
      </c>
      <c r="P408" s="6" t="inlineStr">
        <is>
          <t>yes</t>
        </is>
      </c>
      <c r="Q408" s="6" t="inlineStr">
        <is>
          <t>whole</t>
        </is>
      </c>
      <c r="R408" s="6" t="inlineStr">
        <is>
          <t>FG5</t>
        </is>
      </c>
      <c r="S408" s="6" t="inlineStr">
        <is>
          <t>refined grain</t>
        </is>
      </c>
      <c r="T408" s="6" t="inlineStr">
        <is>
          <t>plant</t>
        </is>
      </c>
      <c r="U408" s="6" t="n"/>
      <c r="V408" s="6" t="n"/>
      <c r="W408" s="6" t="n">
        <v>1</v>
      </c>
      <c r="X408" s="6" t="n">
        <v>1</v>
      </c>
      <c r="Y408" s="6" t="inlineStr">
        <is>
          <t>label</t>
        </is>
      </c>
      <c r="Z408" s="8" t="n">
        <v>23855</v>
      </c>
      <c r="AA408" s="9">
        <f>IF(H408="yes",Z408*X408,0)</f>
        <v/>
      </c>
      <c r="AB408" s="9">
        <f>IF(H408="yes",AA408*N(L408)/100,0)</f>
        <v/>
      </c>
      <c r="AC408" s="9">
        <f>IF(H408="yes",AA408*N(N408)/100,0)</f>
        <v/>
      </c>
      <c r="AD408" s="9">
        <f>IF(H408="yes",AA408*N(O408)/100,0)</f>
        <v/>
      </c>
      <c r="AE408" s="10">
        <f>IF(P408="yes",AA408/1000,0)</f>
        <v/>
      </c>
      <c r="AF408" s="10">
        <f>IF(R408="FG2",AE408*W408,AE408)</f>
        <v/>
      </c>
    </row>
    <row r="409">
      <c r="A409" s="6" t="inlineStr">
        <is>
          <t>HM00407</t>
        </is>
      </c>
      <c r="B409" s="7" t="inlineStr">
        <is>
          <t>5012345110189</t>
        </is>
      </c>
      <c r="C409" s="6" t="inlineStr">
        <is>
          <t>HM TOMATO KETCHUP 200G</t>
        </is>
      </c>
      <c r="D409" s="6" t="inlineStr">
        <is>
          <t>Tomato ketchup, 200g</t>
        </is>
      </c>
      <c r="E409" s="6" t="inlineStr">
        <is>
          <t>Harbour Market</t>
        </is>
      </c>
      <c r="F409" s="6" t="inlineStr">
        <is>
          <t>Grocery</t>
        </is>
      </c>
      <c r="G409" s="6" t="inlineStr">
        <is>
          <t>Condiments</t>
        </is>
      </c>
      <c r="H409" s="6" t="inlineStr">
        <is>
          <t>yes</t>
        </is>
      </c>
      <c r="I409" s="6" t="inlineStr">
        <is>
          <t>Plant-based non-core</t>
        </is>
      </c>
      <c r="J409" s="6" t="inlineStr">
        <is>
          <t>A</t>
        </is>
      </c>
      <c r="K409" s="6" t="inlineStr">
        <is>
          <t>All ingredients on one side</t>
        </is>
      </c>
      <c r="L409" s="6" t="n">
        <v>1.2</v>
      </c>
      <c r="M409" s="6" t="inlineStr">
        <is>
          <t>Median of the family</t>
        </is>
      </c>
      <c r="N409" s="6" t="n">
        <v>1.2</v>
      </c>
      <c r="O409" s="6" t="n">
        <v>0</v>
      </c>
      <c r="P409" s="6" t="inlineStr">
        <is>
          <t>no</t>
        </is>
      </c>
      <c r="Q409" s="6" t="n"/>
      <c r="R409" s="6" t="n"/>
      <c r="S409" s="6" t="n"/>
      <c r="T409" s="6" t="n"/>
      <c r="U409" s="6" t="n"/>
      <c r="V409" s="6" t="inlineStr">
        <is>
          <t>condiment</t>
        </is>
      </c>
      <c r="W409" s="6" t="n">
        <v>1</v>
      </c>
      <c r="X409" s="6" t="n">
        <v>0.2</v>
      </c>
      <c r="Y409" s="6" t="inlineStr">
        <is>
          <t>declared</t>
        </is>
      </c>
      <c r="Z409" s="8" t="n">
        <v>7946</v>
      </c>
      <c r="AA409" s="9">
        <f>IF(H409="yes",Z409*X409,0)</f>
        <v/>
      </c>
      <c r="AB409" s="9">
        <f>IF(H409="yes",AA409*N(L409)/100,0)</f>
        <v/>
      </c>
      <c r="AC409" s="9">
        <f>IF(H409="yes",AA409*N(N409)/100,0)</f>
        <v/>
      </c>
      <c r="AD409" s="9">
        <f>IF(H409="yes",AA409*N(O409)/100,0)</f>
        <v/>
      </c>
      <c r="AE409" s="10">
        <f>IF(P409="yes",AA409/1000,0)</f>
        <v/>
      </c>
      <c r="AF409" s="10">
        <f>IF(R409="FG2",AE409*W409,AE409)</f>
        <v/>
      </c>
    </row>
    <row r="410">
      <c r="A410" s="6" t="inlineStr">
        <is>
          <t>HM00408</t>
        </is>
      </c>
      <c r="B410" s="7" t="inlineStr">
        <is>
          <t>4012345236798</t>
        </is>
      </c>
      <c r="C410" s="6" t="inlineStr">
        <is>
          <t>HM EGG CRESS SANDWICH EACH</t>
        </is>
      </c>
      <c r="D410" s="6" t="inlineStr">
        <is>
          <t>Egg &amp; cress sandwich</t>
        </is>
      </c>
      <c r="E410" s="6" t="inlineStr">
        <is>
          <t>Harbour Market</t>
        </is>
      </c>
      <c r="F410" s="6" t="inlineStr">
        <is>
          <t>Ready Meals</t>
        </is>
      </c>
      <c r="G410" s="6" t="inlineStr">
        <is>
          <t>Sandwiches</t>
        </is>
      </c>
      <c r="H410" s="6" t="inlineStr">
        <is>
          <t>yes</t>
        </is>
      </c>
      <c r="I410" s="6" t="inlineStr">
        <is>
          <t>Animal &amp; plant composite</t>
        </is>
      </c>
      <c r="J410" s="6" t="inlineStr">
        <is>
          <t>B</t>
        </is>
      </c>
      <c r="K410" s="6" t="inlineStr">
        <is>
          <t>50/50 convention</t>
        </is>
      </c>
      <c r="L410" s="6" t="n">
        <v>11</v>
      </c>
      <c r="M410" s="6" t="inlineStr">
        <is>
          <t>Declared by the retailer</t>
        </is>
      </c>
      <c r="N410" s="6" t="n">
        <v>5.5</v>
      </c>
      <c r="O410" s="6" t="n">
        <v>5.5</v>
      </c>
      <c r="P410" s="6" t="inlineStr">
        <is>
          <t>yes</t>
        </is>
      </c>
      <c r="Q410" s="6" t="inlineStr">
        <is>
          <t>composite</t>
        </is>
      </c>
      <c r="R410" s="6" t="n"/>
      <c r="S410" s="6" t="n"/>
      <c r="T410" s="6" t="n"/>
      <c r="U410" s="6" t="inlineStr">
        <is>
          <t>vegetarian</t>
        </is>
      </c>
      <c r="V410" s="6" t="n"/>
      <c r="W410" s="6" t="n">
        <v>1</v>
      </c>
      <c r="X410" s="6" t="n">
        <v>0.18</v>
      </c>
      <c r="Y410" s="6" t="inlineStr">
        <is>
          <t>declared</t>
        </is>
      </c>
      <c r="Z410" s="8" t="n">
        <v>45267</v>
      </c>
      <c r="AA410" s="9">
        <f>IF(H410="yes",Z410*X410,0)</f>
        <v/>
      </c>
      <c r="AB410" s="9">
        <f>IF(H410="yes",AA410*N(L410)/100,0)</f>
        <v/>
      </c>
      <c r="AC410" s="9">
        <f>IF(H410="yes",AA410*N(N410)/100,0)</f>
        <v/>
      </c>
      <c r="AD410" s="9">
        <f>IF(H410="yes",AA410*N(O410)/100,0)</f>
        <v/>
      </c>
      <c r="AE410" s="10">
        <f>IF(P410="yes",AA410/1000,0)</f>
        <v/>
      </c>
      <c r="AF410" s="10">
        <f>IF(R410="FG2",AE410*W410,AE410)</f>
        <v/>
      </c>
    </row>
    <row r="411">
      <c r="A411" s="6" t="inlineStr">
        <is>
          <t>HM00409</t>
        </is>
      </c>
      <c r="B411" s="7" t="inlineStr">
        <is>
          <t>3012345947688</t>
        </is>
      </c>
      <c r="C411" s="6" t="inlineStr">
        <is>
          <t>HM SOFT CHEESE GARLIC HERB 180G</t>
        </is>
      </c>
      <c r="D411" s="6" t="inlineStr">
        <is>
          <t>Soft cheese with garlic &amp; herbs, 180g</t>
        </is>
      </c>
      <c r="E411" s="6" t="inlineStr">
        <is>
          <t>Harbour Market</t>
        </is>
      </c>
      <c r="F411" s="6" t="inlineStr">
        <is>
          <t>Cheese</t>
        </is>
      </c>
      <c r="G411" s="6" t="inlineStr">
        <is>
          <t>Fresh Cheese</t>
        </is>
      </c>
      <c r="H411" s="6" t="inlineStr">
        <is>
          <t>yes</t>
        </is>
      </c>
      <c r="I411" s="6" t="inlineStr">
        <is>
          <t>Animal core</t>
        </is>
      </c>
      <c r="J411" s="6" t="inlineStr">
        <is>
          <t>B</t>
        </is>
      </c>
      <c r="K411" s="6" t="inlineStr">
        <is>
          <t>First ingredient (step 4a)</t>
        </is>
      </c>
      <c r="L411" s="6" t="n">
        <v>6.9</v>
      </c>
      <c r="M411" s="6" t="inlineStr">
        <is>
          <t>Declared by the retailer</t>
        </is>
      </c>
      <c r="N411" s="6" t="n">
        <v>0</v>
      </c>
      <c r="O411" s="6" t="n">
        <v>6.9</v>
      </c>
      <c r="P411" s="6" t="inlineStr">
        <is>
          <t>yes</t>
        </is>
      </c>
      <c r="Q411" s="6" t="inlineStr">
        <is>
          <t>whole</t>
        </is>
      </c>
      <c r="R411" s="6" t="inlineStr">
        <is>
          <t>FG2</t>
        </is>
      </c>
      <c r="S411" s="6" t="inlineStr">
        <is>
          <t>dairy</t>
        </is>
      </c>
      <c r="T411" s="6" t="inlineStr">
        <is>
          <t>animal</t>
        </is>
      </c>
      <c r="U411" s="6" t="n"/>
      <c r="V411" s="6" t="n"/>
      <c r="W411" s="6" t="n">
        <v>1</v>
      </c>
      <c r="X411" s="6" t="n">
        <v>0.18</v>
      </c>
      <c r="Y411" s="6" t="inlineStr">
        <is>
          <t>declared</t>
        </is>
      </c>
      <c r="Z411" s="8" t="n">
        <v>23845</v>
      </c>
      <c r="AA411" s="9">
        <f>IF(H411="yes",Z411*X411,0)</f>
        <v/>
      </c>
      <c r="AB411" s="9">
        <f>IF(H411="yes",AA411*N(L411)/100,0)</f>
        <v/>
      </c>
      <c r="AC411" s="9">
        <f>IF(H411="yes",AA411*N(N411)/100,0)</f>
        <v/>
      </c>
      <c r="AD411" s="9">
        <f>IF(H411="yes",AA411*N(O411)/100,0)</f>
        <v/>
      </c>
      <c r="AE411" s="10">
        <f>IF(P411="yes",AA411/1000,0)</f>
        <v/>
      </c>
      <c r="AF411" s="10">
        <f>IF(R411="FG2",AE411*W411,AE411)</f>
        <v/>
      </c>
    </row>
    <row r="412">
      <c r="A412" s="6" t="inlineStr">
        <is>
          <t>HM00410</t>
        </is>
      </c>
      <c r="B412" s="7" t="inlineStr">
        <is>
          <t>8712345182922</t>
        </is>
      </c>
      <c r="C412" s="6" t="inlineStr">
        <is>
          <t>PENROCK HASH BROWNS 1.5KG</t>
        </is>
      </c>
      <c r="D412" s="6" t="inlineStr">
        <is>
          <t>Hash browns, 1.5kg</t>
        </is>
      </c>
      <c r="E412" s="6" t="inlineStr">
        <is>
          <t>Penrock</t>
        </is>
      </c>
      <c r="F412" s="6" t="inlineStr">
        <is>
          <t>Frozen</t>
        </is>
      </c>
      <c r="G412" s="6" t="inlineStr">
        <is>
          <t>Frozen Potatoes</t>
        </is>
      </c>
      <c r="H412" s="6" t="inlineStr">
        <is>
          <t>yes</t>
        </is>
      </c>
      <c r="I412" s="6" t="inlineStr">
        <is>
          <t>Plant-based non-core</t>
        </is>
      </c>
      <c r="J412" s="6" t="inlineStr">
        <is>
          <t>B</t>
        </is>
      </c>
      <c r="K412" s="6" t="inlineStr">
        <is>
          <t>Follows the class</t>
        </is>
      </c>
      <c r="L412" s="6" t="n">
        <v>2.6</v>
      </c>
      <c r="M412" s="6" t="inlineStr">
        <is>
          <t>Declared by the retailer</t>
        </is>
      </c>
      <c r="N412" s="6" t="n">
        <v>2.6</v>
      </c>
      <c r="O412" s="6" t="n">
        <v>0</v>
      </c>
      <c r="P412" s="6" t="inlineStr">
        <is>
          <t>yes</t>
        </is>
      </c>
      <c r="Q412" s="6" t="inlineStr">
        <is>
          <t>whole</t>
        </is>
      </c>
      <c r="R412" s="6" t="inlineStr">
        <is>
          <t>FG7</t>
        </is>
      </c>
      <c r="S412" s="6" t="n"/>
      <c r="T412" s="6" t="inlineStr">
        <is>
          <t>plant</t>
        </is>
      </c>
      <c r="U412" s="6" t="n"/>
      <c r="V412" s="6" t="n"/>
      <c r="W412" s="6" t="n">
        <v>1</v>
      </c>
      <c r="X412" s="6" t="n">
        <v>1.5</v>
      </c>
      <c r="Y412" s="6" t="inlineStr">
        <is>
          <t>label</t>
        </is>
      </c>
      <c r="Z412" s="8" t="n">
        <v>9729</v>
      </c>
      <c r="AA412" s="9">
        <f>IF(H412="yes",Z412*X412,0)</f>
        <v/>
      </c>
      <c r="AB412" s="9">
        <f>IF(H412="yes",AA412*N(L412)/100,0)</f>
        <v/>
      </c>
      <c r="AC412" s="9">
        <f>IF(H412="yes",AA412*N(N412)/100,0)</f>
        <v/>
      </c>
      <c r="AD412" s="9">
        <f>IF(H412="yes",AA412*N(O412)/100,0)</f>
        <v/>
      </c>
      <c r="AE412" s="10">
        <f>IF(P412="yes",AA412/1000,0)</f>
        <v/>
      </c>
      <c r="AF412" s="10">
        <f>IF(R412="FG2",AE412*W412,AE412)</f>
        <v/>
      </c>
    </row>
    <row r="413">
      <c r="A413" s="6" t="inlineStr">
        <is>
          <t>HM00411</t>
        </is>
      </c>
      <c r="B413" s="7" t="inlineStr">
        <is>
          <t>5012345635132</t>
        </is>
      </c>
      <c r="C413" s="6" t="inlineStr">
        <is>
          <t>HM BRAN FLAKES 750G</t>
        </is>
      </c>
      <c r="D413" s="6" t="inlineStr">
        <is>
          <t>Bran flakes, 750g</t>
        </is>
      </c>
      <c r="E413" s="6" t="inlineStr">
        <is>
          <t>Harbour Market</t>
        </is>
      </c>
      <c r="F413" s="6" t="inlineStr">
        <is>
          <t>Breakfast &amp; Snacks</t>
        </is>
      </c>
      <c r="G413" s="6" t="inlineStr">
        <is>
          <t>Cereals</t>
        </is>
      </c>
      <c r="H413" s="6" t="inlineStr">
        <is>
          <t>yes</t>
        </is>
      </c>
      <c r="I413" s="6" t="inlineStr">
        <is>
          <t>Plant-based non-core</t>
        </is>
      </c>
      <c r="J413" s="6" t="inlineStr">
        <is>
          <t>B</t>
        </is>
      </c>
      <c r="K413" s="6" t="inlineStr">
        <is>
          <t>Follows the class</t>
        </is>
      </c>
      <c r="L413" s="6" t="n">
        <v>10</v>
      </c>
      <c r="M413" s="6" t="inlineStr">
        <is>
          <t>Declared by the retailer</t>
        </is>
      </c>
      <c r="N413" s="6" t="n">
        <v>10</v>
      </c>
      <c r="O413" s="6" t="n">
        <v>0</v>
      </c>
      <c r="P413" s="6" t="inlineStr">
        <is>
          <t>yes</t>
        </is>
      </c>
      <c r="Q413" s="6" t="inlineStr">
        <is>
          <t>whole</t>
        </is>
      </c>
      <c r="R413" s="6" t="inlineStr">
        <is>
          <t>FG5</t>
        </is>
      </c>
      <c r="S413" s="6" t="inlineStr">
        <is>
          <t>whole grain</t>
        </is>
      </c>
      <c r="T413" s="6" t="inlineStr">
        <is>
          <t>plant</t>
        </is>
      </c>
      <c r="U413" s="6" t="n"/>
      <c r="V413" s="6" t="n"/>
      <c r="W413" s="6" t="n">
        <v>1</v>
      </c>
      <c r="X413" s="6" t="n">
        <v>0.75</v>
      </c>
      <c r="Y413" s="6" t="inlineStr">
        <is>
          <t>declared</t>
        </is>
      </c>
      <c r="Z413" s="8" t="n">
        <v>19092</v>
      </c>
      <c r="AA413" s="9">
        <f>IF(H413="yes",Z413*X413,0)</f>
        <v/>
      </c>
      <c r="AB413" s="9">
        <f>IF(H413="yes",AA413*N(L413)/100,0)</f>
        <v/>
      </c>
      <c r="AC413" s="9">
        <f>IF(H413="yes",AA413*N(N413)/100,0)</f>
        <v/>
      </c>
      <c r="AD413" s="9">
        <f>IF(H413="yes",AA413*N(O413)/100,0)</f>
        <v/>
      </c>
      <c r="AE413" s="10">
        <f>IF(P413="yes",AA413/1000,0)</f>
        <v/>
      </c>
      <c r="AF413" s="10">
        <f>IF(R413="FG2",AE413*W413,AE413)</f>
        <v/>
      </c>
    </row>
    <row r="414">
      <c r="A414" s="6" t="inlineStr">
        <is>
          <t>HM00412</t>
        </is>
      </c>
      <c r="B414" s="7" t="inlineStr">
        <is>
          <t>8712345716653</t>
        </is>
      </c>
      <c r="C414" s="6" t="inlineStr">
        <is>
          <t>BF MINCE 20% 1KG TARROW</t>
        </is>
      </c>
      <c r="D414" s="6" t="inlineStr">
        <is>
          <t>Beef mince, 20% fat, 1kg</t>
        </is>
      </c>
      <c r="E414" s="6" t="inlineStr">
        <is>
          <t>Tarrow Farm</t>
        </is>
      </c>
      <c r="F414" s="6" t="inlineStr">
        <is>
          <t>Fresh Meat &amp; Poultry</t>
        </is>
      </c>
      <c r="G414" s="6" t="inlineStr">
        <is>
          <t>Beef</t>
        </is>
      </c>
      <c r="H414" s="6" t="inlineStr">
        <is>
          <t>yes</t>
        </is>
      </c>
      <c r="I414" s="6" t="inlineStr">
        <is>
          <t>Animal core</t>
        </is>
      </c>
      <c r="J414" s="6" t="inlineStr">
        <is>
          <t>A</t>
        </is>
      </c>
      <c r="K414" s="6" t="inlineStr">
        <is>
          <t>All ingredients on one side</t>
        </is>
      </c>
      <c r="L414" s="6" t="n">
        <v>17.3</v>
      </c>
      <c r="M414" s="6" t="inlineStr">
        <is>
          <t>Open Food Facts, by EAN</t>
        </is>
      </c>
      <c r="N414" s="6" t="n">
        <v>0</v>
      </c>
      <c r="O414" s="6" t="n">
        <v>17.3</v>
      </c>
      <c r="P414" s="6" t="inlineStr">
        <is>
          <t>yes</t>
        </is>
      </c>
      <c r="Q414" s="6" t="inlineStr">
        <is>
          <t>whole</t>
        </is>
      </c>
      <c r="R414" s="6" t="inlineStr">
        <is>
          <t>FG1</t>
        </is>
      </c>
      <c r="S414" s="6" t="inlineStr">
        <is>
          <t>red meat</t>
        </is>
      </c>
      <c r="T414" s="6" t="inlineStr">
        <is>
          <t>animal</t>
        </is>
      </c>
      <c r="U414" s="6" t="n"/>
      <c r="V414" s="6" t="n"/>
      <c r="W414" s="6" t="n">
        <v>1</v>
      </c>
      <c r="X414" s="6" t="n">
        <v>1</v>
      </c>
      <c r="Y414" s="6" t="inlineStr">
        <is>
          <t>declared</t>
        </is>
      </c>
      <c r="Z414" s="8" t="n">
        <v>20008</v>
      </c>
      <c r="AA414" s="9">
        <f>IF(H414="yes",Z414*X414,0)</f>
        <v/>
      </c>
      <c r="AB414" s="9">
        <f>IF(H414="yes",AA414*N(L414)/100,0)</f>
        <v/>
      </c>
      <c r="AC414" s="9">
        <f>IF(H414="yes",AA414*N(N414)/100,0)</f>
        <v/>
      </c>
      <c r="AD414" s="9">
        <f>IF(H414="yes",AA414*N(O414)/100,0)</f>
        <v/>
      </c>
      <c r="AE414" s="10">
        <f>IF(P414="yes",AA414/1000,0)</f>
        <v/>
      </c>
      <c r="AF414" s="10">
        <f>IF(R414="FG2",AE414*W414,AE414)</f>
        <v/>
      </c>
    </row>
    <row r="415">
      <c r="A415" s="6" t="inlineStr">
        <is>
          <t>HM00413</t>
        </is>
      </c>
      <c r="B415" s="7" t="inlineStr">
        <is>
          <t>5012345155005</t>
        </is>
      </c>
      <c r="C415" s="6" t="inlineStr">
        <is>
          <t>HM HOUMOUS CLASSIC 200G</t>
        </is>
      </c>
      <c r="D415" s="6" t="inlineStr">
        <is>
          <t>Classic houmous, 200g</t>
        </is>
      </c>
      <c r="E415" s="6" t="inlineStr">
        <is>
          <t>Harbour Market</t>
        </is>
      </c>
      <c r="F415" s="6" t="inlineStr">
        <is>
          <t>Deli</t>
        </is>
      </c>
      <c r="G415" s="6" t="inlineStr">
        <is>
          <t>Dips</t>
        </is>
      </c>
      <c r="H415" s="6" t="inlineStr">
        <is>
          <t>yes</t>
        </is>
      </c>
      <c r="I415" s="6" t="inlineStr">
        <is>
          <t>Plant-based core</t>
        </is>
      </c>
      <c r="J415" s="6" t="inlineStr">
        <is>
          <t>A</t>
        </is>
      </c>
      <c r="K415" s="6" t="inlineStr">
        <is>
          <t>All ingredients on one side</t>
        </is>
      </c>
      <c r="L415" s="6" t="n">
        <v>7</v>
      </c>
      <c r="M415" s="6" t="inlineStr">
        <is>
          <t>Median of the family</t>
        </is>
      </c>
      <c r="N415" s="6" t="n">
        <v>7</v>
      </c>
      <c r="O415" s="6" t="n">
        <v>0</v>
      </c>
      <c r="P415" s="6" t="inlineStr">
        <is>
          <t>yes</t>
        </is>
      </c>
      <c r="Q415" s="6" t="inlineStr">
        <is>
          <t>whole</t>
        </is>
      </c>
      <c r="R415" s="6" t="inlineStr">
        <is>
          <t>FG1</t>
        </is>
      </c>
      <c r="S415" s="6" t="inlineStr">
        <is>
          <t>pulses</t>
        </is>
      </c>
      <c r="T415" s="6" t="inlineStr">
        <is>
          <t>plant</t>
        </is>
      </c>
      <c r="U415" s="6" t="n"/>
      <c r="V415" s="6" t="n"/>
      <c r="W415" s="6" t="n">
        <v>1</v>
      </c>
      <c r="X415" s="6" t="n">
        <v>0.2</v>
      </c>
      <c r="Y415" s="6" t="inlineStr">
        <is>
          <t>label</t>
        </is>
      </c>
      <c r="Z415" s="8" t="n">
        <v>13175</v>
      </c>
      <c r="AA415" s="9">
        <f>IF(H415="yes",Z415*X415,0)</f>
        <v/>
      </c>
      <c r="AB415" s="9">
        <f>IF(H415="yes",AA415*N(L415)/100,0)</f>
        <v/>
      </c>
      <c r="AC415" s="9">
        <f>IF(H415="yes",AA415*N(N415)/100,0)</f>
        <v/>
      </c>
      <c r="AD415" s="9">
        <f>IF(H415="yes",AA415*N(O415)/100,0)</f>
        <v/>
      </c>
      <c r="AE415" s="10">
        <f>IF(P415="yes",AA415/1000,0)</f>
        <v/>
      </c>
      <c r="AF415" s="10">
        <f>IF(R415="FG2",AE415*W415,AE415)</f>
        <v/>
      </c>
    </row>
    <row r="416">
      <c r="A416" s="6" t="inlineStr">
        <is>
          <t>HM00414</t>
        </is>
      </c>
      <c r="B416" s="7" t="inlineStr">
        <is>
          <t>4012345447200</t>
        </is>
      </c>
      <c r="C416" s="6" t="inlineStr">
        <is>
          <t>HM PORK LOIN CHOPS 400G</t>
        </is>
      </c>
      <c r="D416" s="6" t="inlineStr">
        <is>
          <t>Pork loin chops, 400g</t>
        </is>
      </c>
      <c r="E416" s="6" t="inlineStr">
        <is>
          <t>Harbour Market</t>
        </is>
      </c>
      <c r="F416" s="6" t="inlineStr">
        <is>
          <t>Fresh Meat &amp; Poultry</t>
        </is>
      </c>
      <c r="G416" s="6" t="inlineStr">
        <is>
          <t>Pork</t>
        </is>
      </c>
      <c r="H416" s="6" t="inlineStr">
        <is>
          <t>yes</t>
        </is>
      </c>
      <c r="I416" s="6" t="inlineStr">
        <is>
          <t>Animal core</t>
        </is>
      </c>
      <c r="J416" s="6" t="inlineStr">
        <is>
          <t>B</t>
        </is>
      </c>
      <c r="K416" s="6" t="inlineStr">
        <is>
          <t>Follows the class</t>
        </is>
      </c>
      <c r="L416" s="6" t="n">
        <v>19.5</v>
      </c>
      <c r="M416" s="6" t="inlineStr">
        <is>
          <t>Open Food Facts, by EAN</t>
        </is>
      </c>
      <c r="N416" s="6" t="n">
        <v>0</v>
      </c>
      <c r="O416" s="6" t="n">
        <v>19.5</v>
      </c>
      <c r="P416" s="6" t="inlineStr">
        <is>
          <t>yes</t>
        </is>
      </c>
      <c r="Q416" s="6" t="inlineStr">
        <is>
          <t>whole</t>
        </is>
      </c>
      <c r="R416" s="6" t="inlineStr">
        <is>
          <t>FG1</t>
        </is>
      </c>
      <c r="S416" s="6" t="inlineStr">
        <is>
          <t>red meat</t>
        </is>
      </c>
      <c r="T416" s="6" t="inlineStr">
        <is>
          <t>animal</t>
        </is>
      </c>
      <c r="U416" s="6" t="n"/>
      <c r="V416" s="6" t="n"/>
      <c r="W416" s="6" t="n">
        <v>1</v>
      </c>
      <c r="X416" s="6" t="n">
        <v>0.4</v>
      </c>
      <c r="Y416" s="6" t="inlineStr">
        <is>
          <t>declared</t>
        </is>
      </c>
      <c r="Z416" s="8" t="n">
        <v>12645</v>
      </c>
      <c r="AA416" s="9">
        <f>IF(H416="yes",Z416*X416,0)</f>
        <v/>
      </c>
      <c r="AB416" s="9">
        <f>IF(H416="yes",AA416*N(L416)/100,0)</f>
        <v/>
      </c>
      <c r="AC416" s="9">
        <f>IF(H416="yes",AA416*N(N416)/100,0)</f>
        <v/>
      </c>
      <c r="AD416" s="9">
        <f>IF(H416="yes",AA416*N(O416)/100,0)</f>
        <v/>
      </c>
      <c r="AE416" s="10">
        <f>IF(P416="yes",AA416/1000,0)</f>
        <v/>
      </c>
      <c r="AF416" s="10">
        <f>IF(R416="FG2",AE416*W416,AE416)</f>
        <v/>
      </c>
    </row>
    <row r="417">
      <c r="A417" s="6" t="inlineStr">
        <is>
          <t>HM00415</t>
        </is>
      </c>
      <c r="B417" s="7" t="inlineStr">
        <is>
          <t>8712345488093</t>
        </is>
      </c>
      <c r="C417" s="6" t="inlineStr">
        <is>
          <t>FJELDA GREEK STYLE YOG 500G</t>
        </is>
      </c>
      <c r="D417" s="6" t="inlineStr">
        <is>
          <t>Greek-style yoghurt, 500g</t>
        </is>
      </c>
      <c r="E417" s="6" t="inlineStr">
        <is>
          <t>Fjelda</t>
        </is>
      </c>
      <c r="F417" s="6" t="inlineStr">
        <is>
          <t>Dairy &amp; Eggs</t>
        </is>
      </c>
      <c r="G417" s="6" t="inlineStr">
        <is>
          <t>Yoghurt</t>
        </is>
      </c>
      <c r="H417" s="6" t="inlineStr">
        <is>
          <t>yes</t>
        </is>
      </c>
      <c r="I417" s="6" t="inlineStr">
        <is>
          <t>Animal core</t>
        </is>
      </c>
      <c r="J417" s="6" t="inlineStr">
        <is>
          <t>A</t>
        </is>
      </c>
      <c r="K417" s="6" t="inlineStr">
        <is>
          <t>All ingredients on one side</t>
        </is>
      </c>
      <c r="L417" s="6" t="n">
        <v>6.1</v>
      </c>
      <c r="M417" s="6" t="inlineStr">
        <is>
          <t>Median of the family</t>
        </is>
      </c>
      <c r="N417" s="6" t="n">
        <v>0</v>
      </c>
      <c r="O417" s="6" t="n">
        <v>6.1</v>
      </c>
      <c r="P417" s="6" t="inlineStr">
        <is>
          <t>yes</t>
        </is>
      </c>
      <c r="Q417" s="6" t="inlineStr">
        <is>
          <t>whole</t>
        </is>
      </c>
      <c r="R417" s="6" t="inlineStr">
        <is>
          <t>FG2</t>
        </is>
      </c>
      <c r="S417" s="6" t="inlineStr">
        <is>
          <t>dairy</t>
        </is>
      </c>
      <c r="T417" s="6" t="inlineStr">
        <is>
          <t>animal</t>
        </is>
      </c>
      <c r="U417" s="6" t="n"/>
      <c r="V417" s="6" t="n"/>
      <c r="W417" s="6" t="n">
        <v>1</v>
      </c>
      <c r="X417" s="6" t="n">
        <v>0.5</v>
      </c>
      <c r="Y417" s="6" t="inlineStr">
        <is>
          <t>declared</t>
        </is>
      </c>
      <c r="Z417" s="8" t="n">
        <v>20493</v>
      </c>
      <c r="AA417" s="9">
        <f>IF(H417="yes",Z417*X417,0)</f>
        <v/>
      </c>
      <c r="AB417" s="9">
        <f>IF(H417="yes",AA417*N(L417)/100,0)</f>
        <v/>
      </c>
      <c r="AC417" s="9">
        <f>IF(H417="yes",AA417*N(N417)/100,0)</f>
        <v/>
      </c>
      <c r="AD417" s="9">
        <f>IF(H417="yes",AA417*N(O417)/100,0)</f>
        <v/>
      </c>
      <c r="AE417" s="10">
        <f>IF(P417="yes",AA417/1000,0)</f>
        <v/>
      </c>
      <c r="AF417" s="10">
        <f>IF(R417="FG2",AE417*W417,AE417)</f>
        <v/>
      </c>
    </row>
    <row r="418">
      <c r="A418" s="6" t="inlineStr">
        <is>
          <t>HM00416</t>
        </is>
      </c>
      <c r="B418" s="7" t="inlineStr">
        <is>
          <t>3012345812696</t>
        </is>
      </c>
      <c r="C418" s="6" t="inlineStr">
        <is>
          <t>HM ORANGE JUICE BITS 1L</t>
        </is>
      </c>
      <c r="D418" s="6" t="inlineStr">
        <is>
          <t>Orange juice with bits, 1l</t>
        </is>
      </c>
      <c r="E418" s="6" t="inlineStr">
        <is>
          <t>Harbour Market</t>
        </is>
      </c>
      <c r="F418" s="6" t="inlineStr">
        <is>
          <t>Soft Drinks &amp; Water</t>
        </is>
      </c>
      <c r="G418" s="6" t="inlineStr">
        <is>
          <t>Juice</t>
        </is>
      </c>
      <c r="H418" s="6" t="inlineStr">
        <is>
          <t>yes</t>
        </is>
      </c>
      <c r="I418" s="6" t="inlineStr">
        <is>
          <t>Plant-based non-core</t>
        </is>
      </c>
      <c r="J418" s="6" t="inlineStr">
        <is>
          <t>A</t>
        </is>
      </c>
      <c r="K418" s="6" t="inlineStr">
        <is>
          <t>All ingredients on one side</t>
        </is>
      </c>
      <c r="L418" s="6" t="n">
        <v>0.72</v>
      </c>
      <c r="M418" s="6" t="inlineStr">
        <is>
          <t>Median of the family</t>
        </is>
      </c>
      <c r="N418" s="6" t="n">
        <v>0.72</v>
      </c>
      <c r="O418" s="6" t="n">
        <v>0</v>
      </c>
      <c r="P418" s="6" t="inlineStr">
        <is>
          <t>no</t>
        </is>
      </c>
      <c r="Q418" s="6" t="n"/>
      <c r="R418" s="6" t="n"/>
      <c r="S418" s="6" t="n"/>
      <c r="T418" s="6" t="n"/>
      <c r="U418" s="6" t="n"/>
      <c r="V418" s="6" t="inlineStr">
        <is>
          <t>beverage</t>
        </is>
      </c>
      <c r="W418" s="6" t="n">
        <v>1</v>
      </c>
      <c r="X418" s="6" t="n">
        <v>1.04</v>
      </c>
      <c r="Y418" s="6" t="inlineStr">
        <is>
          <t>declared</t>
        </is>
      </c>
      <c r="Z418" s="8" t="n">
        <v>13317</v>
      </c>
      <c r="AA418" s="9">
        <f>IF(H418="yes",Z418*X418,0)</f>
        <v/>
      </c>
      <c r="AB418" s="9">
        <f>IF(H418="yes",AA418*N(L418)/100,0)</f>
        <v/>
      </c>
      <c r="AC418" s="9">
        <f>IF(H418="yes",AA418*N(N418)/100,0)</f>
        <v/>
      </c>
      <c r="AD418" s="9">
        <f>IF(H418="yes",AA418*N(O418)/100,0)</f>
        <v/>
      </c>
      <c r="AE418" s="10">
        <f>IF(P418="yes",AA418/1000,0)</f>
        <v/>
      </c>
      <c r="AF418" s="10">
        <f>IF(R418="FG2",AE418*W418,AE418)</f>
        <v/>
      </c>
    </row>
    <row r="419">
      <c r="A419" s="6" t="inlineStr">
        <is>
          <t>HM00417</t>
        </is>
      </c>
      <c r="B419" s="7" t="inlineStr">
        <is>
          <t>8712345489045</t>
        </is>
      </c>
      <c r="C419" s="6" t="inlineStr">
        <is>
          <t>HM PLANT BURGERS 6PK 270G</t>
        </is>
      </c>
      <c r="D419" s="6" t="inlineStr">
        <is>
          <t>Plant-based burgers, 6pk 270g</t>
        </is>
      </c>
      <c r="E419" s="6" t="inlineStr">
        <is>
          <t>Harbour Market</t>
        </is>
      </c>
      <c r="F419" s="6" t="inlineStr">
        <is>
          <t>Plant-Based</t>
        </is>
      </c>
      <c r="G419" s="6" t="inlineStr">
        <is>
          <t>Meat Alternatives</t>
        </is>
      </c>
      <c r="H419" s="6" t="inlineStr">
        <is>
          <t>yes</t>
        </is>
      </c>
      <c r="I419" s="6" t="inlineStr">
        <is>
          <t>Plant-based core</t>
        </is>
      </c>
      <c r="J419" s="6" t="inlineStr">
        <is>
          <t>A</t>
        </is>
      </c>
      <c r="K419" s="6" t="inlineStr">
        <is>
          <t>All ingredients on one side</t>
        </is>
      </c>
      <c r="L419" s="6" t="n">
        <v>16.8</v>
      </c>
      <c r="M419" s="6" t="inlineStr">
        <is>
          <t>Open Food Facts, by EAN</t>
        </is>
      </c>
      <c r="N419" s="6" t="n">
        <v>16.8</v>
      </c>
      <c r="O419" s="6" t="n">
        <v>0</v>
      </c>
      <c r="P419" s="6" t="inlineStr">
        <is>
          <t>yes</t>
        </is>
      </c>
      <c r="Q419" s="6" t="inlineStr">
        <is>
          <t>whole</t>
        </is>
      </c>
      <c r="R419" s="6" t="inlineStr">
        <is>
          <t>FG1</t>
        </is>
      </c>
      <c r="S419" s="6" t="inlineStr">
        <is>
          <t>alternative products</t>
        </is>
      </c>
      <c r="T419" s="6" t="inlineStr">
        <is>
          <t>plant</t>
        </is>
      </c>
      <c r="U419" s="6" t="n"/>
      <c r="V419" s="6" t="n"/>
      <c r="W419" s="6" t="n">
        <v>1</v>
      </c>
      <c r="X419" s="6" t="n">
        <v>0.27</v>
      </c>
      <c r="Y419" s="6" t="inlineStr">
        <is>
          <t>declared</t>
        </is>
      </c>
      <c r="Z419" s="8" t="n">
        <v>17901</v>
      </c>
      <c r="AA419" s="9">
        <f>IF(H419="yes",Z419*X419,0)</f>
        <v/>
      </c>
      <c r="AB419" s="9">
        <f>IF(H419="yes",AA419*N(L419)/100,0)</f>
        <v/>
      </c>
      <c r="AC419" s="9">
        <f>IF(H419="yes",AA419*N(N419)/100,0)</f>
        <v/>
      </c>
      <c r="AD419" s="9">
        <f>IF(H419="yes",AA419*N(O419)/100,0)</f>
        <v/>
      </c>
      <c r="AE419" s="10">
        <f>IF(P419="yes",AA419/1000,0)</f>
        <v/>
      </c>
      <c r="AF419" s="10">
        <f>IF(R419="FG2",AE419*W419,AE419)</f>
        <v/>
      </c>
    </row>
    <row r="420">
      <c r="A420" s="6" t="inlineStr">
        <is>
          <t>HM00418</t>
        </is>
      </c>
      <c r="B420" s="7" t="inlineStr">
        <is>
          <t>8712345939659</t>
        </is>
      </c>
      <c r="C420" s="6" t="inlineStr">
        <is>
          <t>HM FREE RANGE EGGS 15PK</t>
        </is>
      </c>
      <c r="D420" s="6" t="inlineStr">
        <is>
          <t>Free-range eggs, 15pk</t>
        </is>
      </c>
      <c r="E420" s="6" t="inlineStr">
        <is>
          <t>Harbour Market</t>
        </is>
      </c>
      <c r="F420" s="6" t="inlineStr">
        <is>
          <t>Dairy &amp; Eggs</t>
        </is>
      </c>
      <c r="G420" s="6" t="inlineStr">
        <is>
          <t>Eggs</t>
        </is>
      </c>
      <c r="H420" s="6" t="inlineStr">
        <is>
          <t>yes</t>
        </is>
      </c>
      <c r="I420" s="6" t="inlineStr">
        <is>
          <t>Animal core</t>
        </is>
      </c>
      <c r="J420" s="6" t="inlineStr">
        <is>
          <t>B</t>
        </is>
      </c>
      <c r="K420" s="6" t="inlineStr">
        <is>
          <t>Follows the class</t>
        </is>
      </c>
      <c r="L420" s="6" t="n">
        <v>12.9</v>
      </c>
      <c r="M420" s="6" t="inlineStr">
        <is>
          <t>Declared by the retailer</t>
        </is>
      </c>
      <c r="N420" s="6" t="n">
        <v>0</v>
      </c>
      <c r="O420" s="6" t="n">
        <v>12.9</v>
      </c>
      <c r="P420" s="6" t="inlineStr">
        <is>
          <t>yes</t>
        </is>
      </c>
      <c r="Q420" s="6" t="inlineStr">
        <is>
          <t>whole</t>
        </is>
      </c>
      <c r="R420" s="6" t="inlineStr">
        <is>
          <t>FG1</t>
        </is>
      </c>
      <c r="S420" s="6" t="inlineStr">
        <is>
          <t>eggs</t>
        </is>
      </c>
      <c r="T420" s="6" t="inlineStr">
        <is>
          <t>animal</t>
        </is>
      </c>
      <c r="U420" s="6" t="n"/>
      <c r="V420" s="6" t="n"/>
      <c r="W420" s="6" t="n">
        <v>1</v>
      </c>
      <c r="X420" s="6" t="n">
        <v>0.9</v>
      </c>
      <c r="Y420" s="6" t="inlineStr">
        <is>
          <t>declared</t>
        </is>
      </c>
      <c r="Z420" s="8" t="n">
        <v>24206</v>
      </c>
      <c r="AA420" s="9">
        <f>IF(H420="yes",Z420*X420,0)</f>
        <v/>
      </c>
      <c r="AB420" s="9">
        <f>IF(H420="yes",AA420*N(L420)/100,0)</f>
        <v/>
      </c>
      <c r="AC420" s="9">
        <f>IF(H420="yes",AA420*N(N420)/100,0)</f>
        <v/>
      </c>
      <c r="AD420" s="9">
        <f>IF(H420="yes",AA420*N(O420)/100,0)</f>
        <v/>
      </c>
      <c r="AE420" s="10">
        <f>IF(P420="yes",AA420/1000,0)</f>
        <v/>
      </c>
      <c r="AF420" s="10">
        <f>IF(R420="FG2",AE420*W420,AE420)</f>
        <v/>
      </c>
    </row>
    <row r="421">
      <c r="A421" s="6" t="inlineStr">
        <is>
          <t>HM00419</t>
        </is>
      </c>
      <c r="B421" s="7" t="inlineStr">
        <is>
          <t>8712345342821</t>
        </is>
      </c>
      <c r="C421" s="6" t="inlineStr">
        <is>
          <t>UNSALTED BUTTER 500G FJELDA</t>
        </is>
      </c>
      <c r="D421" s="6" t="inlineStr">
        <is>
          <t>Unsalted butter, 500g</t>
        </is>
      </c>
      <c r="E421" s="6" t="inlineStr">
        <is>
          <t>Fjelda</t>
        </is>
      </c>
      <c r="F421" s="6" t="inlineStr">
        <is>
          <t>Dairy &amp; Eggs</t>
        </is>
      </c>
      <c r="G421" s="6" t="inlineStr">
        <is>
          <t>Butter &amp; Spreads</t>
        </is>
      </c>
      <c r="H421" s="6" t="inlineStr">
        <is>
          <t>yes</t>
        </is>
      </c>
      <c r="I421" s="6" t="inlineStr">
        <is>
          <t>Animal core</t>
        </is>
      </c>
      <c r="J421" s="6" t="inlineStr">
        <is>
          <t>A</t>
        </is>
      </c>
      <c r="K421" s="6" t="inlineStr">
        <is>
          <t>All ingredients on one side</t>
        </is>
      </c>
      <c r="L421" s="6" t="n">
        <v>0.62</v>
      </c>
      <c r="M421" s="6" t="inlineStr">
        <is>
          <t>Declared by the retailer</t>
        </is>
      </c>
      <c r="N421" s="6" t="n">
        <v>0</v>
      </c>
      <c r="O421" s="6" t="n">
        <v>0.62</v>
      </c>
      <c r="P421" s="6" t="inlineStr">
        <is>
          <t>yes</t>
        </is>
      </c>
      <c r="Q421" s="6" t="inlineStr">
        <is>
          <t>whole</t>
        </is>
      </c>
      <c r="R421" s="6" t="inlineStr">
        <is>
          <t>FG3</t>
        </is>
      </c>
      <c r="S421" s="6" t="inlineStr">
        <is>
          <t>animal fat</t>
        </is>
      </c>
      <c r="T421" s="6" t="inlineStr">
        <is>
          <t>animal</t>
        </is>
      </c>
      <c r="U421" s="6" t="n"/>
      <c r="V421" s="6" t="n"/>
      <c r="W421" s="6" t="n">
        <v>1</v>
      </c>
      <c r="X421" s="6" t="n">
        <v>0.5</v>
      </c>
      <c r="Y421" s="6" t="inlineStr">
        <is>
          <t>declared</t>
        </is>
      </c>
      <c r="Z421" s="8" t="n">
        <v>24708</v>
      </c>
      <c r="AA421" s="9">
        <f>IF(H421="yes",Z421*X421,0)</f>
        <v/>
      </c>
      <c r="AB421" s="9">
        <f>IF(H421="yes",AA421*N(L421)/100,0)</f>
        <v/>
      </c>
      <c r="AC421" s="9">
        <f>IF(H421="yes",AA421*N(N421)/100,0)</f>
        <v/>
      </c>
      <c r="AD421" s="9">
        <f>IF(H421="yes",AA421*N(O421)/100,0)</f>
        <v/>
      </c>
      <c r="AE421" s="10">
        <f>IF(P421="yes",AA421/1000,0)</f>
        <v/>
      </c>
      <c r="AF421" s="10">
        <f>IF(R421="FG2",AE421*W421,AE421)</f>
        <v/>
      </c>
    </row>
    <row r="422">
      <c r="A422" s="6" t="inlineStr">
        <is>
          <t>HM00420</t>
        </is>
      </c>
      <c r="B422" s="7" t="inlineStr">
        <is>
          <t>2293511714860</t>
        </is>
      </c>
      <c r="C422" s="6" t="inlineStr">
        <is>
          <t>HM TOMATOES VINE KG</t>
        </is>
      </c>
      <c r="D422" s="6" t="inlineStr">
        <is>
          <t>Vine tomatoes</t>
        </is>
      </c>
      <c r="E422" s="6" t="inlineStr">
        <is>
          <t>Harbour Market</t>
        </is>
      </c>
      <c r="F422" s="6" t="inlineStr">
        <is>
          <t>Fruit &amp; Vegetables</t>
        </is>
      </c>
      <c r="G422" s="6" t="inlineStr">
        <is>
          <t>Vegetables</t>
        </is>
      </c>
      <c r="H422" s="6" t="inlineStr">
        <is>
          <t>yes</t>
        </is>
      </c>
      <c r="I422" s="6" t="inlineStr">
        <is>
          <t>Plant-based non-core</t>
        </is>
      </c>
      <c r="J422" s="6" t="inlineStr">
        <is>
          <t>B</t>
        </is>
      </c>
      <c r="K422" s="6" t="inlineStr">
        <is>
          <t>Follows the class</t>
        </is>
      </c>
      <c r="L422" s="6" t="n">
        <v>0.85</v>
      </c>
      <c r="M422" s="6" t="inlineStr">
        <is>
          <t>Declared by the retailer</t>
        </is>
      </c>
      <c r="N422" s="6" t="n">
        <v>0.85</v>
      </c>
      <c r="O422" s="6" t="n">
        <v>0</v>
      </c>
      <c r="P422" s="6" t="inlineStr">
        <is>
          <t>yes</t>
        </is>
      </c>
      <c r="Q422" s="6" t="inlineStr">
        <is>
          <t>whole</t>
        </is>
      </c>
      <c r="R422" s="6" t="inlineStr">
        <is>
          <t>FG4</t>
        </is>
      </c>
      <c r="S422" s="6" t="n"/>
      <c r="T422" s="6" t="inlineStr">
        <is>
          <t>plant</t>
        </is>
      </c>
      <c r="U422" s="6" t="n"/>
      <c r="V422" s="6" t="n"/>
      <c r="W422" s="6" t="n">
        <v>1</v>
      </c>
      <c r="X422" s="6" t="n">
        <v>1</v>
      </c>
      <c r="Y422" s="6" t="inlineStr">
        <is>
          <t>variable</t>
        </is>
      </c>
      <c r="Z422" s="8" t="n">
        <v>19011</v>
      </c>
      <c r="AA422" s="9">
        <f>IF(H422="yes",Z422*X422,0)</f>
        <v/>
      </c>
      <c r="AB422" s="9">
        <f>IF(H422="yes",AA422*N(L422)/100,0)</f>
        <v/>
      </c>
      <c r="AC422" s="9">
        <f>IF(H422="yes",AA422*N(N422)/100,0)</f>
        <v/>
      </c>
      <c r="AD422" s="9">
        <f>IF(H422="yes",AA422*N(O422)/100,0)</f>
        <v/>
      </c>
      <c r="AE422" s="10">
        <f>IF(P422="yes",AA422/1000,0)</f>
        <v/>
      </c>
      <c r="AF422" s="10">
        <f>IF(R422="FG2",AE422*W422,AE422)</f>
        <v/>
      </c>
    </row>
    <row r="423">
      <c r="A423" s="6" t="inlineStr">
        <is>
          <t>HM00421</t>
        </is>
      </c>
      <c r="B423" s="7" t="inlineStr">
        <is>
          <t>3012345349468</t>
        </is>
      </c>
      <c r="C423" s="6" t="inlineStr">
        <is>
          <t>HM CLEMENTINES 250G</t>
        </is>
      </c>
      <c r="D423" s="6" t="inlineStr">
        <is>
          <t>Clementines, 250g</t>
        </is>
      </c>
      <c r="E423" s="6" t="inlineStr">
        <is>
          <t>Harbour Market</t>
        </is>
      </c>
      <c r="F423" s="6" t="inlineStr">
        <is>
          <t>Fruit &amp; Vegetables</t>
        </is>
      </c>
      <c r="G423" s="6" t="inlineStr">
        <is>
          <t>Fruit</t>
        </is>
      </c>
      <c r="H423" s="6" t="inlineStr">
        <is>
          <t>yes</t>
        </is>
      </c>
      <c r="I423" s="6" t="inlineStr">
        <is>
          <t>Plant-based non-core</t>
        </is>
      </c>
      <c r="J423" s="6" t="inlineStr">
        <is>
          <t>B</t>
        </is>
      </c>
      <c r="K423" s="6" t="inlineStr">
        <is>
          <t>Follows the class</t>
        </is>
      </c>
      <c r="L423" s="6" t="n">
        <v>0.82</v>
      </c>
      <c r="M423" s="6" t="inlineStr">
        <is>
          <t>Median of the family</t>
        </is>
      </c>
      <c r="N423" s="6" t="n">
        <v>0.82</v>
      </c>
      <c r="O423" s="6" t="n">
        <v>0</v>
      </c>
      <c r="P423" s="6" t="inlineStr">
        <is>
          <t>yes</t>
        </is>
      </c>
      <c r="Q423" s="6" t="inlineStr">
        <is>
          <t>whole</t>
        </is>
      </c>
      <c r="R423" s="6" t="inlineStr">
        <is>
          <t>FG4</t>
        </is>
      </c>
      <c r="S423" s="6" t="n"/>
      <c r="T423" s="6" t="inlineStr">
        <is>
          <t>plant</t>
        </is>
      </c>
      <c r="U423" s="6" t="n"/>
      <c r="V423" s="6" t="n"/>
      <c r="W423" s="6" t="n">
        <v>1</v>
      </c>
      <c r="X423" s="6" t="n">
        <v>0.25</v>
      </c>
      <c r="Y423" s="6" t="inlineStr">
        <is>
          <t>declared</t>
        </is>
      </c>
      <c r="Z423" s="8" t="n">
        <v>68642</v>
      </c>
      <c r="AA423" s="9">
        <f>IF(H423="yes",Z423*X423,0)</f>
        <v/>
      </c>
      <c r="AB423" s="9">
        <f>IF(H423="yes",AA423*N(L423)/100,0)</f>
        <v/>
      </c>
      <c r="AC423" s="9">
        <f>IF(H423="yes",AA423*N(N423)/100,0)</f>
        <v/>
      </c>
      <c r="AD423" s="9">
        <f>IF(H423="yes",AA423*N(O423)/100,0)</f>
        <v/>
      </c>
      <c r="AE423" s="10">
        <f>IF(P423="yes",AA423/1000,0)</f>
        <v/>
      </c>
      <c r="AF423" s="10">
        <f>IF(R423="FG2",AE423*W423,AE423)</f>
        <v/>
      </c>
    </row>
    <row r="424">
      <c r="A424" s="6" t="inlineStr">
        <is>
          <t>HM00422</t>
        </is>
      </c>
      <c r="B424" s="7" t="inlineStr">
        <is>
          <t>4012345548290</t>
        </is>
      </c>
      <c r="C424" s="6" t="inlineStr">
        <is>
          <t>SOLVANE TEMPEH 200G</t>
        </is>
      </c>
      <c r="D424" s="6" t="inlineStr">
        <is>
          <t>Tempeh, 200g</t>
        </is>
      </c>
      <c r="E424" s="6" t="inlineStr">
        <is>
          <t>Solvane</t>
        </is>
      </c>
      <c r="F424" s="6" t="inlineStr">
        <is>
          <t>Plant-Based</t>
        </is>
      </c>
      <c r="G424" s="6" t="inlineStr">
        <is>
          <t>Tofu &amp; Tempeh</t>
        </is>
      </c>
      <c r="H424" s="6" t="inlineStr">
        <is>
          <t>yes</t>
        </is>
      </c>
      <c r="I424" s="6" t="inlineStr">
        <is>
          <t>Plant-based core</t>
        </is>
      </c>
      <c r="J424" s="6" t="inlineStr">
        <is>
          <t>A</t>
        </is>
      </c>
      <c r="K424" s="6" t="inlineStr">
        <is>
          <t>All ingredients on one side</t>
        </is>
      </c>
      <c r="L424" s="6" t="n">
        <v>18.3</v>
      </c>
      <c r="M424" s="6" t="inlineStr">
        <is>
          <t>Declared by the retailer</t>
        </is>
      </c>
      <c r="N424" s="6" t="n">
        <v>18.3</v>
      </c>
      <c r="O424" s="6" t="n">
        <v>0</v>
      </c>
      <c r="P424" s="6" t="inlineStr">
        <is>
          <t>yes</t>
        </is>
      </c>
      <c r="Q424" s="6" t="inlineStr">
        <is>
          <t>whole</t>
        </is>
      </c>
      <c r="R424" s="6" t="inlineStr">
        <is>
          <t>FG1</t>
        </is>
      </c>
      <c r="S424" s="6" t="inlineStr">
        <is>
          <t>tofu tempeh seitan</t>
        </is>
      </c>
      <c r="T424" s="6" t="inlineStr">
        <is>
          <t>plant</t>
        </is>
      </c>
      <c r="U424" s="6" t="n"/>
      <c r="V424" s="6" t="n"/>
      <c r="W424" s="6" t="n">
        <v>1</v>
      </c>
      <c r="X424" s="6" t="n">
        <v>0.2</v>
      </c>
      <c r="Y424" s="6" t="inlineStr">
        <is>
          <t>declared</t>
        </is>
      </c>
      <c r="Z424" s="8" t="n">
        <v>9263</v>
      </c>
      <c r="AA424" s="9">
        <f>IF(H424="yes",Z424*X424,0)</f>
        <v/>
      </c>
      <c r="AB424" s="9">
        <f>IF(H424="yes",AA424*N(L424)/100,0)</f>
        <v/>
      </c>
      <c r="AC424" s="9">
        <f>IF(H424="yes",AA424*N(N424)/100,0)</f>
        <v/>
      </c>
      <c r="AD424" s="9">
        <f>IF(H424="yes",AA424*N(O424)/100,0)</f>
        <v/>
      </c>
      <c r="AE424" s="10">
        <f>IF(P424="yes",AA424/1000,0)</f>
        <v/>
      </c>
      <c r="AF424" s="10">
        <f>IF(R424="FG2",AE424*W424,AE424)</f>
        <v/>
      </c>
    </row>
    <row r="425">
      <c r="A425" s="6" t="inlineStr">
        <is>
          <t>HM00423</t>
        </is>
      </c>
      <c r="B425" s="7" t="inlineStr">
        <is>
          <t>5012345306339</t>
        </is>
      </c>
      <c r="C425" s="6" t="inlineStr">
        <is>
          <t>HM LEEKS 1KG</t>
        </is>
      </c>
      <c r="D425" s="6" t="inlineStr">
        <is>
          <t>Leeks, 1kg</t>
        </is>
      </c>
      <c r="E425" s="6" t="inlineStr">
        <is>
          <t>Harbour Market</t>
        </is>
      </c>
      <c r="F425" s="6" t="inlineStr">
        <is>
          <t>Fruit &amp; Vegetables</t>
        </is>
      </c>
      <c r="G425" s="6" t="inlineStr">
        <is>
          <t>Vegetables</t>
        </is>
      </c>
      <c r="H425" s="6" t="inlineStr">
        <is>
          <t>yes</t>
        </is>
      </c>
      <c r="I425" s="6" t="inlineStr">
        <is>
          <t>Plant-based non-core</t>
        </is>
      </c>
      <c r="J425" s="6" t="inlineStr">
        <is>
          <t>B</t>
        </is>
      </c>
      <c r="K425" s="6" t="inlineStr">
        <is>
          <t>Follows the class</t>
        </is>
      </c>
      <c r="L425" s="6" t="n">
        <v>1.6</v>
      </c>
      <c r="M425" s="6" t="inlineStr">
        <is>
          <t>Declared by the retailer</t>
        </is>
      </c>
      <c r="N425" s="6" t="n">
        <v>1.6</v>
      </c>
      <c r="O425" s="6" t="n">
        <v>0</v>
      </c>
      <c r="P425" s="6" t="inlineStr">
        <is>
          <t>yes</t>
        </is>
      </c>
      <c r="Q425" s="6" t="inlineStr">
        <is>
          <t>whole</t>
        </is>
      </c>
      <c r="R425" s="6" t="inlineStr">
        <is>
          <t>FG4</t>
        </is>
      </c>
      <c r="S425" s="6" t="n"/>
      <c r="T425" s="6" t="inlineStr">
        <is>
          <t>plant</t>
        </is>
      </c>
      <c r="U425" s="6" t="n"/>
      <c r="V425" s="6" t="n"/>
      <c r="W425" s="6" t="n">
        <v>1</v>
      </c>
      <c r="X425" s="6" t="n">
        <v>1</v>
      </c>
      <c r="Y425" s="6" t="inlineStr">
        <is>
          <t>declared</t>
        </is>
      </c>
      <c r="Z425" s="8" t="n">
        <v>68165</v>
      </c>
      <c r="AA425" s="9">
        <f>IF(H425="yes",Z425*X425,0)</f>
        <v/>
      </c>
      <c r="AB425" s="9">
        <f>IF(H425="yes",AA425*N(L425)/100,0)</f>
        <v/>
      </c>
      <c r="AC425" s="9">
        <f>IF(H425="yes",AA425*N(N425)/100,0)</f>
        <v/>
      </c>
      <c r="AD425" s="9">
        <f>IF(H425="yes",AA425*N(O425)/100,0)</f>
        <v/>
      </c>
      <c r="AE425" s="10">
        <f>IF(P425="yes",AA425/1000,0)</f>
        <v/>
      </c>
      <c r="AF425" s="10">
        <f>IF(R425="FG2",AE425*W425,AE425)</f>
        <v/>
      </c>
    </row>
    <row r="426">
      <c r="A426" s="6" t="inlineStr">
        <is>
          <t>HM00424</t>
        </is>
      </c>
      <c r="B426" s="7" t="inlineStr">
        <is>
          <t>3012345736930</t>
        </is>
      </c>
      <c r="C426" s="6" t="inlineStr">
        <is>
          <t>HM LINGUINE 3KG</t>
        </is>
      </c>
      <c r="D426" s="6" t="inlineStr">
        <is>
          <t>Linguine, 3kg</t>
        </is>
      </c>
      <c r="E426" s="6" t="inlineStr">
        <is>
          <t>Harbour Market</t>
        </is>
      </c>
      <c r="F426" s="6" t="inlineStr">
        <is>
          <t>Grocery</t>
        </is>
      </c>
      <c r="G426" s="6" t="inlineStr">
        <is>
          <t>Pasta</t>
        </is>
      </c>
      <c r="H426" s="6" t="inlineStr">
        <is>
          <t>yes</t>
        </is>
      </c>
      <c r="I426" s="6" t="inlineStr">
        <is>
          <t>Plant-based non-core</t>
        </is>
      </c>
      <c r="J426" s="6" t="inlineStr">
        <is>
          <t>A</t>
        </is>
      </c>
      <c r="K426" s="6" t="inlineStr">
        <is>
          <t>All ingredients on one side</t>
        </is>
      </c>
      <c r="L426" s="6" t="n">
        <v>13</v>
      </c>
      <c r="M426" s="6" t="inlineStr">
        <is>
          <t>Altera reference base</t>
        </is>
      </c>
      <c r="N426" s="6" t="n">
        <v>13</v>
      </c>
      <c r="O426" s="6" t="n">
        <v>0</v>
      </c>
      <c r="P426" s="6" t="inlineStr">
        <is>
          <t>yes</t>
        </is>
      </c>
      <c r="Q426" s="6" t="inlineStr">
        <is>
          <t>whole</t>
        </is>
      </c>
      <c r="R426" s="6" t="inlineStr">
        <is>
          <t>FG5</t>
        </is>
      </c>
      <c r="S426" s="6" t="inlineStr">
        <is>
          <t>refined grain</t>
        </is>
      </c>
      <c r="T426" s="6" t="inlineStr">
        <is>
          <t>plant</t>
        </is>
      </c>
      <c r="U426" s="6" t="n"/>
      <c r="V426" s="6" t="n"/>
      <c r="W426" s="6" t="n">
        <v>1</v>
      </c>
      <c r="X426" s="6" t="n">
        <v>3</v>
      </c>
      <c r="Y426" s="6" t="inlineStr">
        <is>
          <t>declared</t>
        </is>
      </c>
      <c r="Z426" s="8" t="n">
        <v>16736</v>
      </c>
      <c r="AA426" s="9">
        <f>IF(H426="yes",Z426*X426,0)</f>
        <v/>
      </c>
      <c r="AB426" s="9">
        <f>IF(H426="yes",AA426*N(L426)/100,0)</f>
        <v/>
      </c>
      <c r="AC426" s="9">
        <f>IF(H426="yes",AA426*N(N426)/100,0)</f>
        <v/>
      </c>
      <c r="AD426" s="9">
        <f>IF(H426="yes",AA426*N(O426)/100,0)</f>
        <v/>
      </c>
      <c r="AE426" s="10">
        <f>IF(P426="yes",AA426/1000,0)</f>
        <v/>
      </c>
      <c r="AF426" s="10">
        <f>IF(R426="FG2",AE426*W426,AE426)</f>
        <v/>
      </c>
    </row>
    <row r="427">
      <c r="A427" s="6" t="inlineStr">
        <is>
          <t>HM00425</t>
        </is>
      </c>
      <c r="B427" s="7" t="inlineStr">
        <is>
          <t>4012345481662</t>
        </is>
      </c>
      <c r="C427" s="6" t="inlineStr">
        <is>
          <t>PASSATA 690G CASTELNA</t>
        </is>
      </c>
      <c r="D427" s="6" t="inlineStr">
        <is>
          <t>Sieved tomatoes (passata), 690g</t>
        </is>
      </c>
      <c r="E427" s="6" t="inlineStr">
        <is>
          <t>Castelna</t>
        </is>
      </c>
      <c r="F427" s="6" t="inlineStr">
        <is>
          <t>Grocery</t>
        </is>
      </c>
      <c r="G427" s="6" t="inlineStr">
        <is>
          <t>Canned Vegetables</t>
        </is>
      </c>
      <c r="H427" s="6" t="inlineStr">
        <is>
          <t>yes</t>
        </is>
      </c>
      <c r="I427" s="6" t="inlineStr">
        <is>
          <t>Plant-based non-core</t>
        </is>
      </c>
      <c r="J427" s="6" t="inlineStr">
        <is>
          <t>A</t>
        </is>
      </c>
      <c r="K427" s="6" t="inlineStr">
        <is>
          <t>All ingredients on one side</t>
        </is>
      </c>
      <c r="L427" s="6" t="n">
        <v>1</v>
      </c>
      <c r="M427" s="6" t="inlineStr">
        <is>
          <t>Name match (CIQUAL / NEVO)</t>
        </is>
      </c>
      <c r="N427" s="6" t="n">
        <v>1</v>
      </c>
      <c r="O427" s="6" t="n">
        <v>0</v>
      </c>
      <c r="P427" s="6" t="inlineStr">
        <is>
          <t>yes</t>
        </is>
      </c>
      <c r="Q427" s="6" t="inlineStr">
        <is>
          <t>whole</t>
        </is>
      </c>
      <c r="R427" s="6" t="inlineStr">
        <is>
          <t>FG4</t>
        </is>
      </c>
      <c r="S427" s="6" t="n"/>
      <c r="T427" s="6" t="inlineStr">
        <is>
          <t>plant</t>
        </is>
      </c>
      <c r="U427" s="6" t="n"/>
      <c r="V427" s="6" t="n"/>
      <c r="W427" s="6" t="n">
        <v>1</v>
      </c>
      <c r="X427" s="6" t="n">
        <v>0.6899999999999999</v>
      </c>
      <c r="Y427" s="6" t="inlineStr">
        <is>
          <t>declared</t>
        </is>
      </c>
      <c r="Z427" s="8" t="n">
        <v>16116</v>
      </c>
      <c r="AA427" s="9">
        <f>IF(H427="yes",Z427*X427,0)</f>
        <v/>
      </c>
      <c r="AB427" s="9">
        <f>IF(H427="yes",AA427*N(L427)/100,0)</f>
        <v/>
      </c>
      <c r="AC427" s="9">
        <f>IF(H427="yes",AA427*N(N427)/100,0)</f>
        <v/>
      </c>
      <c r="AD427" s="9">
        <f>IF(H427="yes",AA427*N(O427)/100,0)</f>
        <v/>
      </c>
      <c r="AE427" s="10">
        <f>IF(P427="yes",AA427/1000,0)</f>
        <v/>
      </c>
      <c r="AF427" s="10">
        <f>IF(R427="FG2",AE427*W427,AE427)</f>
        <v/>
      </c>
    </row>
    <row r="428">
      <c r="A428" s="6" t="inlineStr">
        <is>
          <t>HM00426</t>
        </is>
      </c>
      <c r="B428" s="7" t="inlineStr">
        <is>
          <t>5012345459073</t>
        </is>
      </c>
      <c r="C428" s="6" t="inlineStr">
        <is>
          <t>HM PEACH YOG 4X125G</t>
        </is>
      </c>
      <c r="D428" s="6" t="inlineStr">
        <is>
          <t>Peach yoghurt, 4x125g</t>
        </is>
      </c>
      <c r="E428" s="6" t="inlineStr">
        <is>
          <t>Harbour Market</t>
        </is>
      </c>
      <c r="F428" s="6" t="inlineStr">
        <is>
          <t>Dairy &amp; Eggs</t>
        </is>
      </c>
      <c r="G428" s="6" t="inlineStr">
        <is>
          <t>Yoghurt</t>
        </is>
      </c>
      <c r="H428" s="6" t="inlineStr">
        <is>
          <t>yes</t>
        </is>
      </c>
      <c r="I428" s="6" t="inlineStr">
        <is>
          <t>Animal core</t>
        </is>
      </c>
      <c r="J428" s="6" t="inlineStr">
        <is>
          <t>B</t>
        </is>
      </c>
      <c r="K428" s="6" t="inlineStr">
        <is>
          <t>First ingredient (step 4a)</t>
        </is>
      </c>
      <c r="L428" s="6" t="n">
        <v>3.6</v>
      </c>
      <c r="M428" s="6" t="inlineStr">
        <is>
          <t>Declared by the retailer</t>
        </is>
      </c>
      <c r="N428" s="6" t="n">
        <v>0</v>
      </c>
      <c r="O428" s="6" t="n">
        <v>3.6</v>
      </c>
      <c r="P428" s="6" t="inlineStr">
        <is>
          <t>yes</t>
        </is>
      </c>
      <c r="Q428" s="6" t="inlineStr">
        <is>
          <t>whole</t>
        </is>
      </c>
      <c r="R428" s="6" t="inlineStr">
        <is>
          <t>FG2</t>
        </is>
      </c>
      <c r="S428" s="6" t="inlineStr">
        <is>
          <t>dairy</t>
        </is>
      </c>
      <c r="T428" s="6" t="inlineStr">
        <is>
          <t>animal</t>
        </is>
      </c>
      <c r="U428" s="6" t="n"/>
      <c r="V428" s="6" t="n"/>
      <c r="W428" s="6" t="n">
        <v>1</v>
      </c>
      <c r="X428" s="6" t="n">
        <v>0.5</v>
      </c>
      <c r="Y428" s="6" t="inlineStr">
        <is>
          <t>declared</t>
        </is>
      </c>
      <c r="Z428" s="8" t="n">
        <v>16038</v>
      </c>
      <c r="AA428" s="9">
        <f>IF(H428="yes",Z428*X428,0)</f>
        <v/>
      </c>
      <c r="AB428" s="9">
        <f>IF(H428="yes",AA428*N(L428)/100,0)</f>
        <v/>
      </c>
      <c r="AC428" s="9">
        <f>IF(H428="yes",AA428*N(N428)/100,0)</f>
        <v/>
      </c>
      <c r="AD428" s="9">
        <f>IF(H428="yes",AA428*N(O428)/100,0)</f>
        <v/>
      </c>
      <c r="AE428" s="10">
        <f>IF(P428="yes",AA428/1000,0)</f>
        <v/>
      </c>
      <c r="AF428" s="10">
        <f>IF(R428="FG2",AE428*W428,AE428)</f>
        <v/>
      </c>
    </row>
    <row r="429">
      <c r="A429" s="6" t="inlineStr">
        <is>
          <t>HM00427</t>
        </is>
      </c>
      <c r="B429" s="7" t="inlineStr">
        <is>
          <t>8712345720889</t>
        </is>
      </c>
      <c r="C429" s="6" t="inlineStr">
        <is>
          <t>BF DICED STEW 300G TARROW</t>
        </is>
      </c>
      <c r="D429" s="6" t="inlineStr">
        <is>
          <t>Diced beef for stewing, 300g</t>
        </is>
      </c>
      <c r="E429" s="6" t="inlineStr">
        <is>
          <t>Tarrow Farm</t>
        </is>
      </c>
      <c r="F429" s="6" t="inlineStr">
        <is>
          <t>Fresh Meat &amp; Poultry</t>
        </is>
      </c>
      <c r="G429" s="6" t="inlineStr">
        <is>
          <t>Beef</t>
        </is>
      </c>
      <c r="H429" s="6" t="inlineStr">
        <is>
          <t>yes</t>
        </is>
      </c>
      <c r="I429" s="6" t="inlineStr">
        <is>
          <t>Animal core</t>
        </is>
      </c>
      <c r="J429" s="6" t="inlineStr">
        <is>
          <t>B</t>
        </is>
      </c>
      <c r="K429" s="6" t="inlineStr">
        <is>
          <t>Follows the class</t>
        </is>
      </c>
      <c r="L429" s="6" t="n">
        <v>22.7</v>
      </c>
      <c r="M429" s="6" t="inlineStr">
        <is>
          <t>Open Food Facts, by EAN</t>
        </is>
      </c>
      <c r="N429" s="6" t="n">
        <v>0</v>
      </c>
      <c r="O429" s="6" t="n">
        <v>22.7</v>
      </c>
      <c r="P429" s="6" t="inlineStr">
        <is>
          <t>yes</t>
        </is>
      </c>
      <c r="Q429" s="6" t="inlineStr">
        <is>
          <t>whole</t>
        </is>
      </c>
      <c r="R429" s="6" t="inlineStr">
        <is>
          <t>FG1</t>
        </is>
      </c>
      <c r="S429" s="6" t="inlineStr">
        <is>
          <t>red meat</t>
        </is>
      </c>
      <c r="T429" s="6" t="inlineStr">
        <is>
          <t>animal</t>
        </is>
      </c>
      <c r="U429" s="6" t="n"/>
      <c r="V429" s="6" t="n"/>
      <c r="W429" s="6" t="n">
        <v>1</v>
      </c>
      <c r="X429" s="6" t="n">
        <v>0.3</v>
      </c>
      <c r="Y429" s="6" t="inlineStr">
        <is>
          <t>declared</t>
        </is>
      </c>
      <c r="Z429" s="8" t="n">
        <v>71411</v>
      </c>
      <c r="AA429" s="9">
        <f>IF(H429="yes",Z429*X429,0)</f>
        <v/>
      </c>
      <c r="AB429" s="9">
        <f>IF(H429="yes",AA429*N(L429)/100,0)</f>
        <v/>
      </c>
      <c r="AC429" s="9">
        <f>IF(H429="yes",AA429*N(N429)/100,0)</f>
        <v/>
      </c>
      <c r="AD429" s="9">
        <f>IF(H429="yes",AA429*N(O429)/100,0)</f>
        <v/>
      </c>
      <c r="AE429" s="10">
        <f>IF(P429="yes",AA429/1000,0)</f>
        <v/>
      </c>
      <c r="AF429" s="10">
        <f>IF(R429="FG2",AE429*W429,AE429)</f>
        <v/>
      </c>
    </row>
    <row r="430">
      <c r="A430" s="6" t="inlineStr">
        <is>
          <t>HM00428</t>
        </is>
      </c>
      <c r="B430" s="7" t="inlineStr">
        <is>
          <t>3012345738415</t>
        </is>
      </c>
      <c r="C430" s="6" t="inlineStr">
        <is>
          <t>HM GREEK STYLE YOG 450G</t>
        </is>
      </c>
      <c r="D430" s="6" t="inlineStr">
        <is>
          <t>Greek-style yoghurt, 450g</t>
        </is>
      </c>
      <c r="E430" s="6" t="inlineStr">
        <is>
          <t>Harbour Market</t>
        </is>
      </c>
      <c r="F430" s="6" t="inlineStr">
        <is>
          <t>Dairy &amp; Eggs</t>
        </is>
      </c>
      <c r="G430" s="6" t="inlineStr">
        <is>
          <t>Yoghurt</t>
        </is>
      </c>
      <c r="H430" s="6" t="inlineStr">
        <is>
          <t>yes</t>
        </is>
      </c>
      <c r="I430" s="6" t="inlineStr">
        <is>
          <t>Animal core</t>
        </is>
      </c>
      <c r="J430" s="6" t="inlineStr">
        <is>
          <t>A</t>
        </is>
      </c>
      <c r="K430" s="6" t="inlineStr">
        <is>
          <t>All ingredients on one side</t>
        </is>
      </c>
      <c r="L430" s="6" t="n">
        <v>6.3</v>
      </c>
      <c r="M430" s="6" t="inlineStr">
        <is>
          <t>Name match (CIQUAL / NEVO)</t>
        </is>
      </c>
      <c r="N430" s="6" t="n">
        <v>0</v>
      </c>
      <c r="O430" s="6" t="n">
        <v>6.3</v>
      </c>
      <c r="P430" s="6" t="inlineStr">
        <is>
          <t>yes</t>
        </is>
      </c>
      <c r="Q430" s="6" t="inlineStr">
        <is>
          <t>whole</t>
        </is>
      </c>
      <c r="R430" s="6" t="inlineStr">
        <is>
          <t>FG2</t>
        </is>
      </c>
      <c r="S430" s="6" t="inlineStr">
        <is>
          <t>dairy</t>
        </is>
      </c>
      <c r="T430" s="6" t="inlineStr">
        <is>
          <t>animal</t>
        </is>
      </c>
      <c r="U430" s="6" t="n"/>
      <c r="V430" s="6" t="n"/>
      <c r="W430" s="6" t="n">
        <v>1</v>
      </c>
      <c r="X430" s="6" t="n">
        <v>0.45</v>
      </c>
      <c r="Y430" s="6" t="inlineStr">
        <is>
          <t>declared</t>
        </is>
      </c>
      <c r="Z430" s="8" t="n">
        <v>7805</v>
      </c>
      <c r="AA430" s="9">
        <f>IF(H430="yes",Z430*X430,0)</f>
        <v/>
      </c>
      <c r="AB430" s="9">
        <f>IF(H430="yes",AA430*N(L430)/100,0)</f>
        <v/>
      </c>
      <c r="AC430" s="9">
        <f>IF(H430="yes",AA430*N(N430)/100,0)</f>
        <v/>
      </c>
      <c r="AD430" s="9">
        <f>IF(H430="yes",AA430*N(O430)/100,0)</f>
        <v/>
      </c>
      <c r="AE430" s="10">
        <f>IF(P430="yes",AA430/1000,0)</f>
        <v/>
      </c>
      <c r="AF430" s="10">
        <f>IF(R430="FG2",AE430*W430,AE430)</f>
        <v/>
      </c>
    </row>
    <row r="431">
      <c r="A431" s="6" t="inlineStr">
        <is>
          <t>HM00429</t>
        </is>
      </c>
      <c r="B431" s="7" t="inlineStr">
        <is>
          <t>4012345403626</t>
        </is>
      </c>
      <c r="C431" s="6" t="inlineStr">
        <is>
          <t>HM FARFALLE 1KG</t>
        </is>
      </c>
      <c r="D431" s="6" t="inlineStr">
        <is>
          <t>Farfalle, 1kg</t>
        </is>
      </c>
      <c r="E431" s="6" t="inlineStr">
        <is>
          <t>Harbour Market</t>
        </is>
      </c>
      <c r="F431" s="6" t="inlineStr">
        <is>
          <t>Grocery</t>
        </is>
      </c>
      <c r="G431" s="6" t="inlineStr">
        <is>
          <t>Pasta</t>
        </is>
      </c>
      <c r="H431" s="6" t="inlineStr">
        <is>
          <t>yes</t>
        </is>
      </c>
      <c r="I431" s="6" t="inlineStr">
        <is>
          <t>Plant-based non-core</t>
        </is>
      </c>
      <c r="J431" s="6" t="inlineStr">
        <is>
          <t>A</t>
        </is>
      </c>
      <c r="K431" s="6" t="inlineStr">
        <is>
          <t>All ingredients on one side</t>
        </is>
      </c>
      <c r="L431" s="6" t="n">
        <v>13</v>
      </c>
      <c r="M431" s="6" t="inlineStr">
        <is>
          <t>Open Food Facts, by EAN</t>
        </is>
      </c>
      <c r="N431" s="6" t="n">
        <v>13</v>
      </c>
      <c r="O431" s="6" t="n">
        <v>0</v>
      </c>
      <c r="P431" s="6" t="inlineStr">
        <is>
          <t>yes</t>
        </is>
      </c>
      <c r="Q431" s="6" t="inlineStr">
        <is>
          <t>whole</t>
        </is>
      </c>
      <c r="R431" s="6" t="inlineStr">
        <is>
          <t>FG5</t>
        </is>
      </c>
      <c r="S431" s="6" t="inlineStr">
        <is>
          <t>refined grain</t>
        </is>
      </c>
      <c r="T431" s="6" t="inlineStr">
        <is>
          <t>plant</t>
        </is>
      </c>
      <c r="U431" s="6" t="n"/>
      <c r="V431" s="6" t="n"/>
      <c r="W431" s="6" t="n">
        <v>1</v>
      </c>
      <c r="X431" s="6" t="n">
        <v>1</v>
      </c>
      <c r="Y431" s="6" t="inlineStr">
        <is>
          <t>declared</t>
        </is>
      </c>
      <c r="Z431" s="8" t="n">
        <v>56149</v>
      </c>
      <c r="AA431" s="9">
        <f>IF(H431="yes",Z431*X431,0)</f>
        <v/>
      </c>
      <c r="AB431" s="9">
        <f>IF(H431="yes",AA431*N(L431)/100,0)</f>
        <v/>
      </c>
      <c r="AC431" s="9">
        <f>IF(H431="yes",AA431*N(N431)/100,0)</f>
        <v/>
      </c>
      <c r="AD431" s="9">
        <f>IF(H431="yes",AA431*N(O431)/100,0)</f>
        <v/>
      </c>
      <c r="AE431" s="10">
        <f>IF(P431="yes",AA431/1000,0)</f>
        <v/>
      </c>
      <c r="AF431" s="10">
        <f>IF(R431="FG2",AE431*W431,AE431)</f>
        <v/>
      </c>
    </row>
    <row r="432">
      <c r="A432" s="6" t="inlineStr">
        <is>
          <t>HM00430</t>
        </is>
      </c>
      <c r="B432" s="7" t="inlineStr">
        <is>
          <t>8712345599102</t>
        </is>
      </c>
      <c r="C432" s="6" t="inlineStr">
        <is>
          <t>HM BUTTER BEANS 400G</t>
        </is>
      </c>
      <c r="D432" s="6" t="inlineStr">
        <is>
          <t>Butter beans in water, 400g</t>
        </is>
      </c>
      <c r="E432" s="6" t="inlineStr">
        <is>
          <t>Harbour Market</t>
        </is>
      </c>
      <c r="F432" s="6" t="inlineStr">
        <is>
          <t>Grocery</t>
        </is>
      </c>
      <c r="G432" s="6" t="inlineStr">
        <is>
          <t>Pulses</t>
        </is>
      </c>
      <c r="H432" s="6" t="inlineStr">
        <is>
          <t>yes</t>
        </is>
      </c>
      <c r="I432" s="6" t="inlineStr">
        <is>
          <t>Plant-based core</t>
        </is>
      </c>
      <c r="J432" s="6" t="inlineStr">
        <is>
          <t>B</t>
        </is>
      </c>
      <c r="K432" s="6" t="inlineStr">
        <is>
          <t>Follows the class</t>
        </is>
      </c>
      <c r="L432" s="6" t="n">
        <v>7.1</v>
      </c>
      <c r="M432" s="6" t="inlineStr">
        <is>
          <t>Declared by the retailer</t>
        </is>
      </c>
      <c r="N432" s="6" t="n">
        <v>7.1</v>
      </c>
      <c r="O432" s="6" t="n">
        <v>0</v>
      </c>
      <c r="P432" s="6" t="inlineStr">
        <is>
          <t>yes</t>
        </is>
      </c>
      <c r="Q432" s="6" t="inlineStr">
        <is>
          <t>whole</t>
        </is>
      </c>
      <c r="R432" s="6" t="inlineStr">
        <is>
          <t>FG1</t>
        </is>
      </c>
      <c r="S432" s="6" t="inlineStr">
        <is>
          <t>pulses</t>
        </is>
      </c>
      <c r="T432" s="6" t="inlineStr">
        <is>
          <t>plant</t>
        </is>
      </c>
      <c r="U432" s="6" t="n"/>
      <c r="V432" s="6" t="n"/>
      <c r="W432" s="6" t="n">
        <v>1</v>
      </c>
      <c r="X432" s="6" t="n">
        <v>0.4</v>
      </c>
      <c r="Y432" s="6" t="inlineStr">
        <is>
          <t>declared</t>
        </is>
      </c>
      <c r="Z432" s="8" t="n">
        <v>27425</v>
      </c>
      <c r="AA432" s="9">
        <f>IF(H432="yes",Z432*X432,0)</f>
        <v/>
      </c>
      <c r="AB432" s="9">
        <f>IF(H432="yes",AA432*N(L432)/100,0)</f>
        <v/>
      </c>
      <c r="AC432" s="9">
        <f>IF(H432="yes",AA432*N(N432)/100,0)</f>
        <v/>
      </c>
      <c r="AD432" s="9">
        <f>IF(H432="yes",AA432*N(O432)/100,0)</f>
        <v/>
      </c>
      <c r="AE432" s="10">
        <f>IF(P432="yes",AA432/1000,0)</f>
        <v/>
      </c>
      <c r="AF432" s="10">
        <f>IF(R432="FG2",AE432*W432,AE432)</f>
        <v/>
      </c>
    </row>
    <row r="433">
      <c r="A433" s="6" t="inlineStr">
        <is>
          <t>HM00431</t>
        </is>
      </c>
      <c r="B433" s="7" t="inlineStr">
        <is>
          <t>8712345790448</t>
        </is>
      </c>
      <c r="C433" s="6" t="inlineStr">
        <is>
          <t>SKYR NAT 450G FJELDA</t>
        </is>
      </c>
      <c r="D433" s="6" t="inlineStr">
        <is>
          <t>Natural skyr, 450g</t>
        </is>
      </c>
      <c r="E433" s="6" t="inlineStr">
        <is>
          <t>Fjelda</t>
        </is>
      </c>
      <c r="F433" s="6" t="inlineStr">
        <is>
          <t>Dairy &amp; Eggs</t>
        </is>
      </c>
      <c r="G433" s="6" t="inlineStr">
        <is>
          <t>Yoghurt</t>
        </is>
      </c>
      <c r="H433" s="6" t="inlineStr">
        <is>
          <t>yes</t>
        </is>
      </c>
      <c r="I433" s="6" t="inlineStr">
        <is>
          <t>Animal core</t>
        </is>
      </c>
      <c r="J433" s="6" t="inlineStr">
        <is>
          <t>A</t>
        </is>
      </c>
      <c r="K433" s="6" t="inlineStr">
        <is>
          <t>All ingredients on one side</t>
        </is>
      </c>
      <c r="L433" s="6" t="n">
        <v>11.3</v>
      </c>
      <c r="M433" s="6" t="inlineStr">
        <is>
          <t>Declared by the retailer</t>
        </is>
      </c>
      <c r="N433" s="6" t="n">
        <v>0</v>
      </c>
      <c r="O433" s="6" t="n">
        <v>11.3</v>
      </c>
      <c r="P433" s="6" t="inlineStr">
        <is>
          <t>yes</t>
        </is>
      </c>
      <c r="Q433" s="6" t="inlineStr">
        <is>
          <t>whole</t>
        </is>
      </c>
      <c r="R433" s="6" t="inlineStr">
        <is>
          <t>FG2</t>
        </is>
      </c>
      <c r="S433" s="6" t="inlineStr">
        <is>
          <t>dairy</t>
        </is>
      </c>
      <c r="T433" s="6" t="inlineStr">
        <is>
          <t>animal</t>
        </is>
      </c>
      <c r="U433" s="6" t="n"/>
      <c r="V433" s="6" t="n"/>
      <c r="W433" s="6" t="n">
        <v>1</v>
      </c>
      <c r="X433" s="6" t="n">
        <v>0.45</v>
      </c>
      <c r="Y433" s="6" t="inlineStr">
        <is>
          <t>declared</t>
        </is>
      </c>
      <c r="Z433" s="8" t="n">
        <v>33908</v>
      </c>
      <c r="AA433" s="9">
        <f>IF(H433="yes",Z433*X433,0)</f>
        <v/>
      </c>
      <c r="AB433" s="9">
        <f>IF(H433="yes",AA433*N(L433)/100,0)</f>
        <v/>
      </c>
      <c r="AC433" s="9">
        <f>IF(H433="yes",AA433*N(N433)/100,0)</f>
        <v/>
      </c>
      <c r="AD433" s="9">
        <f>IF(H433="yes",AA433*N(O433)/100,0)</f>
        <v/>
      </c>
      <c r="AE433" s="10">
        <f>IF(P433="yes",AA433/1000,0)</f>
        <v/>
      </c>
      <c r="AF433" s="10">
        <f>IF(R433="FG2",AE433*W433,AE433)</f>
        <v/>
      </c>
    </row>
    <row r="434">
      <c r="A434" s="6" t="inlineStr">
        <is>
          <t>HM00432</t>
        </is>
      </c>
      <c r="B434" s="7" t="inlineStr">
        <is>
          <t>3012345853545</t>
        </is>
      </c>
      <c r="C434" s="6" t="inlineStr">
        <is>
          <t>HM ALUMINIUM FOIL 4PK</t>
        </is>
      </c>
      <c r="D434" s="6" t="inlineStr">
        <is>
          <t>Aluminium foil, 4pk</t>
        </is>
      </c>
      <c r="E434" s="6" t="inlineStr">
        <is>
          <t>Harbour Market</t>
        </is>
      </c>
      <c r="F434" s="6" t="inlineStr">
        <is>
          <t>Household</t>
        </is>
      </c>
      <c r="G434" s="6" t="inlineStr">
        <is>
          <t>Household</t>
        </is>
      </c>
      <c r="H434" s="6" t="inlineStr">
        <is>
          <t>no</t>
        </is>
      </c>
      <c r="I434" s="6" t="n"/>
      <c r="J434" s="6" t="n"/>
      <c r="K434" s="6" t="n"/>
      <c r="L434" s="6" t="n"/>
      <c r="M434" s="6" t="n"/>
      <c r="N434" s="6" t="n"/>
      <c r="O434" s="6" t="n"/>
      <c r="P434" s="6" t="inlineStr">
        <is>
          <t>no</t>
        </is>
      </c>
      <c r="Q434" s="6" t="n"/>
      <c r="R434" s="6" t="n"/>
      <c r="S434" s="6" t="n"/>
      <c r="T434" s="6" t="n"/>
      <c r="U434" s="6" t="n"/>
      <c r="V434" s="6" t="n"/>
      <c r="W434" s="6" t="n">
        <v>1</v>
      </c>
      <c r="X434" s="6" t="n">
        <v>0.5</v>
      </c>
      <c r="Y434" s="6" t="inlineStr">
        <is>
          <t>declared</t>
        </is>
      </c>
      <c r="Z434" s="8" t="n">
        <v>5637</v>
      </c>
      <c r="AA434" s="9">
        <f>IF(H434="yes",Z434*X434,0)</f>
        <v/>
      </c>
      <c r="AB434" s="9">
        <f>IF(H434="yes",AA434*N(L434)/100,0)</f>
        <v/>
      </c>
      <c r="AC434" s="9">
        <f>IF(H434="yes",AA434*N(N434)/100,0)</f>
        <v/>
      </c>
      <c r="AD434" s="9">
        <f>IF(H434="yes",AA434*N(O434)/100,0)</f>
        <v/>
      </c>
      <c r="AE434" s="10">
        <f>IF(P434="yes",AA434/1000,0)</f>
        <v/>
      </c>
      <c r="AF434" s="10">
        <f>IF(R434="FG2",AE434*W434,AE434)</f>
        <v/>
      </c>
    </row>
    <row r="435">
      <c r="A435" s="6" t="inlineStr">
        <is>
          <t>HM00433</t>
        </is>
      </c>
      <c r="B435" s="7" t="inlineStr">
        <is>
          <t>3012345548496</t>
        </is>
      </c>
      <c r="C435" s="6" t="inlineStr">
        <is>
          <t>HM CHKN BREAST FLT 1.4KG</t>
        </is>
      </c>
      <c r="D435" s="6" t="inlineStr">
        <is>
          <t>Chicken breast fillets, 1.4kg</t>
        </is>
      </c>
      <c r="E435" s="6" t="inlineStr">
        <is>
          <t>Harbour Market</t>
        </is>
      </c>
      <c r="F435" s="6" t="inlineStr">
        <is>
          <t>Fresh Meat &amp; Poultry</t>
        </is>
      </c>
      <c r="G435" s="6" t="inlineStr">
        <is>
          <t>Poultry</t>
        </is>
      </c>
      <c r="H435" s="6" t="inlineStr">
        <is>
          <t>yes</t>
        </is>
      </c>
      <c r="I435" s="6" t="inlineStr">
        <is>
          <t>Animal core</t>
        </is>
      </c>
      <c r="J435" s="6" t="inlineStr">
        <is>
          <t>A</t>
        </is>
      </c>
      <c r="K435" s="6" t="inlineStr">
        <is>
          <t>All ingredients on one side</t>
        </is>
      </c>
      <c r="L435" s="6" t="n">
        <v>22.6</v>
      </c>
      <c r="M435" s="6" t="inlineStr">
        <is>
          <t>Open Food Facts, by EAN</t>
        </is>
      </c>
      <c r="N435" s="6" t="n">
        <v>0</v>
      </c>
      <c r="O435" s="6" t="n">
        <v>22.6</v>
      </c>
      <c r="P435" s="6" t="inlineStr">
        <is>
          <t>yes</t>
        </is>
      </c>
      <c r="Q435" s="6" t="inlineStr">
        <is>
          <t>whole</t>
        </is>
      </c>
      <c r="R435" s="6" t="inlineStr">
        <is>
          <t>FG1</t>
        </is>
      </c>
      <c r="S435" s="6" t="inlineStr">
        <is>
          <t>poultry</t>
        </is>
      </c>
      <c r="T435" s="6" t="inlineStr">
        <is>
          <t>animal</t>
        </is>
      </c>
      <c r="U435" s="6" t="n"/>
      <c r="V435" s="6" t="n"/>
      <c r="W435" s="6" t="n">
        <v>1</v>
      </c>
      <c r="X435" s="6" t="n">
        <v>1.4</v>
      </c>
      <c r="Y435" s="6" t="inlineStr">
        <is>
          <t>declared</t>
        </is>
      </c>
      <c r="Z435" s="8" t="n">
        <v>32335</v>
      </c>
      <c r="AA435" s="9">
        <f>IF(H435="yes",Z435*X435,0)</f>
        <v/>
      </c>
      <c r="AB435" s="9">
        <f>IF(H435="yes",AA435*N(L435)/100,0)</f>
        <v/>
      </c>
      <c r="AC435" s="9">
        <f>IF(H435="yes",AA435*N(N435)/100,0)</f>
        <v/>
      </c>
      <c r="AD435" s="9">
        <f>IF(H435="yes",AA435*N(O435)/100,0)</f>
        <v/>
      </c>
      <c r="AE435" s="10">
        <f>IF(P435="yes",AA435/1000,0)</f>
        <v/>
      </c>
      <c r="AF435" s="10">
        <f>IF(R435="FG2",AE435*W435,AE435)</f>
        <v/>
      </c>
    </row>
    <row r="436">
      <c r="A436" s="6" t="inlineStr">
        <is>
          <t>HM00434</t>
        </is>
      </c>
      <c r="B436" s="7" t="inlineStr">
        <is>
          <t>3012345245272</t>
        </is>
      </c>
      <c r="C436" s="6" t="inlineStr">
        <is>
          <t>ALL BUTTER CROISSANTS 8PK 280G BRAMBLECOTE</t>
        </is>
      </c>
      <c r="D436" s="6" t="inlineStr">
        <is>
          <t>All-butter croissants, 8pk 280g</t>
        </is>
      </c>
      <c r="E436" s="6" t="inlineStr">
        <is>
          <t>Bramblecote</t>
        </is>
      </c>
      <c r="F436" s="6" t="inlineStr">
        <is>
          <t>Bakery</t>
        </is>
      </c>
      <c r="G436" s="6" t="inlineStr">
        <is>
          <t>Pastries</t>
        </is>
      </c>
      <c r="H436" s="6" t="inlineStr">
        <is>
          <t>yes</t>
        </is>
      </c>
      <c r="I436" s="6" t="inlineStr">
        <is>
          <t>Animal &amp; plant composite</t>
        </is>
      </c>
      <c r="J436" s="6" t="inlineStr">
        <is>
          <t>A</t>
        </is>
      </c>
      <c r="K436" s="6" t="inlineStr">
        <is>
          <t>NEVO food table (ratio only)</t>
        </is>
      </c>
      <c r="L436" s="6" t="n">
        <v>7.9</v>
      </c>
      <c r="M436" s="6" t="inlineStr">
        <is>
          <t>Declared by the retailer</t>
        </is>
      </c>
      <c r="N436" s="6" t="n">
        <v>5.69</v>
      </c>
      <c r="O436" s="6" t="n">
        <v>2.21</v>
      </c>
      <c r="P436" s="6" t="inlineStr">
        <is>
          <t>yes</t>
        </is>
      </c>
      <c r="Q436" s="6" t="inlineStr">
        <is>
          <t>whole</t>
        </is>
      </c>
      <c r="R436" s="6" t="inlineStr">
        <is>
          <t>FG7</t>
        </is>
      </c>
      <c r="S436" s="6" t="n"/>
      <c r="T436" s="6" t="inlineStr">
        <is>
          <t>plant</t>
        </is>
      </c>
      <c r="U436" s="6" t="n"/>
      <c r="V436" s="6" t="n"/>
      <c r="W436" s="6" t="n">
        <v>1</v>
      </c>
      <c r="X436" s="6" t="n">
        <v>0.28</v>
      </c>
      <c r="Y436" s="6" t="inlineStr">
        <is>
          <t>declared</t>
        </is>
      </c>
      <c r="Z436" s="8" t="n">
        <v>46372</v>
      </c>
      <c r="AA436" s="9">
        <f>IF(H436="yes",Z436*X436,0)</f>
        <v/>
      </c>
      <c r="AB436" s="9">
        <f>IF(H436="yes",AA436*N(L436)/100,0)</f>
        <v/>
      </c>
      <c r="AC436" s="9">
        <f>IF(H436="yes",AA436*N(N436)/100,0)</f>
        <v/>
      </c>
      <c r="AD436" s="9">
        <f>IF(H436="yes",AA436*N(O436)/100,0)</f>
        <v/>
      </c>
      <c r="AE436" s="10">
        <f>IF(P436="yes",AA436/1000,0)</f>
        <v/>
      </c>
      <c r="AF436" s="10">
        <f>IF(R436="FG2",AE436*W436,AE436)</f>
        <v/>
      </c>
    </row>
    <row r="437">
      <c r="A437" s="6" t="inlineStr">
        <is>
          <t>HM00435</t>
        </is>
      </c>
      <c r="B437" s="7" t="inlineStr">
        <is>
          <t>4012345774672</t>
        </is>
      </c>
      <c r="C437" s="6" t="inlineStr">
        <is>
          <t>HM BABY POTATOES 750G</t>
        </is>
      </c>
      <c r="D437" s="6" t="inlineStr">
        <is>
          <t>Baby potatoes, 750g</t>
        </is>
      </c>
      <c r="E437" s="6" t="inlineStr">
        <is>
          <t>Harbour Market</t>
        </is>
      </c>
      <c r="F437" s="6" t="inlineStr">
        <is>
          <t>Fruit &amp; Vegetables</t>
        </is>
      </c>
      <c r="G437" s="6" t="inlineStr">
        <is>
          <t>Potatoes</t>
        </is>
      </c>
      <c r="H437" s="6" t="inlineStr">
        <is>
          <t>yes</t>
        </is>
      </c>
      <c r="I437" s="6" t="inlineStr">
        <is>
          <t>Plant-based non-core</t>
        </is>
      </c>
      <c r="J437" s="6" t="inlineStr">
        <is>
          <t>B</t>
        </is>
      </c>
      <c r="K437" s="6" t="inlineStr">
        <is>
          <t>Follows the class</t>
        </is>
      </c>
      <c r="L437" s="6" t="n">
        <v>2.1</v>
      </c>
      <c r="M437" s="6" t="inlineStr">
        <is>
          <t>Declared by the retailer</t>
        </is>
      </c>
      <c r="N437" s="6" t="n">
        <v>2.1</v>
      </c>
      <c r="O437" s="6" t="n">
        <v>0</v>
      </c>
      <c r="P437" s="6" t="inlineStr">
        <is>
          <t>yes</t>
        </is>
      </c>
      <c r="Q437" s="6" t="inlineStr">
        <is>
          <t>whole</t>
        </is>
      </c>
      <c r="R437" s="6" t="inlineStr">
        <is>
          <t>FG6</t>
        </is>
      </c>
      <c r="S437" s="6" t="n"/>
      <c r="T437" s="6" t="inlineStr">
        <is>
          <t>plant</t>
        </is>
      </c>
      <c r="U437" s="6" t="n"/>
      <c r="V437" s="6" t="n"/>
      <c r="W437" s="6" t="n">
        <v>1</v>
      </c>
      <c r="X437" s="6" t="n">
        <v>0.75</v>
      </c>
      <c r="Y437" s="6" t="inlineStr">
        <is>
          <t>declared</t>
        </is>
      </c>
      <c r="Z437" s="8" t="n">
        <v>3513</v>
      </c>
      <c r="AA437" s="9">
        <f>IF(H437="yes",Z437*X437,0)</f>
        <v/>
      </c>
      <c r="AB437" s="9">
        <f>IF(H437="yes",AA437*N(L437)/100,0)</f>
        <v/>
      </c>
      <c r="AC437" s="9">
        <f>IF(H437="yes",AA437*N(N437)/100,0)</f>
        <v/>
      </c>
      <c r="AD437" s="9">
        <f>IF(H437="yes",AA437*N(O437)/100,0)</f>
        <v/>
      </c>
      <c r="AE437" s="10">
        <f>IF(P437="yes",AA437/1000,0)</f>
        <v/>
      </c>
      <c r="AF437" s="10">
        <f>IF(R437="FG2",AE437*W437,AE437)</f>
        <v/>
      </c>
    </row>
    <row r="438">
      <c r="A438" s="6" t="inlineStr">
        <is>
          <t>HM00436</t>
        </is>
      </c>
      <c r="B438" s="7" t="inlineStr">
        <is>
          <t>5012345048253</t>
        </is>
      </c>
      <c r="C438" s="6" t="inlineStr">
        <is>
          <t>HM SKYR STRAWB 6X125G</t>
        </is>
      </c>
      <c r="D438" s="6" t="inlineStr">
        <is>
          <t>Strawberry skyr, 6x125g</t>
        </is>
      </c>
      <c r="E438" s="6" t="inlineStr">
        <is>
          <t>Harbour Market</t>
        </is>
      </c>
      <c r="F438" s="6" t="inlineStr">
        <is>
          <t>Dairy &amp; Eggs</t>
        </is>
      </c>
      <c r="G438" s="6" t="inlineStr">
        <is>
          <t>Yoghurt</t>
        </is>
      </c>
      <c r="H438" s="6" t="inlineStr">
        <is>
          <t>yes</t>
        </is>
      </c>
      <c r="I438" s="6" t="inlineStr">
        <is>
          <t>Animal core</t>
        </is>
      </c>
      <c r="J438" s="6" t="inlineStr">
        <is>
          <t>B</t>
        </is>
      </c>
      <c r="K438" s="6" t="inlineStr">
        <is>
          <t>First ingredient (step 4a)</t>
        </is>
      </c>
      <c r="L438" s="6" t="n">
        <v>9.9</v>
      </c>
      <c r="M438" s="6" t="inlineStr">
        <is>
          <t>Declared by the retailer</t>
        </is>
      </c>
      <c r="N438" s="6" t="n">
        <v>0</v>
      </c>
      <c r="O438" s="6" t="n">
        <v>9.9</v>
      </c>
      <c r="P438" s="6" t="inlineStr">
        <is>
          <t>yes</t>
        </is>
      </c>
      <c r="Q438" s="6" t="inlineStr">
        <is>
          <t>whole</t>
        </is>
      </c>
      <c r="R438" s="6" t="inlineStr">
        <is>
          <t>FG2</t>
        </is>
      </c>
      <c r="S438" s="6" t="inlineStr">
        <is>
          <t>dairy</t>
        </is>
      </c>
      <c r="T438" s="6" t="inlineStr">
        <is>
          <t>animal</t>
        </is>
      </c>
      <c r="U438" s="6" t="n"/>
      <c r="V438" s="6" t="n"/>
      <c r="W438" s="6" t="n">
        <v>1</v>
      </c>
      <c r="X438" s="6" t="n">
        <v>0.75</v>
      </c>
      <c r="Y438" s="6" t="inlineStr">
        <is>
          <t>declared</t>
        </is>
      </c>
      <c r="Z438" s="8" t="n">
        <v>127860</v>
      </c>
      <c r="AA438" s="9">
        <f>IF(H438="yes",Z438*X438,0)</f>
        <v/>
      </c>
      <c r="AB438" s="9">
        <f>IF(H438="yes",AA438*N(L438)/100,0)</f>
        <v/>
      </c>
      <c r="AC438" s="9">
        <f>IF(H438="yes",AA438*N(N438)/100,0)</f>
        <v/>
      </c>
      <c r="AD438" s="9">
        <f>IF(H438="yes",AA438*N(O438)/100,0)</f>
        <v/>
      </c>
      <c r="AE438" s="10">
        <f>IF(P438="yes",AA438/1000,0)</f>
        <v/>
      </c>
      <c r="AF438" s="10">
        <f>IF(R438="FG2",AE438*W438,AE438)</f>
        <v/>
      </c>
    </row>
    <row r="439">
      <c r="A439" s="6" t="inlineStr">
        <is>
          <t>HM00437</t>
        </is>
      </c>
      <c r="B439" s="7" t="inlineStr">
        <is>
          <t>3012345665773</t>
        </is>
      </c>
      <c r="C439" s="6" t="inlineStr">
        <is>
          <t>KESTREL BREADED HADDOCK 10PK 280G</t>
        </is>
      </c>
      <c r="D439" s="6" t="inlineStr">
        <is>
          <t>Breaded haddock fillets, 10pk 280g</t>
        </is>
      </c>
      <c r="E439" s="6" t="inlineStr">
        <is>
          <t>Kestrel Bay</t>
        </is>
      </c>
      <c r="F439" s="6" t="inlineStr">
        <is>
          <t>Frozen</t>
        </is>
      </c>
      <c r="G439" s="6" t="inlineStr">
        <is>
          <t>Frozen Fish</t>
        </is>
      </c>
      <c r="H439" s="6" t="inlineStr">
        <is>
          <t>yes</t>
        </is>
      </c>
      <c r="I439" s="6" t="inlineStr">
        <is>
          <t>Animal core</t>
        </is>
      </c>
      <c r="J439" s="6" t="inlineStr">
        <is>
          <t>B</t>
        </is>
      </c>
      <c r="K439" s="6" t="inlineStr">
        <is>
          <t>First ingredient (step 4a)</t>
        </is>
      </c>
      <c r="L439" s="6" t="n">
        <v>12</v>
      </c>
      <c r="M439" s="6" t="inlineStr">
        <is>
          <t>Declared by the retailer</t>
        </is>
      </c>
      <c r="N439" s="6" t="n">
        <v>0</v>
      </c>
      <c r="O439" s="6" t="n">
        <v>12</v>
      </c>
      <c r="P439" s="6" t="inlineStr">
        <is>
          <t>yes</t>
        </is>
      </c>
      <c r="Q439" s="6" t="inlineStr">
        <is>
          <t>whole</t>
        </is>
      </c>
      <c r="R439" s="6" t="inlineStr">
        <is>
          <t>FG1</t>
        </is>
      </c>
      <c r="S439" s="6" t="inlineStr">
        <is>
          <t>fish shellfish</t>
        </is>
      </c>
      <c r="T439" s="6" t="inlineStr">
        <is>
          <t>animal</t>
        </is>
      </c>
      <c r="U439" s="6" t="n"/>
      <c r="V439" s="6" t="n"/>
      <c r="W439" s="6" t="n">
        <v>1</v>
      </c>
      <c r="X439" s="6" t="n">
        <v>0.28</v>
      </c>
      <c r="Y439" s="6" t="inlineStr">
        <is>
          <t>declared</t>
        </is>
      </c>
      <c r="Z439" s="8" t="n">
        <v>13299</v>
      </c>
      <c r="AA439" s="9">
        <f>IF(H439="yes",Z439*X439,0)</f>
        <v/>
      </c>
      <c r="AB439" s="9">
        <f>IF(H439="yes",AA439*N(L439)/100,0)</f>
        <v/>
      </c>
      <c r="AC439" s="9">
        <f>IF(H439="yes",AA439*N(N439)/100,0)</f>
        <v/>
      </c>
      <c r="AD439" s="9">
        <f>IF(H439="yes",AA439*N(O439)/100,0)</f>
        <v/>
      </c>
      <c r="AE439" s="10">
        <f>IF(P439="yes",AA439/1000,0)</f>
        <v/>
      </c>
      <c r="AF439" s="10">
        <f>IF(R439="FG2",AE439*W439,AE439)</f>
        <v/>
      </c>
    </row>
    <row r="440">
      <c r="A440" s="6" t="inlineStr">
        <is>
          <t>HM00438</t>
        </is>
      </c>
      <c r="B440" s="7" t="inlineStr">
        <is>
          <t>3012345963664</t>
        </is>
      </c>
      <c r="C440" s="6" t="inlineStr">
        <is>
          <t>NUVELLE LEMONADE 24X330ML</t>
        </is>
      </c>
      <c r="D440" s="6" t="inlineStr">
        <is>
          <t>Cloudy lemonade, 24x330ml</t>
        </is>
      </c>
      <c r="E440" s="6" t="inlineStr">
        <is>
          <t>Nuvelle</t>
        </is>
      </c>
      <c r="F440" s="6" t="inlineStr">
        <is>
          <t>Soft Drinks &amp; Water</t>
        </is>
      </c>
      <c r="G440" s="6" t="inlineStr">
        <is>
          <t>Soft Drinks</t>
        </is>
      </c>
      <c r="H440" s="6" t="inlineStr">
        <is>
          <t>yes</t>
        </is>
      </c>
      <c r="I440" s="6" t="inlineStr">
        <is>
          <t>Plant-based non-core</t>
        </is>
      </c>
      <c r="J440" s="6" t="inlineStr">
        <is>
          <t>A</t>
        </is>
      </c>
      <c r="K440" s="6" t="inlineStr">
        <is>
          <t>All ingredients on one side</t>
        </is>
      </c>
      <c r="L440" s="6" t="n">
        <v>0</v>
      </c>
      <c r="M440" s="6" t="inlineStr">
        <is>
          <t>Declared by the retailer</t>
        </is>
      </c>
      <c r="N440" s="6" t="n">
        <v>0</v>
      </c>
      <c r="O440" s="6" t="n">
        <v>0</v>
      </c>
      <c r="P440" s="6" t="inlineStr">
        <is>
          <t>no</t>
        </is>
      </c>
      <c r="Q440" s="6" t="n"/>
      <c r="R440" s="6" t="n"/>
      <c r="S440" s="6" t="n"/>
      <c r="T440" s="6" t="n"/>
      <c r="U440" s="6" t="n"/>
      <c r="V440" s="6" t="inlineStr">
        <is>
          <t>beverage</t>
        </is>
      </c>
      <c r="W440" s="6" t="n">
        <v>1</v>
      </c>
      <c r="X440" s="6" t="n">
        <v>7.92</v>
      </c>
      <c r="Y440" s="6" t="inlineStr">
        <is>
          <t>declared</t>
        </is>
      </c>
      <c r="Z440" s="8" t="n">
        <v>3047</v>
      </c>
      <c r="AA440" s="9">
        <f>IF(H440="yes",Z440*X440,0)</f>
        <v/>
      </c>
      <c r="AB440" s="9">
        <f>IF(H440="yes",AA440*N(L440)/100,0)</f>
        <v/>
      </c>
      <c r="AC440" s="9">
        <f>IF(H440="yes",AA440*N(N440)/100,0)</f>
        <v/>
      </c>
      <c r="AD440" s="9">
        <f>IF(H440="yes",AA440*N(O440)/100,0)</f>
        <v/>
      </c>
      <c r="AE440" s="10">
        <f>IF(P440="yes",AA440/1000,0)</f>
        <v/>
      </c>
      <c r="AF440" s="10">
        <f>IF(R440="FG2",AE440*W440,AE440)</f>
        <v/>
      </c>
    </row>
    <row r="441">
      <c r="A441" s="6" t="inlineStr">
        <is>
          <t>HM00439</t>
        </is>
      </c>
      <c r="B441" s="7" t="inlineStr">
        <is>
          <t>5012345219240</t>
        </is>
      </c>
      <c r="C441" s="6" t="inlineStr">
        <is>
          <t>HM PORK MINCE 1KG</t>
        </is>
      </c>
      <c r="D441" s="6" t="inlineStr">
        <is>
          <t>Pork mince, 1kg</t>
        </is>
      </c>
      <c r="E441" s="6" t="inlineStr">
        <is>
          <t>Harbour Market</t>
        </is>
      </c>
      <c r="F441" s="6" t="inlineStr">
        <is>
          <t>Fresh Meat &amp; Poultry</t>
        </is>
      </c>
      <c r="G441" s="6" t="inlineStr">
        <is>
          <t>Pork</t>
        </is>
      </c>
      <c r="H441" s="6" t="inlineStr">
        <is>
          <t>yes</t>
        </is>
      </c>
      <c r="I441" s="6" t="inlineStr">
        <is>
          <t>Animal core</t>
        </is>
      </c>
      <c r="J441" s="6" t="inlineStr">
        <is>
          <t>B</t>
        </is>
      </c>
      <c r="K441" s="6" t="inlineStr">
        <is>
          <t>Follows the class</t>
        </is>
      </c>
      <c r="L441" s="6" t="n">
        <v>20.6</v>
      </c>
      <c r="M441" s="6" t="inlineStr">
        <is>
          <t>Name match (CIQUAL / NEVO)</t>
        </is>
      </c>
      <c r="N441" s="6" t="n">
        <v>0</v>
      </c>
      <c r="O441" s="6" t="n">
        <v>20.6</v>
      </c>
      <c r="P441" s="6" t="inlineStr">
        <is>
          <t>yes</t>
        </is>
      </c>
      <c r="Q441" s="6" t="inlineStr">
        <is>
          <t>whole</t>
        </is>
      </c>
      <c r="R441" s="6" t="inlineStr">
        <is>
          <t>FG1</t>
        </is>
      </c>
      <c r="S441" s="6" t="inlineStr">
        <is>
          <t>red meat</t>
        </is>
      </c>
      <c r="T441" s="6" t="inlineStr">
        <is>
          <t>animal</t>
        </is>
      </c>
      <c r="U441" s="6" t="n"/>
      <c r="V441" s="6" t="n"/>
      <c r="W441" s="6" t="n">
        <v>1</v>
      </c>
      <c r="X441" s="6" t="n">
        <v>1</v>
      </c>
      <c r="Y441" s="6" t="inlineStr">
        <is>
          <t>label</t>
        </is>
      </c>
      <c r="Z441" s="8" t="n">
        <v>15697</v>
      </c>
      <c r="AA441" s="9">
        <f>IF(H441="yes",Z441*X441,0)</f>
        <v/>
      </c>
      <c r="AB441" s="9">
        <f>IF(H441="yes",AA441*N(L441)/100,0)</f>
        <v/>
      </c>
      <c r="AC441" s="9">
        <f>IF(H441="yes",AA441*N(N441)/100,0)</f>
        <v/>
      </c>
      <c r="AD441" s="9">
        <f>IF(H441="yes",AA441*N(O441)/100,0)</f>
        <v/>
      </c>
      <c r="AE441" s="10">
        <f>IF(P441="yes",AA441/1000,0)</f>
        <v/>
      </c>
      <c r="AF441" s="10">
        <f>IF(R441="FG2",AE441*W441,AE441)</f>
        <v/>
      </c>
    </row>
    <row r="442">
      <c r="A442" s="6" t="inlineStr">
        <is>
          <t>HM00440</t>
        </is>
      </c>
      <c r="B442" s="7" t="inlineStr">
        <is>
          <t>4012345200270</t>
        </is>
      </c>
      <c r="C442" s="6" t="inlineStr">
        <is>
          <t>HM ORANGES 500G</t>
        </is>
      </c>
      <c r="D442" s="6" t="inlineStr">
        <is>
          <t>Oranges, 500g</t>
        </is>
      </c>
      <c r="E442" s="6" t="inlineStr">
        <is>
          <t>Harbour Market</t>
        </is>
      </c>
      <c r="F442" s="6" t="inlineStr">
        <is>
          <t>Fruit &amp; Vegetables</t>
        </is>
      </c>
      <c r="G442" s="6" t="inlineStr">
        <is>
          <t>Fruit</t>
        </is>
      </c>
      <c r="H442" s="6" t="inlineStr">
        <is>
          <t>yes</t>
        </is>
      </c>
      <c r="I442" s="6" t="inlineStr">
        <is>
          <t>Plant-based non-core</t>
        </is>
      </c>
      <c r="J442" s="6" t="inlineStr">
        <is>
          <t>B</t>
        </is>
      </c>
      <c r="K442" s="6" t="inlineStr">
        <is>
          <t>Follows the class</t>
        </is>
      </c>
      <c r="L442" s="6" t="n">
        <v>0.9</v>
      </c>
      <c r="M442" s="6" t="inlineStr">
        <is>
          <t>Declared by the retailer</t>
        </is>
      </c>
      <c r="N442" s="6" t="n">
        <v>0.9</v>
      </c>
      <c r="O442" s="6" t="n">
        <v>0</v>
      </c>
      <c r="P442" s="6" t="inlineStr">
        <is>
          <t>yes</t>
        </is>
      </c>
      <c r="Q442" s="6" t="inlineStr">
        <is>
          <t>whole</t>
        </is>
      </c>
      <c r="R442" s="6" t="inlineStr">
        <is>
          <t>FG4</t>
        </is>
      </c>
      <c r="S442" s="6" t="n"/>
      <c r="T442" s="6" t="inlineStr">
        <is>
          <t>plant</t>
        </is>
      </c>
      <c r="U442" s="6" t="n"/>
      <c r="V442" s="6" t="n"/>
      <c r="W442" s="6" t="n">
        <v>1</v>
      </c>
      <c r="X442" s="6" t="n">
        <v>0.5</v>
      </c>
      <c r="Y442" s="6" t="inlineStr">
        <is>
          <t>declared</t>
        </is>
      </c>
      <c r="Z442" s="8" t="n">
        <v>26656</v>
      </c>
      <c r="AA442" s="9">
        <f>IF(H442="yes",Z442*X442,0)</f>
        <v/>
      </c>
      <c r="AB442" s="9">
        <f>IF(H442="yes",AA442*N(L442)/100,0)</f>
        <v/>
      </c>
      <c r="AC442" s="9">
        <f>IF(H442="yes",AA442*N(N442)/100,0)</f>
        <v/>
      </c>
      <c r="AD442" s="9">
        <f>IF(H442="yes",AA442*N(O442)/100,0)</f>
        <v/>
      </c>
      <c r="AE442" s="10">
        <f>IF(P442="yes",AA442/1000,0)</f>
        <v/>
      </c>
      <c r="AF442" s="10">
        <f>IF(R442="FG2",AE442*W442,AE442)</f>
        <v/>
      </c>
    </row>
    <row r="443">
      <c r="A443" s="6" t="inlineStr">
        <is>
          <t>HM00441</t>
        </is>
      </c>
      <c r="B443" s="7" t="inlineStr">
        <is>
          <t>0712345097736</t>
        </is>
      </c>
      <c r="C443" s="6" t="inlineStr">
        <is>
          <t>DARK CHOC 70% 100G MARLOWE</t>
        </is>
      </c>
      <c r="D443" s="6" t="inlineStr">
        <is>
          <t>70% dark chocolate, 100g</t>
        </is>
      </c>
      <c r="E443" s="6" t="inlineStr">
        <is>
          <t>Marlowe</t>
        </is>
      </c>
      <c r="F443" s="6" t="inlineStr">
        <is>
          <t>Breakfast &amp; Snacks</t>
        </is>
      </c>
      <c r="G443" s="6" t="inlineStr">
        <is>
          <t>Chocolate</t>
        </is>
      </c>
      <c r="H443" s="6" t="inlineStr">
        <is>
          <t>yes</t>
        </is>
      </c>
      <c r="I443" s="6" t="inlineStr">
        <is>
          <t>Plant-based non-core</t>
        </is>
      </c>
      <c r="J443" s="6" t="inlineStr">
        <is>
          <t>A</t>
        </is>
      </c>
      <c r="K443" s="6" t="inlineStr">
        <is>
          <t>All ingredients on one side</t>
        </is>
      </c>
      <c r="L443" s="6" t="n">
        <v>7.6</v>
      </c>
      <c r="M443" s="6" t="inlineStr">
        <is>
          <t>Name match (CIQUAL / NEVO)</t>
        </is>
      </c>
      <c r="N443" s="6" t="n">
        <v>7.6</v>
      </c>
      <c r="O443" s="6" t="n">
        <v>0</v>
      </c>
      <c r="P443" s="6" t="inlineStr">
        <is>
          <t>yes</t>
        </is>
      </c>
      <c r="Q443" s="6" t="inlineStr">
        <is>
          <t>whole</t>
        </is>
      </c>
      <c r="R443" s="6" t="inlineStr">
        <is>
          <t>FG7</t>
        </is>
      </c>
      <c r="S443" s="6" t="n"/>
      <c r="T443" s="6" t="inlineStr">
        <is>
          <t>plant</t>
        </is>
      </c>
      <c r="U443" s="6" t="n"/>
      <c r="V443" s="6" t="n"/>
      <c r="W443" s="6" t="n">
        <v>1</v>
      </c>
      <c r="X443" s="6" t="n">
        <v>0.1</v>
      </c>
      <c r="Y443" s="6" t="inlineStr">
        <is>
          <t>declared</t>
        </is>
      </c>
      <c r="Z443" s="8" t="n">
        <v>8271</v>
      </c>
      <c r="AA443" s="9">
        <f>IF(H443="yes",Z443*X443,0)</f>
        <v/>
      </c>
      <c r="AB443" s="9">
        <f>IF(H443="yes",AA443*N(L443)/100,0)</f>
        <v/>
      </c>
      <c r="AC443" s="9">
        <f>IF(H443="yes",AA443*N(N443)/100,0)</f>
        <v/>
      </c>
      <c r="AD443" s="9">
        <f>IF(H443="yes",AA443*N(O443)/100,0)</f>
        <v/>
      </c>
      <c r="AE443" s="10">
        <f>IF(P443="yes",AA443/1000,0)</f>
        <v/>
      </c>
      <c r="AF443" s="10">
        <f>IF(R443="FG2",AE443*W443,AE443)</f>
        <v/>
      </c>
    </row>
    <row r="444">
      <c r="A444" s="6" t="inlineStr">
        <is>
          <t>HM00442</t>
        </is>
      </c>
      <c r="B444" s="7" t="inlineStr">
        <is>
          <t>4012345217834</t>
        </is>
      </c>
      <c r="C444" s="6" t="inlineStr">
        <is>
          <t>HM CARROTS 500G</t>
        </is>
      </c>
      <c r="D444" s="6" t="inlineStr">
        <is>
          <t>Carrots, 500g</t>
        </is>
      </c>
      <c r="E444" s="6" t="inlineStr">
        <is>
          <t>Harbour Market</t>
        </is>
      </c>
      <c r="F444" s="6" t="inlineStr">
        <is>
          <t>Fruit &amp; Vegetables</t>
        </is>
      </c>
      <c r="G444" s="6" t="inlineStr">
        <is>
          <t>Vegetables</t>
        </is>
      </c>
      <c r="H444" s="6" t="inlineStr">
        <is>
          <t>yes</t>
        </is>
      </c>
      <c r="I444" s="6" t="inlineStr">
        <is>
          <t>Plant-based non-core</t>
        </is>
      </c>
      <c r="J444" s="6" t="inlineStr">
        <is>
          <t>B</t>
        </is>
      </c>
      <c r="K444" s="6" t="inlineStr">
        <is>
          <t>Follows the class</t>
        </is>
      </c>
      <c r="L444" s="6" t="n">
        <v>0.62</v>
      </c>
      <c r="M444" s="6" t="inlineStr">
        <is>
          <t>Declared by the retailer</t>
        </is>
      </c>
      <c r="N444" s="6" t="n">
        <v>0.62</v>
      </c>
      <c r="O444" s="6" t="n">
        <v>0</v>
      </c>
      <c r="P444" s="6" t="inlineStr">
        <is>
          <t>yes</t>
        </is>
      </c>
      <c r="Q444" s="6" t="inlineStr">
        <is>
          <t>whole</t>
        </is>
      </c>
      <c r="R444" s="6" t="inlineStr">
        <is>
          <t>FG4</t>
        </is>
      </c>
      <c r="S444" s="6" t="n"/>
      <c r="T444" s="6" t="inlineStr">
        <is>
          <t>plant</t>
        </is>
      </c>
      <c r="U444" s="6" t="n"/>
      <c r="V444" s="6" t="n"/>
      <c r="W444" s="6" t="n">
        <v>1</v>
      </c>
      <c r="X444" s="6" t="n">
        <v>0.5</v>
      </c>
      <c r="Y444" s="6" t="inlineStr">
        <is>
          <t>declared</t>
        </is>
      </c>
      <c r="Z444" s="8" t="n">
        <v>45206</v>
      </c>
      <c r="AA444" s="9">
        <f>IF(H444="yes",Z444*X444,0)</f>
        <v/>
      </c>
      <c r="AB444" s="9">
        <f>IF(H444="yes",AA444*N(L444)/100,0)</f>
        <v/>
      </c>
      <c r="AC444" s="9">
        <f>IF(H444="yes",AA444*N(N444)/100,0)</f>
        <v/>
      </c>
      <c r="AD444" s="9">
        <f>IF(H444="yes",AA444*N(O444)/100,0)</f>
        <v/>
      </c>
      <c r="AE444" s="10">
        <f>IF(P444="yes",AA444/1000,0)</f>
        <v/>
      </c>
      <c r="AF444" s="10">
        <f>IF(R444="FG2",AE444*W444,AE444)</f>
        <v/>
      </c>
    </row>
    <row r="445">
      <c r="A445" s="6" t="inlineStr">
        <is>
          <t>HM00443</t>
        </is>
      </c>
      <c r="B445" s="7" t="inlineStr">
        <is>
          <t>5012345488905</t>
        </is>
      </c>
      <c r="C445" s="6" t="inlineStr">
        <is>
          <t>HM SUNFLOWER OIL 1L</t>
        </is>
      </c>
      <c r="D445" s="6" t="inlineStr">
        <is>
          <t>Sunflower oil, 1l</t>
        </is>
      </c>
      <c r="E445" s="6" t="inlineStr">
        <is>
          <t>Harbour Market</t>
        </is>
      </c>
      <c r="F445" s="6" t="inlineStr">
        <is>
          <t>Grocery</t>
        </is>
      </c>
      <c r="G445" s="6" t="inlineStr">
        <is>
          <t>Oils</t>
        </is>
      </c>
      <c r="H445" s="6" t="inlineStr">
        <is>
          <t>yes</t>
        </is>
      </c>
      <c r="I445" s="6" t="inlineStr">
        <is>
          <t>Plant-based non-core</t>
        </is>
      </c>
      <c r="J445" s="6" t="inlineStr">
        <is>
          <t>B</t>
        </is>
      </c>
      <c r="K445" s="6" t="inlineStr">
        <is>
          <t>Follows the class</t>
        </is>
      </c>
      <c r="L445" s="6" t="n">
        <v>0</v>
      </c>
      <c r="M445" s="6" t="inlineStr">
        <is>
          <t>Altera reference base</t>
        </is>
      </c>
      <c r="N445" s="6" t="n">
        <v>0</v>
      </c>
      <c r="O445" s="6" t="n">
        <v>0</v>
      </c>
      <c r="P445" s="6" t="inlineStr">
        <is>
          <t>yes</t>
        </is>
      </c>
      <c r="Q445" s="6" t="inlineStr">
        <is>
          <t>whole</t>
        </is>
      </c>
      <c r="R445" s="6" t="inlineStr">
        <is>
          <t>FG3</t>
        </is>
      </c>
      <c r="S445" s="6" t="inlineStr">
        <is>
          <t>plant fat</t>
        </is>
      </c>
      <c r="T445" s="6" t="inlineStr">
        <is>
          <t>plant</t>
        </is>
      </c>
      <c r="U445" s="6" t="n"/>
      <c r="V445" s="6" t="n"/>
      <c r="W445" s="6" t="n">
        <v>1</v>
      </c>
      <c r="X445" s="6" t="n">
        <v>0.92</v>
      </c>
      <c r="Y445" s="6" t="inlineStr">
        <is>
          <t>label</t>
        </is>
      </c>
      <c r="Z445" s="8" t="n">
        <v>13189</v>
      </c>
      <c r="AA445" s="9">
        <f>IF(H445="yes",Z445*X445,0)</f>
        <v/>
      </c>
      <c r="AB445" s="9">
        <f>IF(H445="yes",AA445*N(L445)/100,0)</f>
        <v/>
      </c>
      <c r="AC445" s="9">
        <f>IF(H445="yes",AA445*N(N445)/100,0)</f>
        <v/>
      </c>
      <c r="AD445" s="9">
        <f>IF(H445="yes",AA445*N(O445)/100,0)</f>
        <v/>
      </c>
      <c r="AE445" s="10">
        <f>IF(P445="yes",AA445/1000,0)</f>
        <v/>
      </c>
      <c r="AF445" s="10">
        <f>IF(R445="FG2",AE445*W445,AE445)</f>
        <v/>
      </c>
    </row>
    <row r="446">
      <c r="A446" s="6" t="inlineStr">
        <is>
          <t>HM00444</t>
        </is>
      </c>
      <c r="B446" s="7" t="inlineStr">
        <is>
          <t>3012345880879</t>
        </is>
      </c>
      <c r="C446" s="6" t="inlineStr">
        <is>
          <t>HM MIXED PEPPERS 500G</t>
        </is>
      </c>
      <c r="D446" s="6" t="inlineStr">
        <is>
          <t>Mixed peppers, 500g</t>
        </is>
      </c>
      <c r="E446" s="6" t="inlineStr">
        <is>
          <t>Harbour Market</t>
        </is>
      </c>
      <c r="F446" s="6" t="inlineStr">
        <is>
          <t>Fruit &amp; Vegetables</t>
        </is>
      </c>
      <c r="G446" s="6" t="inlineStr">
        <is>
          <t>Vegetables</t>
        </is>
      </c>
      <c r="H446" s="6" t="inlineStr">
        <is>
          <t>yes</t>
        </is>
      </c>
      <c r="I446" s="6" t="inlineStr">
        <is>
          <t>Plant-based non-core</t>
        </is>
      </c>
      <c r="J446" s="6" t="inlineStr">
        <is>
          <t>B</t>
        </is>
      </c>
      <c r="K446" s="6" t="inlineStr">
        <is>
          <t>Follows the class</t>
        </is>
      </c>
      <c r="L446" s="6" t="n">
        <v>0.92</v>
      </c>
      <c r="M446" s="6" t="inlineStr">
        <is>
          <t>Declared by the retailer</t>
        </is>
      </c>
      <c r="N446" s="6" t="n">
        <v>0.92</v>
      </c>
      <c r="O446" s="6" t="n">
        <v>0</v>
      </c>
      <c r="P446" s="6" t="inlineStr">
        <is>
          <t>yes</t>
        </is>
      </c>
      <c r="Q446" s="6" t="inlineStr">
        <is>
          <t>whole</t>
        </is>
      </c>
      <c r="R446" s="6" t="inlineStr">
        <is>
          <t>FG4</t>
        </is>
      </c>
      <c r="S446" s="6" t="n"/>
      <c r="T446" s="6" t="inlineStr">
        <is>
          <t>plant</t>
        </is>
      </c>
      <c r="U446" s="6" t="n"/>
      <c r="V446" s="6" t="n"/>
      <c r="W446" s="6" t="n">
        <v>1</v>
      </c>
      <c r="X446" s="6" t="n">
        <v>0.5</v>
      </c>
      <c r="Y446" s="6" t="inlineStr">
        <is>
          <t>declared</t>
        </is>
      </c>
      <c r="Z446" s="8" t="n">
        <v>40441</v>
      </c>
      <c r="AA446" s="9">
        <f>IF(H446="yes",Z446*X446,0)</f>
        <v/>
      </c>
      <c r="AB446" s="9">
        <f>IF(H446="yes",AA446*N(L446)/100,0)</f>
        <v/>
      </c>
      <c r="AC446" s="9">
        <f>IF(H446="yes",AA446*N(N446)/100,0)</f>
        <v/>
      </c>
      <c r="AD446" s="9">
        <f>IF(H446="yes",AA446*N(O446)/100,0)</f>
        <v/>
      </c>
      <c r="AE446" s="10">
        <f>IF(P446="yes",AA446/1000,0)</f>
        <v/>
      </c>
      <c r="AF446" s="10">
        <f>IF(R446="FG2",AE446*W446,AE446)</f>
        <v/>
      </c>
    </row>
    <row r="447">
      <c r="A447" s="6" t="inlineStr">
        <is>
          <t>HM00445</t>
        </is>
      </c>
      <c r="B447" s="7" t="inlineStr">
        <is>
          <t>4012345357578</t>
        </is>
      </c>
      <c r="C447" s="6" t="inlineStr">
        <is>
          <t>FJELDA SPREADABLE BUTTER 250G</t>
        </is>
      </c>
      <c r="D447" s="6" t="inlineStr">
        <is>
          <t>Spreadable butter, 250g</t>
        </is>
      </c>
      <c r="E447" s="6" t="inlineStr">
        <is>
          <t>Fjelda</t>
        </is>
      </c>
      <c r="F447" s="6" t="inlineStr">
        <is>
          <t>Dairy &amp; Eggs</t>
        </is>
      </c>
      <c r="G447" s="6" t="inlineStr">
        <is>
          <t>Butter &amp; Spreads</t>
        </is>
      </c>
      <c r="H447" s="6" t="inlineStr">
        <is>
          <t>yes</t>
        </is>
      </c>
      <c r="I447" s="6" t="inlineStr">
        <is>
          <t>Animal core</t>
        </is>
      </c>
      <c r="J447" s="6" t="inlineStr">
        <is>
          <t>A</t>
        </is>
      </c>
      <c r="K447" s="6" t="inlineStr">
        <is>
          <t>All ingredients on one side</t>
        </is>
      </c>
      <c r="L447" s="6" t="n">
        <v>0.58</v>
      </c>
      <c r="M447" s="6" t="inlineStr">
        <is>
          <t>Declared by the retailer</t>
        </is>
      </c>
      <c r="N447" s="6" t="n">
        <v>0</v>
      </c>
      <c r="O447" s="6" t="n">
        <v>0.58</v>
      </c>
      <c r="P447" s="6" t="inlineStr">
        <is>
          <t>yes</t>
        </is>
      </c>
      <c r="Q447" s="6" t="inlineStr">
        <is>
          <t>whole</t>
        </is>
      </c>
      <c r="R447" s="6" t="inlineStr">
        <is>
          <t>FG3</t>
        </is>
      </c>
      <c r="S447" s="6" t="inlineStr">
        <is>
          <t>animal fat</t>
        </is>
      </c>
      <c r="T447" s="6" t="inlineStr">
        <is>
          <t>animal</t>
        </is>
      </c>
      <c r="U447" s="6" t="n"/>
      <c r="V447" s="6" t="n"/>
      <c r="W447" s="6" t="n">
        <v>1</v>
      </c>
      <c r="X447" s="6" t="n">
        <v>0.25</v>
      </c>
      <c r="Y447" s="6" t="inlineStr">
        <is>
          <t>declared</t>
        </is>
      </c>
      <c r="Z447" s="8" t="n">
        <v>214702</v>
      </c>
      <c r="AA447" s="9">
        <f>IF(H447="yes",Z447*X447,0)</f>
        <v/>
      </c>
      <c r="AB447" s="9">
        <f>IF(H447="yes",AA447*N(L447)/100,0)</f>
        <v/>
      </c>
      <c r="AC447" s="9">
        <f>IF(H447="yes",AA447*N(N447)/100,0)</f>
        <v/>
      </c>
      <c r="AD447" s="9">
        <f>IF(H447="yes",AA447*N(O447)/100,0)</f>
        <v/>
      </c>
      <c r="AE447" s="10">
        <f>IF(P447="yes",AA447/1000,0)</f>
        <v/>
      </c>
      <c r="AF447" s="10">
        <f>IF(R447="FG2",AE447*W447,AE447)</f>
        <v/>
      </c>
    </row>
    <row r="448">
      <c r="A448" s="6" t="inlineStr">
        <is>
          <t>HM00446</t>
        </is>
      </c>
      <c r="B448" s="7" t="inlineStr">
        <is>
          <t>5012345039732</t>
        </is>
      </c>
      <c r="C448" s="6" t="inlineStr">
        <is>
          <t>HM RED SPLIT LENTILS 1KG</t>
        </is>
      </c>
      <c r="D448" s="6" t="inlineStr">
        <is>
          <t>Red split lentils, 1kg</t>
        </is>
      </c>
      <c r="E448" s="6" t="inlineStr">
        <is>
          <t>Harbour Market</t>
        </is>
      </c>
      <c r="F448" s="6" t="inlineStr">
        <is>
          <t>Grocery</t>
        </is>
      </c>
      <c r="G448" s="6" t="inlineStr">
        <is>
          <t>Pulses</t>
        </is>
      </c>
      <c r="H448" s="6" t="inlineStr">
        <is>
          <t>yes</t>
        </is>
      </c>
      <c r="I448" s="6" t="inlineStr">
        <is>
          <t>Plant-based core</t>
        </is>
      </c>
      <c r="J448" s="6" t="inlineStr">
        <is>
          <t>A</t>
        </is>
      </c>
      <c r="K448" s="6" t="inlineStr">
        <is>
          <t>All ingredients on one side</t>
        </is>
      </c>
      <c r="L448" s="6" t="n">
        <v>23.9</v>
      </c>
      <c r="M448" s="6" t="inlineStr">
        <is>
          <t>Declared by the retailer</t>
        </is>
      </c>
      <c r="N448" s="6" t="n">
        <v>23.9</v>
      </c>
      <c r="O448" s="6" t="n">
        <v>0</v>
      </c>
      <c r="P448" s="6" t="inlineStr">
        <is>
          <t>yes</t>
        </is>
      </c>
      <c r="Q448" s="6" t="inlineStr">
        <is>
          <t>whole</t>
        </is>
      </c>
      <c r="R448" s="6" t="inlineStr">
        <is>
          <t>FG1</t>
        </is>
      </c>
      <c r="S448" s="6" t="inlineStr">
        <is>
          <t>pulses</t>
        </is>
      </c>
      <c r="T448" s="6" t="inlineStr">
        <is>
          <t>plant</t>
        </is>
      </c>
      <c r="U448" s="6" t="n"/>
      <c r="V448" s="6" t="n"/>
      <c r="W448" s="6" t="n">
        <v>1</v>
      </c>
      <c r="X448" s="6" t="n">
        <v>1</v>
      </c>
      <c r="Y448" s="6" t="inlineStr">
        <is>
          <t>declared</t>
        </is>
      </c>
      <c r="Z448" s="8" t="n">
        <v>5890</v>
      </c>
      <c r="AA448" s="9">
        <f>IF(H448="yes",Z448*X448,0)</f>
        <v/>
      </c>
      <c r="AB448" s="9">
        <f>IF(H448="yes",AA448*N(L448)/100,0)</f>
        <v/>
      </c>
      <c r="AC448" s="9">
        <f>IF(H448="yes",AA448*N(N448)/100,0)</f>
        <v/>
      </c>
      <c r="AD448" s="9">
        <f>IF(H448="yes",AA448*N(O448)/100,0)</f>
        <v/>
      </c>
      <c r="AE448" s="10">
        <f>IF(P448="yes",AA448/1000,0)</f>
        <v/>
      </c>
      <c r="AF448" s="10">
        <f>IF(R448="FG2",AE448*W448,AE448)</f>
        <v/>
      </c>
    </row>
    <row r="449">
      <c r="A449" s="6" t="inlineStr">
        <is>
          <t>HM00447</t>
        </is>
      </c>
      <c r="B449" s="7" t="inlineStr">
        <is>
          <t>8712345818494</t>
        </is>
      </c>
      <c r="C449" s="6" t="inlineStr">
        <is>
          <t>HM YELLOW SPLIT PEAS 500G</t>
        </is>
      </c>
      <c r="D449" s="6" t="inlineStr">
        <is>
          <t>Yellow split peas, 500g</t>
        </is>
      </c>
      <c r="E449" s="6" t="inlineStr">
        <is>
          <t>Harbour Market</t>
        </is>
      </c>
      <c r="F449" s="6" t="inlineStr">
        <is>
          <t>Grocery</t>
        </is>
      </c>
      <c r="G449" s="6" t="inlineStr">
        <is>
          <t>Pulses</t>
        </is>
      </c>
      <c r="H449" s="6" t="inlineStr">
        <is>
          <t>yes</t>
        </is>
      </c>
      <c r="I449" s="6" t="inlineStr">
        <is>
          <t>Plant-based core</t>
        </is>
      </c>
      <c r="J449" s="6" t="inlineStr">
        <is>
          <t>B</t>
        </is>
      </c>
      <c r="K449" s="6" t="inlineStr">
        <is>
          <t>Follows the class</t>
        </is>
      </c>
      <c r="L449" s="6" t="n">
        <v>23</v>
      </c>
      <c r="M449" s="6" t="inlineStr">
        <is>
          <t>Open Food Facts, by EAN</t>
        </is>
      </c>
      <c r="N449" s="6" t="n">
        <v>23</v>
      </c>
      <c r="O449" s="6" t="n">
        <v>0</v>
      </c>
      <c r="P449" s="6" t="inlineStr">
        <is>
          <t>yes</t>
        </is>
      </c>
      <c r="Q449" s="6" t="inlineStr">
        <is>
          <t>whole</t>
        </is>
      </c>
      <c r="R449" s="6" t="inlineStr">
        <is>
          <t>FG1</t>
        </is>
      </c>
      <c r="S449" s="6" t="inlineStr">
        <is>
          <t>pulses</t>
        </is>
      </c>
      <c r="T449" s="6" t="inlineStr">
        <is>
          <t>plant</t>
        </is>
      </c>
      <c r="U449" s="6" t="n"/>
      <c r="V449" s="6" t="n"/>
      <c r="W449" s="6" t="n">
        <v>1</v>
      </c>
      <c r="X449" s="6" t="n">
        <v>0.5</v>
      </c>
      <c r="Y449" s="6" t="inlineStr">
        <is>
          <t>declared</t>
        </is>
      </c>
      <c r="Z449" s="8" t="n">
        <v>3116</v>
      </c>
      <c r="AA449" s="9">
        <f>IF(H449="yes",Z449*X449,0)</f>
        <v/>
      </c>
      <c r="AB449" s="9">
        <f>IF(H449="yes",AA449*N(L449)/100,0)</f>
        <v/>
      </c>
      <c r="AC449" s="9">
        <f>IF(H449="yes",AA449*N(N449)/100,0)</f>
        <v/>
      </c>
      <c r="AD449" s="9">
        <f>IF(H449="yes",AA449*N(O449)/100,0)</f>
        <v/>
      </c>
      <c r="AE449" s="10">
        <f>IF(P449="yes",AA449/1000,0)</f>
        <v/>
      </c>
      <c r="AF449" s="10">
        <f>IF(R449="FG2",AE449*W449,AE449)</f>
        <v/>
      </c>
    </row>
    <row r="450">
      <c r="A450" s="6" t="inlineStr">
        <is>
          <t>HM00448</t>
        </is>
      </c>
      <c r="B450" s="7" t="inlineStr">
        <is>
          <t>8712345851774</t>
        </is>
      </c>
      <c r="C450" s="6" t="inlineStr">
        <is>
          <t>PORK CHIPOLATAS 6PK TARROW</t>
        </is>
      </c>
      <c r="D450" s="6" t="inlineStr">
        <is>
          <t>Pork chipolatas, 6pk</t>
        </is>
      </c>
      <c r="E450" s="6" t="inlineStr">
        <is>
          <t>Tarrow Farm</t>
        </is>
      </c>
      <c r="F450" s="6" t="inlineStr">
        <is>
          <t>Fresh Meat &amp; Poultry</t>
        </is>
      </c>
      <c r="G450" s="6" t="inlineStr">
        <is>
          <t>Sausages &amp; Burgers</t>
        </is>
      </c>
      <c r="H450" s="6" t="inlineStr">
        <is>
          <t>yes</t>
        </is>
      </c>
      <c r="I450" s="6" t="inlineStr">
        <is>
          <t>Animal core</t>
        </is>
      </c>
      <c r="J450" s="6" t="inlineStr">
        <is>
          <t>B</t>
        </is>
      </c>
      <c r="K450" s="6" t="inlineStr">
        <is>
          <t>First ingredient (step 4a)</t>
        </is>
      </c>
      <c r="L450" s="6" t="n">
        <v>13.6</v>
      </c>
      <c r="M450" s="6" t="inlineStr">
        <is>
          <t>Declared by the retailer</t>
        </is>
      </c>
      <c r="N450" s="6" t="n">
        <v>0</v>
      </c>
      <c r="O450" s="6" t="n">
        <v>13.6</v>
      </c>
      <c r="P450" s="6" t="inlineStr">
        <is>
          <t>yes</t>
        </is>
      </c>
      <c r="Q450" s="6" t="inlineStr">
        <is>
          <t>whole</t>
        </is>
      </c>
      <c r="R450" s="6" t="inlineStr">
        <is>
          <t>FG1</t>
        </is>
      </c>
      <c r="S450" s="6" t="inlineStr">
        <is>
          <t>red meat</t>
        </is>
      </c>
      <c r="T450" s="6" t="inlineStr">
        <is>
          <t>animal</t>
        </is>
      </c>
      <c r="U450" s="6" t="n"/>
      <c r="V450" s="6" t="n"/>
      <c r="W450" s="6" t="n">
        <v>1</v>
      </c>
      <c r="X450" s="6" t="n">
        <v>0.4</v>
      </c>
      <c r="Y450" s="6" t="inlineStr">
        <is>
          <t>declared</t>
        </is>
      </c>
      <c r="Z450" s="8" t="n">
        <v>4349</v>
      </c>
      <c r="AA450" s="9">
        <f>IF(H450="yes",Z450*X450,0)</f>
        <v/>
      </c>
      <c r="AB450" s="9">
        <f>IF(H450="yes",AA450*N(L450)/100,0)</f>
        <v/>
      </c>
      <c r="AC450" s="9">
        <f>IF(H450="yes",AA450*N(N450)/100,0)</f>
        <v/>
      </c>
      <c r="AD450" s="9">
        <f>IF(H450="yes",AA450*N(O450)/100,0)</f>
        <v/>
      </c>
      <c r="AE450" s="10">
        <f>IF(P450="yes",AA450/1000,0)</f>
        <v/>
      </c>
      <c r="AF450" s="10">
        <f>IF(R450="FG2",AE450*W450,AE450)</f>
        <v/>
      </c>
    </row>
    <row r="451">
      <c r="A451" s="6" t="inlineStr">
        <is>
          <t>HM00449</t>
        </is>
      </c>
      <c r="B451" s="7" t="inlineStr">
        <is>
          <t>8712345679835</t>
        </is>
      </c>
      <c r="C451" s="6" t="inlineStr">
        <is>
          <t>LAMB MINCE 400G TARROW</t>
        </is>
      </c>
      <c r="D451" s="6" t="inlineStr">
        <is>
          <t>Lamb mince, 400g</t>
        </is>
      </c>
      <c r="E451" s="6" t="inlineStr">
        <is>
          <t>Tarrow Farm</t>
        </is>
      </c>
      <c r="F451" s="6" t="inlineStr">
        <is>
          <t>Fresh Meat &amp; Poultry</t>
        </is>
      </c>
      <c r="G451" s="6" t="inlineStr">
        <is>
          <t>Turkey &amp; Lamb</t>
        </is>
      </c>
      <c r="H451" s="6" t="inlineStr">
        <is>
          <t>yes</t>
        </is>
      </c>
      <c r="I451" s="6" t="inlineStr">
        <is>
          <t>Animal core</t>
        </is>
      </c>
      <c r="J451" s="6" t="inlineStr">
        <is>
          <t>B</t>
        </is>
      </c>
      <c r="K451" s="6" t="inlineStr">
        <is>
          <t>Follows the class</t>
        </is>
      </c>
      <c r="L451" s="6" t="n">
        <v>18.3</v>
      </c>
      <c r="M451" s="6" t="inlineStr">
        <is>
          <t>Declared by the retailer</t>
        </is>
      </c>
      <c r="N451" s="6" t="n">
        <v>0</v>
      </c>
      <c r="O451" s="6" t="n">
        <v>18.3</v>
      </c>
      <c r="P451" s="6" t="inlineStr">
        <is>
          <t>yes</t>
        </is>
      </c>
      <c r="Q451" s="6" t="inlineStr">
        <is>
          <t>whole</t>
        </is>
      </c>
      <c r="R451" s="6" t="inlineStr">
        <is>
          <t>FG1</t>
        </is>
      </c>
      <c r="S451" s="6" t="inlineStr">
        <is>
          <t>red meat</t>
        </is>
      </c>
      <c r="T451" s="6" t="inlineStr">
        <is>
          <t>animal</t>
        </is>
      </c>
      <c r="U451" s="6" t="n"/>
      <c r="V451" s="6" t="n"/>
      <c r="W451" s="6" t="n">
        <v>1</v>
      </c>
      <c r="X451" s="6" t="n">
        <v>0.4</v>
      </c>
      <c r="Y451" s="6" t="inlineStr">
        <is>
          <t>declared</t>
        </is>
      </c>
      <c r="Z451" s="8" t="n">
        <v>7588</v>
      </c>
      <c r="AA451" s="9">
        <f>IF(H451="yes",Z451*X451,0)</f>
        <v/>
      </c>
      <c r="AB451" s="9">
        <f>IF(H451="yes",AA451*N(L451)/100,0)</f>
        <v/>
      </c>
      <c r="AC451" s="9">
        <f>IF(H451="yes",AA451*N(N451)/100,0)</f>
        <v/>
      </c>
      <c r="AD451" s="9">
        <f>IF(H451="yes",AA451*N(O451)/100,0)</f>
        <v/>
      </c>
      <c r="AE451" s="10">
        <f>IF(P451="yes",AA451/1000,0)</f>
        <v/>
      </c>
      <c r="AF451" s="10">
        <f>IF(R451="FG2",AE451*W451,AE451)</f>
        <v/>
      </c>
    </row>
    <row r="452">
      <c r="A452" s="6" t="inlineStr">
        <is>
          <t>HM00450</t>
        </is>
      </c>
      <c r="B452" s="7" t="inlineStr">
        <is>
          <t>4012345709186</t>
        </is>
      </c>
      <c r="C452" s="6" t="inlineStr">
        <is>
          <t>HM GREEN TEA 1KG</t>
        </is>
      </c>
      <c r="D452" s="6" t="inlineStr">
        <is>
          <t>Green tea bags, 1kg</t>
        </is>
      </c>
      <c r="E452" s="6" t="inlineStr">
        <is>
          <t>Harbour Market</t>
        </is>
      </c>
      <c r="F452" s="6" t="inlineStr">
        <is>
          <t>Grocery</t>
        </is>
      </c>
      <c r="G452" s="6" t="inlineStr">
        <is>
          <t>Tea &amp; Coffee</t>
        </is>
      </c>
      <c r="H452" s="6" t="inlineStr">
        <is>
          <t>yes</t>
        </is>
      </c>
      <c r="I452" s="6" t="inlineStr">
        <is>
          <t>Plant-based non-core</t>
        </is>
      </c>
      <c r="J452" s="6" t="inlineStr">
        <is>
          <t>A</t>
        </is>
      </c>
      <c r="K452" s="6" t="inlineStr">
        <is>
          <t>All ingredients on one side</t>
        </is>
      </c>
      <c r="L452" s="6" t="n">
        <v>0</v>
      </c>
      <c r="M452" s="6" t="inlineStr">
        <is>
          <t>Name match (CIQUAL / NEVO)</t>
        </is>
      </c>
      <c r="N452" s="6" t="n">
        <v>0</v>
      </c>
      <c r="O452" s="6" t="n">
        <v>0</v>
      </c>
      <c r="P452" s="6" t="inlineStr">
        <is>
          <t>no</t>
        </is>
      </c>
      <c r="Q452" s="6" t="n"/>
      <c r="R452" s="6" t="n"/>
      <c r="S452" s="6" t="n"/>
      <c r="T452" s="6" t="n"/>
      <c r="U452" s="6" t="n"/>
      <c r="V452" s="6" t="inlineStr">
        <is>
          <t>coffee tea</t>
        </is>
      </c>
      <c r="W452" s="6" t="n">
        <v>1</v>
      </c>
      <c r="X452" s="6" t="n">
        <v>1</v>
      </c>
      <c r="Y452" s="6" t="inlineStr">
        <is>
          <t>declared</t>
        </is>
      </c>
      <c r="Z452" s="8" t="n">
        <v>79522</v>
      </c>
      <c r="AA452" s="9">
        <f>IF(H452="yes",Z452*X452,0)</f>
        <v/>
      </c>
      <c r="AB452" s="9">
        <f>IF(H452="yes",AA452*N(L452)/100,0)</f>
        <v/>
      </c>
      <c r="AC452" s="9">
        <f>IF(H452="yes",AA452*N(N452)/100,0)</f>
        <v/>
      </c>
      <c r="AD452" s="9">
        <f>IF(H452="yes",AA452*N(O452)/100,0)</f>
        <v/>
      </c>
      <c r="AE452" s="10">
        <f>IF(P452="yes",AA452/1000,0)</f>
        <v/>
      </c>
      <c r="AF452" s="10">
        <f>IF(R452="FG2",AE452*W452,AE452)</f>
        <v/>
      </c>
    </row>
    <row r="453">
      <c r="A453" s="6" t="inlineStr">
        <is>
          <t>HM00451</t>
        </is>
      </c>
      <c r="B453" s="7" t="inlineStr">
        <is>
          <t>5012345442020</t>
        </is>
      </c>
      <c r="C453" s="6" t="inlineStr">
        <is>
          <t>HM CHKN MAYO SANDWICH EACH</t>
        </is>
      </c>
      <c r="D453" s="6" t="inlineStr">
        <is>
          <t>Chicken mayo sandwich</t>
        </is>
      </c>
      <c r="E453" s="6" t="inlineStr">
        <is>
          <t>Harbour Market</t>
        </is>
      </c>
      <c r="F453" s="6" t="inlineStr">
        <is>
          <t>Ready Meals</t>
        </is>
      </c>
      <c r="G453" s="6" t="inlineStr">
        <is>
          <t>Sandwiches</t>
        </is>
      </c>
      <c r="H453" s="6" t="inlineStr">
        <is>
          <t>yes</t>
        </is>
      </c>
      <c r="I453" s="6" t="inlineStr">
        <is>
          <t>Animal &amp; plant composite</t>
        </is>
      </c>
      <c r="J453" s="6" t="inlineStr">
        <is>
          <t>B</t>
        </is>
      </c>
      <c r="K453" s="6" t="inlineStr">
        <is>
          <t>50/50 convention</t>
        </is>
      </c>
      <c r="L453" s="6" t="n">
        <v>10.7</v>
      </c>
      <c r="M453" s="6" t="inlineStr">
        <is>
          <t>Declared by the retailer</t>
        </is>
      </c>
      <c r="N453" s="6" t="n">
        <v>5.35</v>
      </c>
      <c r="O453" s="6" t="n">
        <v>5.35</v>
      </c>
      <c r="P453" s="6" t="inlineStr">
        <is>
          <t>yes</t>
        </is>
      </c>
      <c r="Q453" s="6" t="inlineStr">
        <is>
          <t>composite</t>
        </is>
      </c>
      <c r="R453" s="6" t="n"/>
      <c r="S453" s="6" t="n"/>
      <c r="T453" s="6" t="n"/>
      <c r="U453" s="6" t="inlineStr">
        <is>
          <t>meat-based</t>
        </is>
      </c>
      <c r="V453" s="6" t="n"/>
      <c r="W453" s="6" t="n">
        <v>1</v>
      </c>
      <c r="X453" s="6" t="n">
        <v>0.18</v>
      </c>
      <c r="Y453" s="6" t="inlineStr">
        <is>
          <t>declared</t>
        </is>
      </c>
      <c r="Z453" s="8" t="n">
        <v>9943</v>
      </c>
      <c r="AA453" s="9">
        <f>IF(H453="yes",Z453*X453,0)</f>
        <v/>
      </c>
      <c r="AB453" s="9">
        <f>IF(H453="yes",AA453*N(L453)/100,0)</f>
        <v/>
      </c>
      <c r="AC453" s="9">
        <f>IF(H453="yes",AA453*N(N453)/100,0)</f>
        <v/>
      </c>
      <c r="AD453" s="9">
        <f>IF(H453="yes",AA453*N(O453)/100,0)</f>
        <v/>
      </c>
      <c r="AE453" s="10">
        <f>IF(P453="yes",AA453/1000,0)</f>
        <v/>
      </c>
      <c r="AF453" s="10">
        <f>IF(R453="FG2",AE453*W453,AE453)</f>
        <v/>
      </c>
    </row>
    <row r="454">
      <c r="A454" s="6" t="inlineStr">
        <is>
          <t>HM00452</t>
        </is>
      </c>
      <c r="B454" s="7" t="inlineStr">
        <is>
          <t>3012345967334</t>
        </is>
      </c>
      <c r="C454" s="6" t="inlineStr">
        <is>
          <t>HM BUTTER SHORTBREAD 200G</t>
        </is>
      </c>
      <c r="D454" s="6" t="inlineStr">
        <is>
          <t>All-butter shortbread, 200g</t>
        </is>
      </c>
      <c r="E454" s="6" t="inlineStr">
        <is>
          <t>Harbour Market</t>
        </is>
      </c>
      <c r="F454" s="6" t="inlineStr">
        <is>
          <t>Breakfast &amp; Snacks</t>
        </is>
      </c>
      <c r="G454" s="6" t="inlineStr">
        <is>
          <t>Biscuits</t>
        </is>
      </c>
      <c r="H454" s="6" t="inlineStr">
        <is>
          <t>yes</t>
        </is>
      </c>
      <c r="I454" s="6" t="inlineStr">
        <is>
          <t>Animal &amp; plant composite</t>
        </is>
      </c>
      <c r="J454" s="6" t="inlineStr">
        <is>
          <t>B</t>
        </is>
      </c>
      <c r="K454" s="6" t="inlineStr">
        <is>
          <t>50/50 convention</t>
        </is>
      </c>
      <c r="L454" s="6" t="n">
        <v>6.5</v>
      </c>
      <c r="M454" s="6" t="inlineStr">
        <is>
          <t>Declared by the retailer</t>
        </is>
      </c>
      <c r="N454" s="6" t="n">
        <v>3.25</v>
      </c>
      <c r="O454" s="6" t="n">
        <v>3.25</v>
      </c>
      <c r="P454" s="6" t="inlineStr">
        <is>
          <t>yes</t>
        </is>
      </c>
      <c r="Q454" s="6" t="inlineStr">
        <is>
          <t>whole</t>
        </is>
      </c>
      <c r="R454" s="6" t="inlineStr">
        <is>
          <t>FG7</t>
        </is>
      </c>
      <c r="S454" s="6" t="n"/>
      <c r="T454" s="6" t="inlineStr">
        <is>
          <t>plant</t>
        </is>
      </c>
      <c r="U454" s="6" t="n"/>
      <c r="V454" s="6" t="n"/>
      <c r="W454" s="6" t="n">
        <v>1</v>
      </c>
      <c r="X454" s="6" t="n">
        <v>0.2</v>
      </c>
      <c r="Y454" s="6" t="inlineStr">
        <is>
          <t>declared</t>
        </is>
      </c>
      <c r="Z454" s="8" t="n">
        <v>16519</v>
      </c>
      <c r="AA454" s="9">
        <f>IF(H454="yes",Z454*X454,0)</f>
        <v/>
      </c>
      <c r="AB454" s="9">
        <f>IF(H454="yes",AA454*N(L454)/100,0)</f>
        <v/>
      </c>
      <c r="AC454" s="9">
        <f>IF(H454="yes",AA454*N(N454)/100,0)</f>
        <v/>
      </c>
      <c r="AD454" s="9">
        <f>IF(H454="yes",AA454*N(O454)/100,0)</f>
        <v/>
      </c>
      <c r="AE454" s="10">
        <f>IF(P454="yes",AA454/1000,0)</f>
        <v/>
      </c>
      <c r="AF454" s="10">
        <f>IF(R454="FG2",AE454*W454,AE454)</f>
        <v/>
      </c>
    </row>
    <row r="455">
      <c r="A455" s="6" t="inlineStr">
        <is>
          <t>HM00453</t>
        </is>
      </c>
      <c r="B455" s="7" t="inlineStr">
        <is>
          <t>4012345799224</t>
        </is>
      </c>
      <c r="C455" s="6" t="inlineStr">
        <is>
          <t>HM CHKN WINGS 650G</t>
        </is>
      </c>
      <c r="D455" s="6" t="inlineStr">
        <is>
          <t>Chicken wings, 650g</t>
        </is>
      </c>
      <c r="E455" s="6" t="inlineStr">
        <is>
          <t>Harbour Market</t>
        </is>
      </c>
      <c r="F455" s="6" t="inlineStr">
        <is>
          <t>Fresh Meat &amp; Poultry</t>
        </is>
      </c>
      <c r="G455" s="6" t="inlineStr">
        <is>
          <t>Poultry</t>
        </is>
      </c>
      <c r="H455" s="6" t="inlineStr">
        <is>
          <t>yes</t>
        </is>
      </c>
      <c r="I455" s="6" t="inlineStr">
        <is>
          <t>Animal core</t>
        </is>
      </c>
      <c r="J455" s="6" t="inlineStr">
        <is>
          <t>A</t>
        </is>
      </c>
      <c r="K455" s="6" t="inlineStr">
        <is>
          <t>All ingredients on one side</t>
        </is>
      </c>
      <c r="L455" s="6" t="n">
        <v>19</v>
      </c>
      <c r="M455" s="6" t="inlineStr">
        <is>
          <t>Open Food Facts, by EAN</t>
        </is>
      </c>
      <c r="N455" s="6" t="n">
        <v>0</v>
      </c>
      <c r="O455" s="6" t="n">
        <v>19</v>
      </c>
      <c r="P455" s="6" t="inlineStr">
        <is>
          <t>yes</t>
        </is>
      </c>
      <c r="Q455" s="6" t="inlineStr">
        <is>
          <t>whole</t>
        </is>
      </c>
      <c r="R455" s="6" t="inlineStr">
        <is>
          <t>FG1</t>
        </is>
      </c>
      <c r="S455" s="6" t="inlineStr">
        <is>
          <t>poultry</t>
        </is>
      </c>
      <c r="T455" s="6" t="inlineStr">
        <is>
          <t>animal</t>
        </is>
      </c>
      <c r="U455" s="6" t="n"/>
      <c r="V455" s="6" t="n"/>
      <c r="W455" s="6" t="n">
        <v>1</v>
      </c>
      <c r="X455" s="6" t="n">
        <v>0.65</v>
      </c>
      <c r="Y455" s="6" t="inlineStr">
        <is>
          <t>declared</t>
        </is>
      </c>
      <c r="Z455" s="8" t="n">
        <v>10750</v>
      </c>
      <c r="AA455" s="9">
        <f>IF(H455="yes",Z455*X455,0)</f>
        <v/>
      </c>
      <c r="AB455" s="9">
        <f>IF(H455="yes",AA455*N(L455)/100,0)</f>
        <v/>
      </c>
      <c r="AC455" s="9">
        <f>IF(H455="yes",AA455*N(N455)/100,0)</f>
        <v/>
      </c>
      <c r="AD455" s="9">
        <f>IF(H455="yes",AA455*N(O455)/100,0)</f>
        <v/>
      </c>
      <c r="AE455" s="10">
        <f>IF(P455="yes",AA455/1000,0)</f>
        <v/>
      </c>
      <c r="AF455" s="10">
        <f>IF(R455="FG2",AE455*W455,AE455)</f>
        <v/>
      </c>
    </row>
    <row r="456">
      <c r="A456" s="6" t="inlineStr">
        <is>
          <t>HM00454</t>
        </is>
      </c>
      <c r="B456" s="7" t="inlineStr">
        <is>
          <t>3012345845908</t>
        </is>
      </c>
      <c r="C456" s="6" t="inlineStr">
        <is>
          <t>HM MOZZARELLA 250G</t>
        </is>
      </c>
      <c r="D456" s="6" t="inlineStr">
        <is>
          <t>Mozzarella, 250g</t>
        </is>
      </c>
      <c r="E456" s="6" t="inlineStr">
        <is>
          <t>Harbour Market</t>
        </is>
      </c>
      <c r="F456" s="6" t="inlineStr">
        <is>
          <t>Cheese</t>
        </is>
      </c>
      <c r="G456" s="6" t="inlineStr">
        <is>
          <t>Soft Cheese</t>
        </is>
      </c>
      <c r="H456" s="6" t="inlineStr">
        <is>
          <t>yes</t>
        </is>
      </c>
      <c r="I456" s="6" t="inlineStr">
        <is>
          <t>Animal core</t>
        </is>
      </c>
      <c r="J456" s="6" t="inlineStr">
        <is>
          <t>A</t>
        </is>
      </c>
      <c r="K456" s="6" t="inlineStr">
        <is>
          <t>All ingredients on one side</t>
        </is>
      </c>
      <c r="L456" s="6" t="n">
        <v>18.1</v>
      </c>
      <c r="M456" s="6" t="inlineStr">
        <is>
          <t>Declared by the retailer</t>
        </is>
      </c>
      <c r="N456" s="6" t="n">
        <v>0</v>
      </c>
      <c r="O456" s="6" t="n">
        <v>18.1</v>
      </c>
      <c r="P456" s="6" t="inlineStr">
        <is>
          <t>yes</t>
        </is>
      </c>
      <c r="Q456" s="6" t="inlineStr">
        <is>
          <t>whole</t>
        </is>
      </c>
      <c r="R456" s="6" t="inlineStr">
        <is>
          <t>FG2</t>
        </is>
      </c>
      <c r="S456" s="6" t="inlineStr">
        <is>
          <t>dairy</t>
        </is>
      </c>
      <c r="T456" s="6" t="inlineStr">
        <is>
          <t>animal</t>
        </is>
      </c>
      <c r="U456" s="6" t="n"/>
      <c r="V456" s="6" t="n"/>
      <c r="W456" s="6" t="n">
        <v>10</v>
      </c>
      <c r="X456" s="6" t="n">
        <v>0.25</v>
      </c>
      <c r="Y456" s="6" t="inlineStr">
        <is>
          <t>declared</t>
        </is>
      </c>
      <c r="Z456" s="8" t="n">
        <v>23386</v>
      </c>
      <c r="AA456" s="9">
        <f>IF(H456="yes",Z456*X456,0)</f>
        <v/>
      </c>
      <c r="AB456" s="9">
        <f>IF(H456="yes",AA456*N(L456)/100,0)</f>
        <v/>
      </c>
      <c r="AC456" s="9">
        <f>IF(H456="yes",AA456*N(N456)/100,0)</f>
        <v/>
      </c>
      <c r="AD456" s="9">
        <f>IF(H456="yes",AA456*N(O456)/100,0)</f>
        <v/>
      </c>
      <c r="AE456" s="10">
        <f>IF(P456="yes",AA456/1000,0)</f>
        <v/>
      </c>
      <c r="AF456" s="10">
        <f>IF(R456="FG2",AE456*W456,AE456)</f>
        <v/>
      </c>
    </row>
    <row r="457">
      <c r="A457" s="6" t="inlineStr">
        <is>
          <t>HM00455</t>
        </is>
      </c>
      <c r="B457" s="7" t="inlineStr">
        <is>
          <t>3012345325547</t>
        </is>
      </c>
      <c r="C457" s="6" t="inlineStr">
        <is>
          <t>HM PLANT MINCE 226G</t>
        </is>
      </c>
      <c r="D457" s="6" t="inlineStr">
        <is>
          <t>Plant-based mince, 226g</t>
        </is>
      </c>
      <c r="E457" s="6" t="inlineStr">
        <is>
          <t>Harbour Market</t>
        </is>
      </c>
      <c r="F457" s="6" t="inlineStr">
        <is>
          <t>Plant-Based</t>
        </is>
      </c>
      <c r="G457" s="6" t="inlineStr">
        <is>
          <t>Meat Alternatives</t>
        </is>
      </c>
      <c r="H457" s="6" t="inlineStr">
        <is>
          <t>yes</t>
        </is>
      </c>
      <c r="I457" s="6" t="inlineStr">
        <is>
          <t>Plant-based core</t>
        </is>
      </c>
      <c r="J457" s="6" t="inlineStr">
        <is>
          <t>A</t>
        </is>
      </c>
      <c r="K457" s="6" t="inlineStr">
        <is>
          <t>All ingredients on one side</t>
        </is>
      </c>
      <c r="L457" s="6" t="n">
        <v>16.2</v>
      </c>
      <c r="M457" s="6" t="inlineStr">
        <is>
          <t>Declared by the retailer</t>
        </is>
      </c>
      <c r="N457" s="6" t="n">
        <v>16.2</v>
      </c>
      <c r="O457" s="6" t="n">
        <v>0</v>
      </c>
      <c r="P457" s="6" t="inlineStr">
        <is>
          <t>yes</t>
        </is>
      </c>
      <c r="Q457" s="6" t="inlineStr">
        <is>
          <t>whole</t>
        </is>
      </c>
      <c r="R457" s="6" t="inlineStr">
        <is>
          <t>FG1</t>
        </is>
      </c>
      <c r="S457" s="6" t="inlineStr">
        <is>
          <t>alternative products</t>
        </is>
      </c>
      <c r="T457" s="6" t="inlineStr">
        <is>
          <t>plant</t>
        </is>
      </c>
      <c r="U457" s="6" t="n"/>
      <c r="V457" s="6" t="n"/>
      <c r="W457" s="6" t="n">
        <v>1</v>
      </c>
      <c r="X457" s="6" t="n">
        <v>0.226</v>
      </c>
      <c r="Y457" s="6" t="inlineStr">
        <is>
          <t>declared</t>
        </is>
      </c>
      <c r="Z457" s="8" t="n">
        <v>16471</v>
      </c>
      <c r="AA457" s="9">
        <f>IF(H457="yes",Z457*X457,0)</f>
        <v/>
      </c>
      <c r="AB457" s="9">
        <f>IF(H457="yes",AA457*N(L457)/100,0)</f>
        <v/>
      </c>
      <c r="AC457" s="9">
        <f>IF(H457="yes",AA457*N(N457)/100,0)</f>
        <v/>
      </c>
      <c r="AD457" s="9">
        <f>IF(H457="yes",AA457*N(O457)/100,0)</f>
        <v/>
      </c>
      <c r="AE457" s="10">
        <f>IF(P457="yes",AA457/1000,0)</f>
        <v/>
      </c>
      <c r="AF457" s="10">
        <f>IF(R457="FG2",AE457*W457,AE457)</f>
        <v/>
      </c>
    </row>
    <row r="458">
      <c r="A458" s="6" t="inlineStr">
        <is>
          <t>HM00456</t>
        </is>
      </c>
      <c r="B458" s="7" t="inlineStr">
        <is>
          <t>3012345461252</t>
        </is>
      </c>
      <c r="C458" s="6" t="inlineStr">
        <is>
          <t>HM COURGETTES 1KG</t>
        </is>
      </c>
      <c r="D458" s="6" t="inlineStr">
        <is>
          <t>Courgettes, 1kg</t>
        </is>
      </c>
      <c r="E458" s="6" t="inlineStr">
        <is>
          <t>Harbour Market</t>
        </is>
      </c>
      <c r="F458" s="6" t="inlineStr">
        <is>
          <t>Fruit &amp; Vegetables</t>
        </is>
      </c>
      <c r="G458" s="6" t="inlineStr">
        <is>
          <t>Vegetables</t>
        </is>
      </c>
      <c r="H458" s="6" t="inlineStr">
        <is>
          <t>yes</t>
        </is>
      </c>
      <c r="I458" s="6" t="inlineStr">
        <is>
          <t>Plant-based non-core</t>
        </is>
      </c>
      <c r="J458" s="6" t="inlineStr">
        <is>
          <t>B</t>
        </is>
      </c>
      <c r="K458" s="6" t="inlineStr">
        <is>
          <t>Follows the class</t>
        </is>
      </c>
      <c r="L458" s="6" t="n">
        <v>1.9</v>
      </c>
      <c r="M458" s="6" t="inlineStr">
        <is>
          <t>Declared by the retailer</t>
        </is>
      </c>
      <c r="N458" s="6" t="n">
        <v>1.9</v>
      </c>
      <c r="O458" s="6" t="n">
        <v>0</v>
      </c>
      <c r="P458" s="6" t="inlineStr">
        <is>
          <t>yes</t>
        </is>
      </c>
      <c r="Q458" s="6" t="inlineStr">
        <is>
          <t>whole</t>
        </is>
      </c>
      <c r="R458" s="6" t="inlineStr">
        <is>
          <t>FG4</t>
        </is>
      </c>
      <c r="S458" s="6" t="n"/>
      <c r="T458" s="6" t="inlineStr">
        <is>
          <t>plant</t>
        </is>
      </c>
      <c r="U458" s="6" t="n"/>
      <c r="V458" s="6" t="n"/>
      <c r="W458" s="6" t="n">
        <v>1</v>
      </c>
      <c r="X458" s="6" t="n">
        <v>1</v>
      </c>
      <c r="Y458" s="6" t="inlineStr">
        <is>
          <t>declared</t>
        </is>
      </c>
      <c r="Z458" s="8" t="n">
        <v>18906</v>
      </c>
      <c r="AA458" s="9">
        <f>IF(H458="yes",Z458*X458,0)</f>
        <v/>
      </c>
      <c r="AB458" s="9">
        <f>IF(H458="yes",AA458*N(L458)/100,0)</f>
        <v/>
      </c>
      <c r="AC458" s="9">
        <f>IF(H458="yes",AA458*N(N458)/100,0)</f>
        <v/>
      </c>
      <c r="AD458" s="9">
        <f>IF(H458="yes",AA458*N(O458)/100,0)</f>
        <v/>
      </c>
      <c r="AE458" s="10">
        <f>IF(P458="yes",AA458/1000,0)</f>
        <v/>
      </c>
      <c r="AF458" s="10">
        <f>IF(R458="FG2",AE458*W458,AE458)</f>
        <v/>
      </c>
    </row>
    <row r="459">
      <c r="A459" s="6" t="inlineStr">
        <is>
          <t>HM00457</t>
        </is>
      </c>
      <c r="B459" s="7" t="inlineStr">
        <is>
          <t>5012345377346</t>
        </is>
      </c>
      <c r="C459" s="6" t="inlineStr">
        <is>
          <t>HM SKYR STRAWB 450G</t>
        </is>
      </c>
      <c r="D459" s="6" t="inlineStr">
        <is>
          <t>Strawberry skyr, 450g</t>
        </is>
      </c>
      <c r="E459" s="6" t="inlineStr">
        <is>
          <t>Harbour Market</t>
        </is>
      </c>
      <c r="F459" s="6" t="inlineStr">
        <is>
          <t>Dairy &amp; Eggs</t>
        </is>
      </c>
      <c r="G459" s="6" t="inlineStr">
        <is>
          <t>Yoghurt</t>
        </is>
      </c>
      <c r="H459" s="6" t="inlineStr">
        <is>
          <t>yes</t>
        </is>
      </c>
      <c r="I459" s="6" t="inlineStr">
        <is>
          <t>Animal core</t>
        </is>
      </c>
      <c r="J459" s="6" t="inlineStr">
        <is>
          <t>B</t>
        </is>
      </c>
      <c r="K459" s="6" t="inlineStr">
        <is>
          <t>First ingredient (step 4a)</t>
        </is>
      </c>
      <c r="L459" s="6" t="n">
        <v>10</v>
      </c>
      <c r="M459" s="6" t="inlineStr">
        <is>
          <t>Open Food Facts, by EAN</t>
        </is>
      </c>
      <c r="N459" s="6" t="n">
        <v>0</v>
      </c>
      <c r="O459" s="6" t="n">
        <v>10</v>
      </c>
      <c r="P459" s="6" t="inlineStr">
        <is>
          <t>yes</t>
        </is>
      </c>
      <c r="Q459" s="6" t="inlineStr">
        <is>
          <t>whole</t>
        </is>
      </c>
      <c r="R459" s="6" t="inlineStr">
        <is>
          <t>FG2</t>
        </is>
      </c>
      <c r="S459" s="6" t="inlineStr">
        <is>
          <t>dairy</t>
        </is>
      </c>
      <c r="T459" s="6" t="inlineStr">
        <is>
          <t>animal</t>
        </is>
      </c>
      <c r="U459" s="6" t="n"/>
      <c r="V459" s="6" t="n"/>
      <c r="W459" s="6" t="n">
        <v>1</v>
      </c>
      <c r="X459" s="6" t="n">
        <v>0.45</v>
      </c>
      <c r="Y459" s="6" t="inlineStr">
        <is>
          <t>declared</t>
        </is>
      </c>
      <c r="Z459" s="8" t="n">
        <v>34782</v>
      </c>
      <c r="AA459" s="9">
        <f>IF(H459="yes",Z459*X459,0)</f>
        <v/>
      </c>
      <c r="AB459" s="9">
        <f>IF(H459="yes",AA459*N(L459)/100,0)</f>
        <v/>
      </c>
      <c r="AC459" s="9">
        <f>IF(H459="yes",AA459*N(N459)/100,0)</f>
        <v/>
      </c>
      <c r="AD459" s="9">
        <f>IF(H459="yes",AA459*N(O459)/100,0)</f>
        <v/>
      </c>
      <c r="AE459" s="10">
        <f>IF(P459="yes",AA459/1000,0)</f>
        <v/>
      </c>
      <c r="AF459" s="10">
        <f>IF(R459="FG2",AE459*W459,AE459)</f>
        <v/>
      </c>
    </row>
    <row r="460">
      <c r="A460" s="6" t="inlineStr">
        <is>
          <t>HM00458</t>
        </is>
      </c>
      <c r="B460" s="7" t="inlineStr">
        <is>
          <t>8712345576776</t>
        </is>
      </c>
      <c r="C460" s="6" t="inlineStr">
        <is>
          <t>ALDERWICK MILD CHEDDAR 800G</t>
        </is>
      </c>
      <c r="D460" s="6" t="inlineStr">
        <is>
          <t>Mild cheddar, 800g</t>
        </is>
      </c>
      <c r="E460" s="6" t="inlineStr">
        <is>
          <t>Alderwick</t>
        </is>
      </c>
      <c r="F460" s="6" t="inlineStr">
        <is>
          <t>Cheese</t>
        </is>
      </c>
      <c r="G460" s="6" t="inlineStr">
        <is>
          <t>Hard Cheese</t>
        </is>
      </c>
      <c r="H460" s="6" t="inlineStr">
        <is>
          <t>yes</t>
        </is>
      </c>
      <c r="I460" s="6" t="inlineStr">
        <is>
          <t>Animal core</t>
        </is>
      </c>
      <c r="J460" s="6" t="inlineStr">
        <is>
          <t>A</t>
        </is>
      </c>
      <c r="K460" s="6" t="inlineStr">
        <is>
          <t>All ingredients on one side</t>
        </is>
      </c>
      <c r="L460" s="6" t="n">
        <v>23.9</v>
      </c>
      <c r="M460" s="6" t="inlineStr">
        <is>
          <t>Declared by the retailer</t>
        </is>
      </c>
      <c r="N460" s="6" t="n">
        <v>0</v>
      </c>
      <c r="O460" s="6" t="n">
        <v>23.9</v>
      </c>
      <c r="P460" s="6" t="inlineStr">
        <is>
          <t>yes</t>
        </is>
      </c>
      <c r="Q460" s="6" t="inlineStr">
        <is>
          <t>whole</t>
        </is>
      </c>
      <c r="R460" s="6" t="inlineStr">
        <is>
          <t>FG2</t>
        </is>
      </c>
      <c r="S460" s="6" t="inlineStr">
        <is>
          <t>dairy</t>
        </is>
      </c>
      <c r="T460" s="6" t="inlineStr">
        <is>
          <t>animal</t>
        </is>
      </c>
      <c r="U460" s="6" t="n"/>
      <c r="V460" s="6" t="n"/>
      <c r="W460" s="6" t="n">
        <v>10</v>
      </c>
      <c r="X460" s="6" t="n">
        <v>0.8</v>
      </c>
      <c r="Y460" s="6" t="inlineStr">
        <is>
          <t>declared</t>
        </is>
      </c>
      <c r="Z460" s="8" t="n">
        <v>181066</v>
      </c>
      <c r="AA460" s="9">
        <f>IF(H460="yes",Z460*X460,0)</f>
        <v/>
      </c>
      <c r="AB460" s="9">
        <f>IF(H460="yes",AA460*N(L460)/100,0)</f>
        <v/>
      </c>
      <c r="AC460" s="9">
        <f>IF(H460="yes",AA460*N(N460)/100,0)</f>
        <v/>
      </c>
      <c r="AD460" s="9">
        <f>IF(H460="yes",AA460*N(O460)/100,0)</f>
        <v/>
      </c>
      <c r="AE460" s="10">
        <f>IF(P460="yes",AA460/1000,0)</f>
        <v/>
      </c>
      <c r="AF460" s="10">
        <f>IF(R460="FG2",AE460*W460,AE460)</f>
        <v/>
      </c>
    </row>
    <row r="461">
      <c r="A461" s="6" t="inlineStr">
        <is>
          <t>HM00459</t>
        </is>
      </c>
      <c r="B461" s="7" t="inlineStr">
        <is>
          <t>4012345457650</t>
        </is>
      </c>
      <c r="C461" s="6" t="inlineStr">
        <is>
          <t>HM MIXED DRIED HERBS 100G</t>
        </is>
      </c>
      <c r="D461" s="6" t="inlineStr">
        <is>
          <t>Mixed dried herbs, 100g</t>
        </is>
      </c>
      <c r="E461" s="6" t="inlineStr">
        <is>
          <t>Harbour Market</t>
        </is>
      </c>
      <c r="F461" s="6" t="inlineStr">
        <is>
          <t>Grocery</t>
        </is>
      </c>
      <c r="G461" s="6" t="inlineStr">
        <is>
          <t>Herbs &amp; Spices</t>
        </is>
      </c>
      <c r="H461" s="6" t="inlineStr">
        <is>
          <t>yes</t>
        </is>
      </c>
      <c r="I461" s="6" t="inlineStr">
        <is>
          <t>Plant-based non-core</t>
        </is>
      </c>
      <c r="J461" s="6" t="inlineStr">
        <is>
          <t>B</t>
        </is>
      </c>
      <c r="K461" s="6" t="inlineStr">
        <is>
          <t>Follows the class</t>
        </is>
      </c>
      <c r="L461" s="6" t="n">
        <v>10</v>
      </c>
      <c r="M461" s="6" t="inlineStr">
        <is>
          <t>Declared by the retailer</t>
        </is>
      </c>
      <c r="N461" s="6" t="n">
        <v>10</v>
      </c>
      <c r="O461" s="6" t="n">
        <v>0</v>
      </c>
      <c r="P461" s="6" t="inlineStr">
        <is>
          <t>no</t>
        </is>
      </c>
      <c r="Q461" s="6" t="n"/>
      <c r="R461" s="6" t="n"/>
      <c r="S461" s="6" t="n"/>
      <c r="T461" s="6" t="n"/>
      <c r="U461" s="6" t="n"/>
      <c r="V461" s="6" t="inlineStr">
        <is>
          <t>herbs spices</t>
        </is>
      </c>
      <c r="W461" s="6" t="n">
        <v>1</v>
      </c>
      <c r="X461" s="6" t="n">
        <v>0.1</v>
      </c>
      <c r="Y461" s="6" t="inlineStr">
        <is>
          <t>label</t>
        </is>
      </c>
      <c r="Z461" s="8" t="n">
        <v>2445</v>
      </c>
      <c r="AA461" s="9">
        <f>IF(H461="yes",Z461*X461,0)</f>
        <v/>
      </c>
      <c r="AB461" s="9">
        <f>IF(H461="yes",AA461*N(L461)/100,0)</f>
        <v/>
      </c>
      <c r="AC461" s="9">
        <f>IF(H461="yes",AA461*N(N461)/100,0)</f>
        <v/>
      </c>
      <c r="AD461" s="9">
        <f>IF(H461="yes",AA461*N(O461)/100,0)</f>
        <v/>
      </c>
      <c r="AE461" s="10">
        <f>IF(P461="yes",AA461/1000,0)</f>
        <v/>
      </c>
      <c r="AF461" s="10">
        <f>IF(R461="FG2",AE461*W461,AE461)</f>
        <v/>
      </c>
    </row>
    <row r="462">
      <c r="A462" s="6" t="inlineStr">
        <is>
          <t>HM00460</t>
        </is>
      </c>
      <c r="B462" s="7" t="inlineStr">
        <is>
          <t>4012345734041</t>
        </is>
      </c>
      <c r="C462" s="6" t="inlineStr">
        <is>
          <t>SOLVANE COCONUT YOG ALT 4X125G</t>
        </is>
      </c>
      <c r="D462" s="6" t="inlineStr">
        <is>
          <t>Coconut yoghurt alternative, 4x125g</t>
        </is>
      </c>
      <c r="E462" s="6" t="inlineStr">
        <is>
          <t>Solvane</t>
        </is>
      </c>
      <c r="F462" s="6" t="inlineStr">
        <is>
          <t>Plant-Based</t>
        </is>
      </c>
      <c r="G462" s="6" t="inlineStr">
        <is>
          <t>Plant Yoghurts</t>
        </is>
      </c>
      <c r="H462" s="6" t="inlineStr">
        <is>
          <t>yes</t>
        </is>
      </c>
      <c r="I462" s="6" t="inlineStr">
        <is>
          <t>Plant-based core</t>
        </is>
      </c>
      <c r="J462" s="6" t="inlineStr">
        <is>
          <t>A</t>
        </is>
      </c>
      <c r="K462" s="6" t="inlineStr">
        <is>
          <t>All ingredients on one side</t>
        </is>
      </c>
      <c r="L462" s="6" t="n">
        <v>0.78</v>
      </c>
      <c r="M462" s="6" t="inlineStr">
        <is>
          <t>Open Food Facts, by EAN</t>
        </is>
      </c>
      <c r="N462" s="6" t="n">
        <v>0.78</v>
      </c>
      <c r="O462" s="6" t="n">
        <v>0</v>
      </c>
      <c r="P462" s="6" t="inlineStr">
        <is>
          <t>yes</t>
        </is>
      </c>
      <c r="Q462" s="6" t="inlineStr">
        <is>
          <t>whole</t>
        </is>
      </c>
      <c r="R462" s="6" t="inlineStr">
        <is>
          <t>FG2</t>
        </is>
      </c>
      <c r="S462" s="6" t="inlineStr">
        <is>
          <t>dairy alternatives</t>
        </is>
      </c>
      <c r="T462" s="6" t="inlineStr">
        <is>
          <t>plant</t>
        </is>
      </c>
      <c r="U462" s="6" t="n"/>
      <c r="V462" s="6" t="n"/>
      <c r="W462" s="6" t="n">
        <v>1</v>
      </c>
      <c r="X462" s="6" t="n">
        <v>0.5</v>
      </c>
      <c r="Y462" s="6" t="inlineStr">
        <is>
          <t>declared</t>
        </is>
      </c>
      <c r="Z462" s="8" t="n">
        <v>2602</v>
      </c>
      <c r="AA462" s="9">
        <f>IF(H462="yes",Z462*X462,0)</f>
        <v/>
      </c>
      <c r="AB462" s="9">
        <f>IF(H462="yes",AA462*N(L462)/100,0)</f>
        <v/>
      </c>
      <c r="AC462" s="9">
        <f>IF(H462="yes",AA462*N(N462)/100,0)</f>
        <v/>
      </c>
      <c r="AD462" s="9">
        <f>IF(H462="yes",AA462*N(O462)/100,0)</f>
        <v/>
      </c>
      <c r="AE462" s="10">
        <f>IF(P462="yes",AA462/1000,0)</f>
        <v/>
      </c>
      <c r="AF462" s="10">
        <f>IF(R462="FG2",AE462*W462,AE462)</f>
        <v/>
      </c>
    </row>
    <row r="463">
      <c r="A463" s="6" t="inlineStr">
        <is>
          <t>HM00461</t>
        </is>
      </c>
      <c r="B463" s="7" t="inlineStr">
        <is>
          <t>8712345532628</t>
        </is>
      </c>
      <c r="C463" s="6" t="inlineStr">
        <is>
          <t>HM CLOSED CUP MUSHROOMS EACH</t>
        </is>
      </c>
      <c r="D463" s="6" t="inlineStr">
        <is>
          <t>Closed cup mushrooms</t>
        </is>
      </c>
      <c r="E463" s="6" t="inlineStr">
        <is>
          <t>Harbour Market</t>
        </is>
      </c>
      <c r="F463" s="6" t="inlineStr">
        <is>
          <t>Fruit &amp; Vegetables</t>
        </is>
      </c>
      <c r="G463" s="6" t="inlineStr">
        <is>
          <t>Vegetables</t>
        </is>
      </c>
      <c r="H463" s="6" t="inlineStr">
        <is>
          <t>yes</t>
        </is>
      </c>
      <c r="I463" s="6" t="inlineStr">
        <is>
          <t>Plant-based non-core</t>
        </is>
      </c>
      <c r="J463" s="6" t="inlineStr">
        <is>
          <t>B</t>
        </is>
      </c>
      <c r="K463" s="6" t="inlineStr">
        <is>
          <t>Follows the class</t>
        </is>
      </c>
      <c r="L463" s="6" t="n">
        <v>3.1</v>
      </c>
      <c r="M463" s="6" t="inlineStr">
        <is>
          <t>Declared by the retailer</t>
        </is>
      </c>
      <c r="N463" s="6" t="n">
        <v>3.1</v>
      </c>
      <c r="O463" s="6" t="n">
        <v>0</v>
      </c>
      <c r="P463" s="6" t="inlineStr">
        <is>
          <t>yes</t>
        </is>
      </c>
      <c r="Q463" s="6" t="inlineStr">
        <is>
          <t>whole</t>
        </is>
      </c>
      <c r="R463" s="6" t="inlineStr">
        <is>
          <t>FG4</t>
        </is>
      </c>
      <c r="S463" s="6" t="n"/>
      <c r="T463" s="6" t="inlineStr">
        <is>
          <t>plant</t>
        </is>
      </c>
      <c r="U463" s="6" t="n"/>
      <c r="V463" s="6" t="n"/>
      <c r="W463" s="6" t="n">
        <v>1</v>
      </c>
      <c r="X463" s="6" t="n">
        <v>0.25</v>
      </c>
      <c r="Y463" s="6" t="inlineStr">
        <is>
          <t>typical_piece</t>
        </is>
      </c>
      <c r="Z463" s="8" t="n">
        <v>29107</v>
      </c>
      <c r="AA463" s="9">
        <f>IF(H463="yes",Z463*X463,0)</f>
        <v/>
      </c>
      <c r="AB463" s="9">
        <f>IF(H463="yes",AA463*N(L463)/100,0)</f>
        <v/>
      </c>
      <c r="AC463" s="9">
        <f>IF(H463="yes",AA463*N(N463)/100,0)</f>
        <v/>
      </c>
      <c r="AD463" s="9">
        <f>IF(H463="yes",AA463*N(O463)/100,0)</f>
        <v/>
      </c>
      <c r="AE463" s="10">
        <f>IF(P463="yes",AA463/1000,0)</f>
        <v/>
      </c>
      <c r="AF463" s="10">
        <f>IF(R463="FG2",AE463*W463,AE463)</f>
        <v/>
      </c>
    </row>
    <row r="464">
      <c r="A464" s="6" t="inlineStr">
        <is>
          <t>HM00462</t>
        </is>
      </c>
      <c r="B464" s="7" t="inlineStr">
        <is>
          <t>5012345414423</t>
        </is>
      </c>
      <c r="C464" s="6" t="inlineStr">
        <is>
          <t>HM CHKN TIKKA MASALA RICE 2X400G</t>
        </is>
      </c>
      <c r="D464" s="6" t="inlineStr">
        <is>
          <t>Chicken tikka masala with rice, 2x400g</t>
        </is>
      </c>
      <c r="E464" s="6" t="inlineStr">
        <is>
          <t>Harbour Market</t>
        </is>
      </c>
      <c r="F464" s="6" t="inlineStr">
        <is>
          <t>Ready Meals</t>
        </is>
      </c>
      <c r="G464" s="6" t="inlineStr">
        <is>
          <t>Ready Meals</t>
        </is>
      </c>
      <c r="H464" s="6" t="inlineStr">
        <is>
          <t>yes</t>
        </is>
      </c>
      <c r="I464" s="6" t="inlineStr">
        <is>
          <t>Animal &amp; plant composite</t>
        </is>
      </c>
      <c r="J464" s="6" t="inlineStr">
        <is>
          <t>A</t>
        </is>
      </c>
      <c r="K464" s="6" t="inlineStr">
        <is>
          <t>NEVO food table (ratio only)</t>
        </is>
      </c>
      <c r="L464" s="6" t="n">
        <v>6.9</v>
      </c>
      <c r="M464" s="6" t="inlineStr">
        <is>
          <t>Declared by the retailer</t>
        </is>
      </c>
      <c r="N464" s="6" t="n">
        <v>2.42</v>
      </c>
      <c r="O464" s="6" t="n">
        <v>4.48</v>
      </c>
      <c r="P464" s="6" t="inlineStr">
        <is>
          <t>yes</t>
        </is>
      </c>
      <c r="Q464" s="6" t="inlineStr">
        <is>
          <t>composite</t>
        </is>
      </c>
      <c r="R464" s="6" t="n"/>
      <c r="S464" s="6" t="n"/>
      <c r="T464" s="6" t="n"/>
      <c r="U464" s="6" t="inlineStr">
        <is>
          <t>meat-based</t>
        </is>
      </c>
      <c r="V464" s="6" t="n"/>
      <c r="W464" s="6" t="n">
        <v>1</v>
      </c>
      <c r="X464" s="6" t="n">
        <v>0.8</v>
      </c>
      <c r="Y464" s="6" t="inlineStr">
        <is>
          <t>declared</t>
        </is>
      </c>
      <c r="Z464" s="8" t="n">
        <v>26325</v>
      </c>
      <c r="AA464" s="9">
        <f>IF(H464="yes",Z464*X464,0)</f>
        <v/>
      </c>
      <c r="AB464" s="9">
        <f>IF(H464="yes",AA464*N(L464)/100,0)</f>
        <v/>
      </c>
      <c r="AC464" s="9">
        <f>IF(H464="yes",AA464*N(N464)/100,0)</f>
        <v/>
      </c>
      <c r="AD464" s="9">
        <f>IF(H464="yes",AA464*N(O464)/100,0)</f>
        <v/>
      </c>
      <c r="AE464" s="10">
        <f>IF(P464="yes",AA464/1000,0)</f>
        <v/>
      </c>
      <c r="AF464" s="10">
        <f>IF(R464="FG2",AE464*W464,AE464)</f>
        <v/>
      </c>
    </row>
    <row r="465">
      <c r="A465" s="6" t="inlineStr">
        <is>
          <t>HM00463</t>
        </is>
      </c>
      <c r="B465" s="7" t="inlineStr">
        <is>
          <t>4012345833027</t>
        </is>
      </c>
      <c r="C465" s="6" t="inlineStr">
        <is>
          <t>HM SKMD MILK 2L</t>
        </is>
      </c>
      <c r="D465" s="6" t="inlineStr">
        <is>
          <t>Skimmed milk, 2l</t>
        </is>
      </c>
      <c r="E465" s="6" t="inlineStr">
        <is>
          <t>Harbour Market</t>
        </is>
      </c>
      <c r="F465" s="6" t="inlineStr">
        <is>
          <t>Dairy &amp; Eggs</t>
        </is>
      </c>
      <c r="G465" s="6" t="inlineStr">
        <is>
          <t>Milk</t>
        </is>
      </c>
      <c r="H465" s="6" t="inlineStr">
        <is>
          <t>yes</t>
        </is>
      </c>
      <c r="I465" s="6" t="inlineStr">
        <is>
          <t>Animal core</t>
        </is>
      </c>
      <c r="J465" s="6" t="inlineStr">
        <is>
          <t>A</t>
        </is>
      </c>
      <c r="K465" s="6" t="inlineStr">
        <is>
          <t>All ingredients on one side</t>
        </is>
      </c>
      <c r="L465" s="6" t="n">
        <v>3.6</v>
      </c>
      <c r="M465" s="6" t="inlineStr">
        <is>
          <t>Declared by the retailer</t>
        </is>
      </c>
      <c r="N465" s="6" t="n">
        <v>0</v>
      </c>
      <c r="O465" s="6" t="n">
        <v>3.6</v>
      </c>
      <c r="P465" s="6" t="inlineStr">
        <is>
          <t>yes</t>
        </is>
      </c>
      <c r="Q465" s="6" t="inlineStr">
        <is>
          <t>whole</t>
        </is>
      </c>
      <c r="R465" s="6" t="inlineStr">
        <is>
          <t>FG2</t>
        </is>
      </c>
      <c r="S465" s="6" t="inlineStr">
        <is>
          <t>dairy</t>
        </is>
      </c>
      <c r="T465" s="6" t="inlineStr">
        <is>
          <t>animal</t>
        </is>
      </c>
      <c r="U465" s="6" t="n"/>
      <c r="V465" s="6" t="n"/>
      <c r="W465" s="6" t="n">
        <v>1</v>
      </c>
      <c r="X465" s="6" t="n">
        <v>2.06</v>
      </c>
      <c r="Y465" s="6" t="inlineStr">
        <is>
          <t>declared</t>
        </is>
      </c>
      <c r="Z465" s="8" t="n">
        <v>78993</v>
      </c>
      <c r="AA465" s="9">
        <f>IF(H465="yes",Z465*X465,0)</f>
        <v/>
      </c>
      <c r="AB465" s="9">
        <f>IF(H465="yes",AA465*N(L465)/100,0)</f>
        <v/>
      </c>
      <c r="AC465" s="9">
        <f>IF(H465="yes",AA465*N(N465)/100,0)</f>
        <v/>
      </c>
      <c r="AD465" s="9">
        <f>IF(H465="yes",AA465*N(O465)/100,0)</f>
        <v/>
      </c>
      <c r="AE465" s="10">
        <f>IF(P465="yes",AA465/1000,0)</f>
        <v/>
      </c>
      <c r="AF465" s="10">
        <f>IF(R465="FG2",AE465*W465,AE465)</f>
        <v/>
      </c>
    </row>
    <row r="466">
      <c r="A466" s="6" t="inlineStr">
        <is>
          <t>HM00464</t>
        </is>
      </c>
      <c r="B466" s="7" t="inlineStr">
        <is>
          <t>4012345342277</t>
        </is>
      </c>
      <c r="C466" s="6" t="inlineStr">
        <is>
          <t>HM WHITE POTATOES 1KG</t>
        </is>
      </c>
      <c r="D466" s="6" t="inlineStr">
        <is>
          <t>White potatoes, 1kg</t>
        </is>
      </c>
      <c r="E466" s="6" t="inlineStr">
        <is>
          <t>Harbour Market</t>
        </is>
      </c>
      <c r="F466" s="6" t="inlineStr">
        <is>
          <t>Fruit &amp; Vegetables</t>
        </is>
      </c>
      <c r="G466" s="6" t="inlineStr">
        <is>
          <t>Potatoes</t>
        </is>
      </c>
      <c r="H466" s="6" t="inlineStr">
        <is>
          <t>yes</t>
        </is>
      </c>
      <c r="I466" s="6" t="inlineStr">
        <is>
          <t>Plant-based non-core</t>
        </is>
      </c>
      <c r="J466" s="6" t="inlineStr">
        <is>
          <t>B</t>
        </is>
      </c>
      <c r="K466" s="6" t="inlineStr">
        <is>
          <t>Follows the class</t>
        </is>
      </c>
      <c r="L466" s="6" t="n">
        <v>2.1</v>
      </c>
      <c r="M466" s="6" t="inlineStr">
        <is>
          <t>Altera reference base</t>
        </is>
      </c>
      <c r="N466" s="6" t="n">
        <v>2.1</v>
      </c>
      <c r="O466" s="6" t="n">
        <v>0</v>
      </c>
      <c r="P466" s="6" t="inlineStr">
        <is>
          <t>yes</t>
        </is>
      </c>
      <c r="Q466" s="6" t="inlineStr">
        <is>
          <t>whole</t>
        </is>
      </c>
      <c r="R466" s="6" t="inlineStr">
        <is>
          <t>FG6</t>
        </is>
      </c>
      <c r="S466" s="6" t="n"/>
      <c r="T466" s="6" t="inlineStr">
        <is>
          <t>plant</t>
        </is>
      </c>
      <c r="U466" s="6" t="n"/>
      <c r="V466" s="6" t="n"/>
      <c r="W466" s="6" t="n">
        <v>1</v>
      </c>
      <c r="X466" s="6" t="n">
        <v>1</v>
      </c>
      <c r="Y466" s="6" t="inlineStr">
        <is>
          <t>declared</t>
        </is>
      </c>
      <c r="Z466" s="8" t="n">
        <v>18943</v>
      </c>
      <c r="AA466" s="9">
        <f>IF(H466="yes",Z466*X466,0)</f>
        <v/>
      </c>
      <c r="AB466" s="9">
        <f>IF(H466="yes",AA466*N(L466)/100,0)</f>
        <v/>
      </c>
      <c r="AC466" s="9">
        <f>IF(H466="yes",AA466*N(N466)/100,0)</f>
        <v/>
      </c>
      <c r="AD466" s="9">
        <f>IF(H466="yes",AA466*N(O466)/100,0)</f>
        <v/>
      </c>
      <c r="AE466" s="10">
        <f>IF(P466="yes",AA466/1000,0)</f>
        <v/>
      </c>
      <c r="AF466" s="10">
        <f>IF(R466="FG2",AE466*W466,AE466)</f>
        <v/>
      </c>
    </row>
    <row r="467">
      <c r="A467" s="6" t="inlineStr">
        <is>
          <t>HM00465</t>
        </is>
      </c>
      <c r="B467" s="7" t="inlineStr">
        <is>
          <t>5012345474786</t>
        </is>
      </c>
      <c r="C467" s="6" t="inlineStr">
        <is>
          <t>HM DARK CHOC 70% 100G</t>
        </is>
      </c>
      <c r="D467" s="6" t="inlineStr">
        <is>
          <t>70% dark chocolate, 100g</t>
        </is>
      </c>
      <c r="E467" s="6" t="inlineStr">
        <is>
          <t>Harbour Market</t>
        </is>
      </c>
      <c r="F467" s="6" t="inlineStr">
        <is>
          <t>Breakfast &amp; Snacks</t>
        </is>
      </c>
      <c r="G467" s="6" t="inlineStr">
        <is>
          <t>Chocolate</t>
        </is>
      </c>
      <c r="H467" s="6" t="inlineStr">
        <is>
          <t>yes</t>
        </is>
      </c>
      <c r="I467" s="6" t="inlineStr">
        <is>
          <t>Plant-based non-core</t>
        </is>
      </c>
      <c r="J467" s="6" t="inlineStr">
        <is>
          <t>B</t>
        </is>
      </c>
      <c r="K467" s="6" t="inlineStr">
        <is>
          <t>Follows the class</t>
        </is>
      </c>
      <c r="L467" s="6" t="n">
        <v>7.9</v>
      </c>
      <c r="M467" s="6" t="inlineStr">
        <is>
          <t>Declared by the retailer</t>
        </is>
      </c>
      <c r="N467" s="6" t="n">
        <v>7.9</v>
      </c>
      <c r="O467" s="6" t="n">
        <v>0</v>
      </c>
      <c r="P467" s="6" t="inlineStr">
        <is>
          <t>yes</t>
        </is>
      </c>
      <c r="Q467" s="6" t="inlineStr">
        <is>
          <t>whole</t>
        </is>
      </c>
      <c r="R467" s="6" t="inlineStr">
        <is>
          <t>FG7</t>
        </is>
      </c>
      <c r="S467" s="6" t="n"/>
      <c r="T467" s="6" t="inlineStr">
        <is>
          <t>plant</t>
        </is>
      </c>
      <c r="U467" s="6" t="n"/>
      <c r="V467" s="6" t="n"/>
      <c r="W467" s="6" t="n">
        <v>1</v>
      </c>
      <c r="X467" s="6" t="n">
        <v>0.1</v>
      </c>
      <c r="Y467" s="6" t="inlineStr">
        <is>
          <t>declared</t>
        </is>
      </c>
      <c r="Z467" s="8" t="n">
        <v>14181</v>
      </c>
      <c r="AA467" s="9">
        <f>IF(H467="yes",Z467*X467,0)</f>
        <v/>
      </c>
      <c r="AB467" s="9">
        <f>IF(H467="yes",AA467*N(L467)/100,0)</f>
        <v/>
      </c>
      <c r="AC467" s="9">
        <f>IF(H467="yes",AA467*N(N467)/100,0)</f>
        <v/>
      </c>
      <c r="AD467" s="9">
        <f>IF(H467="yes",AA467*N(O467)/100,0)</f>
        <v/>
      </c>
      <c r="AE467" s="10">
        <f>IF(P467="yes",AA467/1000,0)</f>
        <v/>
      </c>
      <c r="AF467" s="10">
        <f>IF(R467="FG2",AE467*W467,AE467)</f>
        <v/>
      </c>
    </row>
    <row r="468">
      <c r="A468" s="6" t="inlineStr">
        <is>
          <t>HM00466</t>
        </is>
      </c>
      <c r="B468" s="7" t="inlineStr">
        <is>
          <t>5012345385662</t>
        </is>
      </c>
      <c r="C468" s="6" t="inlineStr">
        <is>
          <t>HM CHOC ICE CREAM 4X110ML</t>
        </is>
      </c>
      <c r="D468" s="6" t="inlineStr">
        <is>
          <t>Chocolate ice cream, 4x110ml</t>
        </is>
      </c>
      <c r="E468" s="6" t="inlineStr">
        <is>
          <t>Harbour Market</t>
        </is>
      </c>
      <c r="F468" s="6" t="inlineStr">
        <is>
          <t>Frozen</t>
        </is>
      </c>
      <c r="G468" s="6" t="inlineStr">
        <is>
          <t>Ice Cream</t>
        </is>
      </c>
      <c r="H468" s="6" t="inlineStr">
        <is>
          <t>yes</t>
        </is>
      </c>
      <c r="I468" s="6" t="inlineStr">
        <is>
          <t>Animal core</t>
        </is>
      </c>
      <c r="J468" s="6" t="inlineStr">
        <is>
          <t>B</t>
        </is>
      </c>
      <c r="K468" s="6" t="inlineStr">
        <is>
          <t>First ingredient (step 4a)</t>
        </is>
      </c>
      <c r="L468" s="6" t="n">
        <v>3.5</v>
      </c>
      <c r="M468" s="6" t="inlineStr">
        <is>
          <t>Declared by the retailer</t>
        </is>
      </c>
      <c r="N468" s="6" t="n">
        <v>0</v>
      </c>
      <c r="O468" s="6" t="n">
        <v>3.5</v>
      </c>
      <c r="P468" s="6" t="inlineStr">
        <is>
          <t>yes</t>
        </is>
      </c>
      <c r="Q468" s="6" t="inlineStr">
        <is>
          <t>whole</t>
        </is>
      </c>
      <c r="R468" s="6" t="inlineStr">
        <is>
          <t>FG7</t>
        </is>
      </c>
      <c r="S468" s="6" t="n"/>
      <c r="T468" s="6" t="inlineStr">
        <is>
          <t>animal</t>
        </is>
      </c>
      <c r="U468" s="6" t="n"/>
      <c r="V468" s="6" t="n"/>
      <c r="W468" s="6" t="n">
        <v>1</v>
      </c>
      <c r="X468" s="6" t="n">
        <v>0.28</v>
      </c>
      <c r="Y468" s="6" t="inlineStr">
        <is>
          <t>declared</t>
        </is>
      </c>
      <c r="Z468" s="8" t="n">
        <v>11726</v>
      </c>
      <c r="AA468" s="9">
        <f>IF(H468="yes",Z468*X468,0)</f>
        <v/>
      </c>
      <c r="AB468" s="9">
        <f>IF(H468="yes",AA468*N(L468)/100,0)</f>
        <v/>
      </c>
      <c r="AC468" s="9">
        <f>IF(H468="yes",AA468*N(N468)/100,0)</f>
        <v/>
      </c>
      <c r="AD468" s="9">
        <f>IF(H468="yes",AA468*N(O468)/100,0)</f>
        <v/>
      </c>
      <c r="AE468" s="10">
        <f>IF(P468="yes",AA468/1000,0)</f>
        <v/>
      </c>
      <c r="AF468" s="10">
        <f>IF(R468="FG2",AE468*W468,AE468)</f>
        <v/>
      </c>
    </row>
    <row r="469">
      <c r="A469" s="6" t="inlineStr">
        <is>
          <t>HM00467</t>
        </is>
      </c>
      <c r="B469" s="7" t="inlineStr">
        <is>
          <t>3012345311694</t>
        </is>
      </c>
      <c r="C469" s="6" t="inlineStr">
        <is>
          <t>HM SMOOTH PEANUT BTR 340G</t>
        </is>
      </c>
      <c r="D469" s="6" t="inlineStr">
        <is>
          <t>Smooth peanut butter, 340g</t>
        </is>
      </c>
      <c r="E469" s="6" t="inlineStr">
        <is>
          <t>Harbour Market</t>
        </is>
      </c>
      <c r="F469" s="6" t="inlineStr">
        <is>
          <t>Grocery</t>
        </is>
      </c>
      <c r="G469" s="6" t="inlineStr">
        <is>
          <t>Spreads</t>
        </is>
      </c>
      <c r="H469" s="6" t="inlineStr">
        <is>
          <t>yes</t>
        </is>
      </c>
      <c r="I469" s="6" t="inlineStr">
        <is>
          <t>Plant-based core</t>
        </is>
      </c>
      <c r="J469" s="6" t="inlineStr">
        <is>
          <t>A</t>
        </is>
      </c>
      <c r="K469" s="6" t="inlineStr">
        <is>
          <t>All ingredients on one side</t>
        </is>
      </c>
      <c r="L469" s="6" t="n">
        <v>25.4</v>
      </c>
      <c r="M469" s="6" t="inlineStr">
        <is>
          <t>Name match (CIQUAL / NEVO)</t>
        </is>
      </c>
      <c r="N469" s="6" t="n">
        <v>25.4</v>
      </c>
      <c r="O469" s="6" t="n">
        <v>0</v>
      </c>
      <c r="P469" s="6" t="inlineStr">
        <is>
          <t>yes</t>
        </is>
      </c>
      <c r="Q469" s="6" t="inlineStr">
        <is>
          <t>whole</t>
        </is>
      </c>
      <c r="R469" s="6" t="inlineStr">
        <is>
          <t>FG1</t>
        </is>
      </c>
      <c r="S469" s="6" t="inlineStr">
        <is>
          <t>nuts</t>
        </is>
      </c>
      <c r="T469" s="6" t="inlineStr">
        <is>
          <t>plant</t>
        </is>
      </c>
      <c r="U469" s="6" t="n"/>
      <c r="V469" s="6" t="n"/>
      <c r="W469" s="6" t="n">
        <v>1</v>
      </c>
      <c r="X469" s="6" t="n">
        <v>0.34</v>
      </c>
      <c r="Y469" s="6" t="inlineStr">
        <is>
          <t>declared</t>
        </is>
      </c>
      <c r="Z469" s="8" t="n">
        <v>5384</v>
      </c>
      <c r="AA469" s="9">
        <f>IF(H469="yes",Z469*X469,0)</f>
        <v/>
      </c>
      <c r="AB469" s="9">
        <f>IF(H469="yes",AA469*N(L469)/100,0)</f>
        <v/>
      </c>
      <c r="AC469" s="9">
        <f>IF(H469="yes",AA469*N(N469)/100,0)</f>
        <v/>
      </c>
      <c r="AD469" s="9">
        <f>IF(H469="yes",AA469*N(O469)/100,0)</f>
        <v/>
      </c>
      <c r="AE469" s="10">
        <f>IF(P469="yes",AA469/1000,0)</f>
        <v/>
      </c>
      <c r="AF469" s="10">
        <f>IF(R469="FG2",AE469*W469,AE469)</f>
        <v/>
      </c>
    </row>
    <row r="470">
      <c r="A470" s="6" t="inlineStr">
        <is>
          <t>HM00468</t>
        </is>
      </c>
      <c r="B470" s="7" t="inlineStr">
        <is>
          <t>8712345257156</t>
        </is>
      </c>
      <c r="C470" s="6" t="inlineStr">
        <is>
          <t>HM TOM BASIL PASTA SCE 690G</t>
        </is>
      </c>
      <c r="D470" s="6" t="inlineStr">
        <is>
          <t>Tomato &amp; basil pasta sauce, 690g</t>
        </is>
      </c>
      <c r="E470" s="6" t="inlineStr">
        <is>
          <t>Harbour Market</t>
        </is>
      </c>
      <c r="F470" s="6" t="inlineStr">
        <is>
          <t>Grocery</t>
        </is>
      </c>
      <c r="G470" s="6" t="inlineStr">
        <is>
          <t>Canned Vegetables</t>
        </is>
      </c>
      <c r="H470" s="6" t="inlineStr">
        <is>
          <t>yes</t>
        </is>
      </c>
      <c r="I470" s="6" t="inlineStr">
        <is>
          <t>Plant-based non-core</t>
        </is>
      </c>
      <c r="J470" s="6" t="inlineStr">
        <is>
          <t>A</t>
        </is>
      </c>
      <c r="K470" s="6" t="inlineStr">
        <is>
          <t>All ingredients on one side</t>
        </is>
      </c>
      <c r="L470" s="6" t="n">
        <v>1.6</v>
      </c>
      <c r="M470" s="6" t="inlineStr">
        <is>
          <t>Declared by the retailer</t>
        </is>
      </c>
      <c r="N470" s="6" t="n">
        <v>1.6</v>
      </c>
      <c r="O470" s="6" t="n">
        <v>0</v>
      </c>
      <c r="P470" s="6" t="inlineStr">
        <is>
          <t>yes</t>
        </is>
      </c>
      <c r="Q470" s="6" t="inlineStr">
        <is>
          <t>whole</t>
        </is>
      </c>
      <c r="R470" s="6" t="inlineStr">
        <is>
          <t>FG4</t>
        </is>
      </c>
      <c r="S470" s="6" t="n"/>
      <c r="T470" s="6" t="inlineStr">
        <is>
          <t>plant</t>
        </is>
      </c>
      <c r="U470" s="6" t="n"/>
      <c r="V470" s="6" t="n"/>
      <c r="W470" s="6" t="n">
        <v>1</v>
      </c>
      <c r="X470" s="6" t="n">
        <v>0.6899999999999999</v>
      </c>
      <c r="Y470" s="6" t="inlineStr">
        <is>
          <t>declared</t>
        </is>
      </c>
      <c r="Z470" s="8" t="n">
        <v>30014</v>
      </c>
      <c r="AA470" s="9">
        <f>IF(H470="yes",Z470*X470,0)</f>
        <v/>
      </c>
      <c r="AB470" s="9">
        <f>IF(H470="yes",AA470*N(L470)/100,0)</f>
        <v/>
      </c>
      <c r="AC470" s="9">
        <f>IF(H470="yes",AA470*N(N470)/100,0)</f>
        <v/>
      </c>
      <c r="AD470" s="9">
        <f>IF(H470="yes",AA470*N(O470)/100,0)</f>
        <v/>
      </c>
      <c r="AE470" s="10">
        <f>IF(P470="yes",AA470/1000,0)</f>
        <v/>
      </c>
      <c r="AF470" s="10">
        <f>IF(R470="FG2",AE470*W470,AE470)</f>
        <v/>
      </c>
    </row>
    <row r="471">
      <c r="A471" s="6" t="inlineStr">
        <is>
          <t>HM00469</t>
        </is>
      </c>
      <c r="B471" s="7" t="inlineStr">
        <is>
          <t>3012345993692</t>
        </is>
      </c>
      <c r="C471" s="6" t="inlineStr">
        <is>
          <t>HM BROWN ONIONS 1KG</t>
        </is>
      </c>
      <c r="D471" s="6" t="inlineStr">
        <is>
          <t>Brown onions, 1kg</t>
        </is>
      </c>
      <c r="E471" s="6" t="inlineStr">
        <is>
          <t>Harbour Market</t>
        </is>
      </c>
      <c r="F471" s="6" t="inlineStr">
        <is>
          <t>Fruit &amp; Vegetables</t>
        </is>
      </c>
      <c r="G471" s="6" t="inlineStr">
        <is>
          <t>Vegetables</t>
        </is>
      </c>
      <c r="H471" s="6" t="inlineStr">
        <is>
          <t>yes</t>
        </is>
      </c>
      <c r="I471" s="6" t="inlineStr">
        <is>
          <t>Plant-based non-core</t>
        </is>
      </c>
      <c r="J471" s="6" t="inlineStr">
        <is>
          <t>B</t>
        </is>
      </c>
      <c r="K471" s="6" t="inlineStr">
        <is>
          <t>Follows the class</t>
        </is>
      </c>
      <c r="L471" s="6" t="n">
        <v>1</v>
      </c>
      <c r="M471" s="6" t="inlineStr">
        <is>
          <t>Declared by the retailer</t>
        </is>
      </c>
      <c r="N471" s="6" t="n">
        <v>1</v>
      </c>
      <c r="O471" s="6" t="n">
        <v>0</v>
      </c>
      <c r="P471" s="6" t="inlineStr">
        <is>
          <t>yes</t>
        </is>
      </c>
      <c r="Q471" s="6" t="inlineStr">
        <is>
          <t>whole</t>
        </is>
      </c>
      <c r="R471" s="6" t="inlineStr">
        <is>
          <t>FG4</t>
        </is>
      </c>
      <c r="S471" s="6" t="n"/>
      <c r="T471" s="6" t="inlineStr">
        <is>
          <t>plant</t>
        </is>
      </c>
      <c r="U471" s="6" t="n"/>
      <c r="V471" s="6" t="n"/>
      <c r="W471" s="6" t="n">
        <v>1</v>
      </c>
      <c r="X471" s="6" t="n">
        <v>1</v>
      </c>
      <c r="Y471" s="6" t="inlineStr">
        <is>
          <t>label</t>
        </is>
      </c>
      <c r="Z471" s="8" t="n">
        <v>64795</v>
      </c>
      <c r="AA471" s="9">
        <f>IF(H471="yes",Z471*X471,0)</f>
        <v/>
      </c>
      <c r="AB471" s="9">
        <f>IF(H471="yes",AA471*N(L471)/100,0)</f>
        <v/>
      </c>
      <c r="AC471" s="9">
        <f>IF(H471="yes",AA471*N(N471)/100,0)</f>
        <v/>
      </c>
      <c r="AD471" s="9">
        <f>IF(H471="yes",AA471*N(O471)/100,0)</f>
        <v/>
      </c>
      <c r="AE471" s="10">
        <f>IF(P471="yes",AA471/1000,0)</f>
        <v/>
      </c>
      <c r="AF471" s="10">
        <f>IF(R471="FG2",AE471*W471,AE471)</f>
        <v/>
      </c>
    </row>
    <row r="472">
      <c r="A472" s="6" t="inlineStr">
        <is>
          <t>HM00470</t>
        </is>
      </c>
      <c r="B472" s="7" t="inlineStr">
        <is>
          <t>3012345773874</t>
        </is>
      </c>
      <c r="C472" s="6" t="inlineStr">
        <is>
          <t>OLIVE SPREAD 500G SOLVANE</t>
        </is>
      </c>
      <c r="D472" s="6" t="inlineStr">
        <is>
          <t>Olive oil spread, 500g</t>
        </is>
      </c>
      <c r="E472" s="6" t="inlineStr">
        <is>
          <t>Solvane</t>
        </is>
      </c>
      <c r="F472" s="6" t="inlineStr">
        <is>
          <t>Dairy &amp; Eggs</t>
        </is>
      </c>
      <c r="G472" s="6" t="inlineStr">
        <is>
          <t>Butter &amp; Spreads</t>
        </is>
      </c>
      <c r="H472" s="6" t="inlineStr">
        <is>
          <t>yes</t>
        </is>
      </c>
      <c r="I472" s="6" t="inlineStr">
        <is>
          <t>Plant-based non-core</t>
        </is>
      </c>
      <c r="J472" s="6" t="inlineStr">
        <is>
          <t>B</t>
        </is>
      </c>
      <c r="K472" s="6" t="inlineStr">
        <is>
          <t>Follows the class</t>
        </is>
      </c>
      <c r="L472" s="6" t="n">
        <v>0.1</v>
      </c>
      <c r="M472" s="6" t="inlineStr">
        <is>
          <t>Declared by the retailer</t>
        </is>
      </c>
      <c r="N472" s="6" t="n">
        <v>0.1</v>
      </c>
      <c r="O472" s="6" t="n">
        <v>0</v>
      </c>
      <c r="P472" s="6" t="inlineStr">
        <is>
          <t>yes</t>
        </is>
      </c>
      <c r="Q472" s="6" t="inlineStr">
        <is>
          <t>whole</t>
        </is>
      </c>
      <c r="R472" s="6" t="inlineStr">
        <is>
          <t>FG3</t>
        </is>
      </c>
      <c r="S472" s="6" t="inlineStr">
        <is>
          <t>plant fat</t>
        </is>
      </c>
      <c r="T472" s="6" t="inlineStr">
        <is>
          <t>plant</t>
        </is>
      </c>
      <c r="U472" s="6" t="n"/>
      <c r="V472" s="6" t="n"/>
      <c r="W472" s="6" t="n">
        <v>1</v>
      </c>
      <c r="X472" s="6" t="n">
        <v>0.5</v>
      </c>
      <c r="Y472" s="6" t="inlineStr">
        <is>
          <t>declared</t>
        </is>
      </c>
      <c r="Z472" s="8" t="n">
        <v>13654</v>
      </c>
      <c r="AA472" s="9">
        <f>IF(H472="yes",Z472*X472,0)</f>
        <v/>
      </c>
      <c r="AB472" s="9">
        <f>IF(H472="yes",AA472*N(L472)/100,0)</f>
        <v/>
      </c>
      <c r="AC472" s="9">
        <f>IF(H472="yes",AA472*N(N472)/100,0)</f>
        <v/>
      </c>
      <c r="AD472" s="9">
        <f>IF(H472="yes",AA472*N(O472)/100,0)</f>
        <v/>
      </c>
      <c r="AE472" s="10">
        <f>IF(P472="yes",AA472/1000,0)</f>
        <v/>
      </c>
      <c r="AF472" s="10">
        <f>IF(R472="FG2",AE472*W472,AE472)</f>
        <v/>
      </c>
    </row>
    <row r="473">
      <c r="A473" s="6" t="inlineStr">
        <is>
          <t>HM00471</t>
        </is>
      </c>
      <c r="B473" s="7" t="inlineStr">
        <is>
          <t>4012345039900</t>
        </is>
      </c>
      <c r="C473" s="6" t="inlineStr">
        <is>
          <t>HM CHKN MINI FLT 650G</t>
        </is>
      </c>
      <c r="D473" s="6" t="inlineStr">
        <is>
          <t>Chicken mini fillets, 650g</t>
        </is>
      </c>
      <c r="E473" s="6" t="inlineStr">
        <is>
          <t>Harbour Market</t>
        </is>
      </c>
      <c r="F473" s="6" t="inlineStr">
        <is>
          <t>Fresh Meat &amp; Poultry</t>
        </is>
      </c>
      <c r="G473" s="6" t="inlineStr">
        <is>
          <t>Poultry</t>
        </is>
      </c>
      <c r="H473" s="6" t="inlineStr">
        <is>
          <t>yes</t>
        </is>
      </c>
      <c r="I473" s="6" t="inlineStr">
        <is>
          <t>Animal core</t>
        </is>
      </c>
      <c r="J473" s="6" t="inlineStr">
        <is>
          <t>A</t>
        </is>
      </c>
      <c r="K473" s="6" t="inlineStr">
        <is>
          <t>All ingredients on one side</t>
        </is>
      </c>
      <c r="L473" s="6" t="n">
        <v>24.3</v>
      </c>
      <c r="M473" s="6" t="inlineStr">
        <is>
          <t>Altera reference base</t>
        </is>
      </c>
      <c r="N473" s="6" t="n">
        <v>0</v>
      </c>
      <c r="O473" s="6" t="n">
        <v>24.3</v>
      </c>
      <c r="P473" s="6" t="inlineStr">
        <is>
          <t>yes</t>
        </is>
      </c>
      <c r="Q473" s="6" t="inlineStr">
        <is>
          <t>whole</t>
        </is>
      </c>
      <c r="R473" s="6" t="inlineStr">
        <is>
          <t>FG1</t>
        </is>
      </c>
      <c r="S473" s="6" t="inlineStr">
        <is>
          <t>poultry</t>
        </is>
      </c>
      <c r="T473" s="6" t="inlineStr">
        <is>
          <t>animal</t>
        </is>
      </c>
      <c r="U473" s="6" t="n"/>
      <c r="V473" s="6" t="n"/>
      <c r="W473" s="6" t="n">
        <v>1</v>
      </c>
      <c r="X473" s="6" t="n">
        <v>0.65</v>
      </c>
      <c r="Y473" s="6" t="inlineStr">
        <is>
          <t>declared</t>
        </is>
      </c>
      <c r="Z473" s="8" t="n">
        <v>167794</v>
      </c>
      <c r="AA473" s="9">
        <f>IF(H473="yes",Z473*X473,0)</f>
        <v/>
      </c>
      <c r="AB473" s="9">
        <f>IF(H473="yes",AA473*N(L473)/100,0)</f>
        <v/>
      </c>
      <c r="AC473" s="9">
        <f>IF(H473="yes",AA473*N(N473)/100,0)</f>
        <v/>
      </c>
      <c r="AD473" s="9">
        <f>IF(H473="yes",AA473*N(O473)/100,0)</f>
        <v/>
      </c>
      <c r="AE473" s="10">
        <f>IF(P473="yes",AA473/1000,0)</f>
        <v/>
      </c>
      <c r="AF473" s="10">
        <f>IF(R473="FG2",AE473*W473,AE473)</f>
        <v/>
      </c>
    </row>
    <row r="474">
      <c r="A474" s="6" t="inlineStr">
        <is>
          <t>HM00472</t>
        </is>
      </c>
      <c r="B474" s="7" t="inlineStr">
        <is>
          <t>4012345652994</t>
        </is>
      </c>
      <c r="C474" s="6" t="inlineStr">
        <is>
          <t>BF LASAGNE 400G QUILLAN</t>
        </is>
      </c>
      <c r="D474" s="6" t="inlineStr">
        <is>
          <t>Beef lasagne, 400g</t>
        </is>
      </c>
      <c r="E474" s="6" t="inlineStr">
        <is>
          <t>Quillan</t>
        </is>
      </c>
      <c r="F474" s="6" t="inlineStr">
        <is>
          <t>Ready Meals</t>
        </is>
      </c>
      <c r="G474" s="6" t="inlineStr">
        <is>
          <t>Ready Meals</t>
        </is>
      </c>
      <c r="H474" s="6" t="inlineStr">
        <is>
          <t>yes</t>
        </is>
      </c>
      <c r="I474" s="6" t="inlineStr">
        <is>
          <t>Animal &amp; plant composite</t>
        </is>
      </c>
      <c r="J474" s="6" t="inlineStr">
        <is>
          <t>A</t>
        </is>
      </c>
      <c r="K474" s="6" t="inlineStr">
        <is>
          <t>NEVO food table (ratio only)</t>
        </is>
      </c>
      <c r="L474" s="6" t="n">
        <v>7.4</v>
      </c>
      <c r="M474" s="6" t="inlineStr">
        <is>
          <t>Open Food Facts, by EAN</t>
        </is>
      </c>
      <c r="N474" s="6" t="n">
        <v>2.59</v>
      </c>
      <c r="O474" s="6" t="n">
        <v>4.81</v>
      </c>
      <c r="P474" s="6" t="inlineStr">
        <is>
          <t>yes</t>
        </is>
      </c>
      <c r="Q474" s="6" t="inlineStr">
        <is>
          <t>composite</t>
        </is>
      </c>
      <c r="R474" s="6" t="n"/>
      <c r="S474" s="6" t="n"/>
      <c r="T474" s="6" t="n"/>
      <c r="U474" s="6" t="inlineStr">
        <is>
          <t>meat-based</t>
        </is>
      </c>
      <c r="V474" s="6" t="n"/>
      <c r="W474" s="6" t="n">
        <v>1</v>
      </c>
      <c r="X474" s="6" t="n">
        <v>0.4</v>
      </c>
      <c r="Y474" s="6" t="inlineStr">
        <is>
          <t>declared</t>
        </is>
      </c>
      <c r="Z474" s="8" t="n">
        <v>48501</v>
      </c>
      <c r="AA474" s="9">
        <f>IF(H474="yes",Z474*X474,0)</f>
        <v/>
      </c>
      <c r="AB474" s="9">
        <f>IF(H474="yes",AA474*N(L474)/100,0)</f>
        <v/>
      </c>
      <c r="AC474" s="9">
        <f>IF(H474="yes",AA474*N(N474)/100,0)</f>
        <v/>
      </c>
      <c r="AD474" s="9">
        <f>IF(H474="yes",AA474*N(O474)/100,0)</f>
        <v/>
      </c>
      <c r="AE474" s="10">
        <f>IF(P474="yes",AA474/1000,0)</f>
        <v/>
      </c>
      <c r="AF474" s="10">
        <f>IF(R474="FG2",AE474*W474,AE474)</f>
        <v/>
      </c>
    </row>
    <row r="475">
      <c r="A475" s="6" t="inlineStr">
        <is>
          <t>HM00473</t>
        </is>
      </c>
      <c r="B475" s="7" t="inlineStr">
        <is>
          <t>8712345520335</t>
        </is>
      </c>
      <c r="C475" s="6" t="inlineStr">
        <is>
          <t>ALDERWICK QUARK 250G</t>
        </is>
      </c>
      <c r="D475" s="6" t="inlineStr">
        <is>
          <t>Quark, 250g</t>
        </is>
      </c>
      <c r="E475" s="6" t="inlineStr">
        <is>
          <t>Alderwick</t>
        </is>
      </c>
      <c r="F475" s="6" t="inlineStr">
        <is>
          <t>Cheese</t>
        </is>
      </c>
      <c r="G475" s="6" t="inlineStr">
        <is>
          <t>Fresh Cheese</t>
        </is>
      </c>
      <c r="H475" s="6" t="inlineStr">
        <is>
          <t>yes</t>
        </is>
      </c>
      <c r="I475" s="6" t="inlineStr">
        <is>
          <t>Animal core</t>
        </is>
      </c>
      <c r="J475" s="6" t="inlineStr">
        <is>
          <t>A</t>
        </is>
      </c>
      <c r="K475" s="6" t="inlineStr">
        <is>
          <t>All ingredients on one side</t>
        </is>
      </c>
      <c r="L475" s="6" t="n">
        <v>12.3</v>
      </c>
      <c r="M475" s="6" t="inlineStr">
        <is>
          <t>Open Food Facts, by EAN</t>
        </is>
      </c>
      <c r="N475" s="6" t="n">
        <v>0</v>
      </c>
      <c r="O475" s="6" t="n">
        <v>12.3</v>
      </c>
      <c r="P475" s="6" t="inlineStr">
        <is>
          <t>yes</t>
        </is>
      </c>
      <c r="Q475" s="6" t="inlineStr">
        <is>
          <t>whole</t>
        </is>
      </c>
      <c r="R475" s="6" t="inlineStr">
        <is>
          <t>FG2</t>
        </is>
      </c>
      <c r="S475" s="6" t="inlineStr">
        <is>
          <t>dairy</t>
        </is>
      </c>
      <c r="T475" s="6" t="inlineStr">
        <is>
          <t>animal</t>
        </is>
      </c>
      <c r="U475" s="6" t="n"/>
      <c r="V475" s="6" t="n"/>
      <c r="W475" s="6" t="n">
        <v>1</v>
      </c>
      <c r="X475" s="6" t="n">
        <v>0.25</v>
      </c>
      <c r="Y475" s="6" t="inlineStr">
        <is>
          <t>declared</t>
        </is>
      </c>
      <c r="Z475" s="8" t="n">
        <v>132022</v>
      </c>
      <c r="AA475" s="9">
        <f>IF(H475="yes",Z475*X475,0)</f>
        <v/>
      </c>
      <c r="AB475" s="9">
        <f>IF(H475="yes",AA475*N(L475)/100,0)</f>
        <v/>
      </c>
      <c r="AC475" s="9">
        <f>IF(H475="yes",AA475*N(N475)/100,0)</f>
        <v/>
      </c>
      <c r="AD475" s="9">
        <f>IF(H475="yes",AA475*N(O475)/100,0)</f>
        <v/>
      </c>
      <c r="AE475" s="10">
        <f>IF(P475="yes",AA475/1000,0)</f>
        <v/>
      </c>
      <c r="AF475" s="10">
        <f>IF(R475="FG2",AE475*W475,AE475)</f>
        <v/>
      </c>
    </row>
    <row r="476">
      <c r="A476" s="6" t="inlineStr">
        <is>
          <t>HM00474</t>
        </is>
      </c>
      <c r="B476" s="7" t="inlineStr">
        <is>
          <t>4012345667530</t>
        </is>
      </c>
      <c r="C476" s="6" t="inlineStr">
        <is>
          <t>HM COD LOIN 240G</t>
        </is>
      </c>
      <c r="D476" s="6" t="inlineStr">
        <is>
          <t>Cod loins, 240g</t>
        </is>
      </c>
      <c r="E476" s="6" t="inlineStr">
        <is>
          <t>Harbour Market</t>
        </is>
      </c>
      <c r="F476" s="6" t="inlineStr">
        <is>
          <t>Fish &amp; Seafood</t>
        </is>
      </c>
      <c r="G476" s="6" t="inlineStr">
        <is>
          <t>Fresh Fish</t>
        </is>
      </c>
      <c r="H476" s="6" t="inlineStr">
        <is>
          <t>yes</t>
        </is>
      </c>
      <c r="I476" s="6" t="inlineStr">
        <is>
          <t>Animal core</t>
        </is>
      </c>
      <c r="J476" s="6" t="inlineStr">
        <is>
          <t>B</t>
        </is>
      </c>
      <c r="K476" s="6" t="inlineStr">
        <is>
          <t>Follows the class</t>
        </is>
      </c>
      <c r="L476" s="6" t="n">
        <v>17.3</v>
      </c>
      <c r="M476" s="6" t="inlineStr">
        <is>
          <t>Declared by the retailer</t>
        </is>
      </c>
      <c r="N476" s="6" t="n">
        <v>0</v>
      </c>
      <c r="O476" s="6" t="n">
        <v>17.3</v>
      </c>
      <c r="P476" s="6" t="inlineStr">
        <is>
          <t>yes</t>
        </is>
      </c>
      <c r="Q476" s="6" t="inlineStr">
        <is>
          <t>whole</t>
        </is>
      </c>
      <c r="R476" s="6" t="inlineStr">
        <is>
          <t>FG1</t>
        </is>
      </c>
      <c r="S476" s="6" t="inlineStr">
        <is>
          <t>fish shellfish</t>
        </is>
      </c>
      <c r="T476" s="6" t="inlineStr">
        <is>
          <t>animal</t>
        </is>
      </c>
      <c r="U476" s="6" t="n"/>
      <c r="V476" s="6" t="n"/>
      <c r="W476" s="6" t="n">
        <v>1</v>
      </c>
      <c r="X476" s="6" t="n">
        <v>0.24</v>
      </c>
      <c r="Y476" s="6" t="inlineStr">
        <is>
          <t>declared</t>
        </is>
      </c>
      <c r="Z476" s="8" t="n">
        <v>22058</v>
      </c>
      <c r="AA476" s="9">
        <f>IF(H476="yes",Z476*X476,0)</f>
        <v/>
      </c>
      <c r="AB476" s="9">
        <f>IF(H476="yes",AA476*N(L476)/100,0)</f>
        <v/>
      </c>
      <c r="AC476" s="9">
        <f>IF(H476="yes",AA476*N(N476)/100,0)</f>
        <v/>
      </c>
      <c r="AD476" s="9">
        <f>IF(H476="yes",AA476*N(O476)/100,0)</f>
        <v/>
      </c>
      <c r="AE476" s="10">
        <f>IF(P476="yes",AA476/1000,0)</f>
        <v/>
      </c>
      <c r="AF476" s="10">
        <f>IF(R476="FG2",AE476*W476,AE476)</f>
        <v/>
      </c>
    </row>
    <row r="477">
      <c r="A477" s="6" t="inlineStr">
        <is>
          <t>HM00475</t>
        </is>
      </c>
      <c r="B477" s="7" t="inlineStr">
        <is>
          <t>5012345851341</t>
        </is>
      </c>
      <c r="C477" s="6" t="inlineStr">
        <is>
          <t>HM BOLOGNESE SCE BF 400G</t>
        </is>
      </c>
      <c r="D477" s="6" t="inlineStr">
        <is>
          <t>Beef bolognese sauce, 400g</t>
        </is>
      </c>
      <c r="E477" s="6" t="inlineStr">
        <is>
          <t>Harbour Market</t>
        </is>
      </c>
      <c r="F477" s="6" t="inlineStr">
        <is>
          <t>Grocery</t>
        </is>
      </c>
      <c r="G477" s="6" t="inlineStr">
        <is>
          <t>Cooking Sauces</t>
        </is>
      </c>
      <c r="H477" s="6" t="inlineStr">
        <is>
          <t>yes</t>
        </is>
      </c>
      <c r="I477" s="6" t="inlineStr">
        <is>
          <t>Animal &amp; plant composite</t>
        </is>
      </c>
      <c r="J477" s="6" t="inlineStr">
        <is>
          <t>A</t>
        </is>
      </c>
      <c r="K477" s="6" t="inlineStr">
        <is>
          <t>NEVO food table (ratio only)</t>
        </is>
      </c>
      <c r="L477" s="6" t="n">
        <v>5.8</v>
      </c>
      <c r="M477" s="6" t="inlineStr">
        <is>
          <t>Name match (CIQUAL / NEVO)</t>
        </is>
      </c>
      <c r="N477" s="6" t="n">
        <v>1.04</v>
      </c>
      <c r="O477" s="6" t="n">
        <v>4.76</v>
      </c>
      <c r="P477" s="6" t="inlineStr">
        <is>
          <t>yes</t>
        </is>
      </c>
      <c r="Q477" s="6" t="inlineStr">
        <is>
          <t>composite</t>
        </is>
      </c>
      <c r="R477" s="6" t="n"/>
      <c r="S477" s="6" t="n"/>
      <c r="T477" s="6" t="n"/>
      <c r="U477" s="6" t="inlineStr">
        <is>
          <t>meat-based</t>
        </is>
      </c>
      <c r="V477" s="6" t="n"/>
      <c r="W477" s="6" t="n">
        <v>1</v>
      </c>
      <c r="X477" s="6" t="n">
        <v>0.4</v>
      </c>
      <c r="Y477" s="6" t="inlineStr">
        <is>
          <t>declared</t>
        </is>
      </c>
      <c r="Z477" s="8" t="n">
        <v>10403</v>
      </c>
      <c r="AA477" s="9">
        <f>IF(H477="yes",Z477*X477,0)</f>
        <v/>
      </c>
      <c r="AB477" s="9">
        <f>IF(H477="yes",AA477*N(L477)/100,0)</f>
        <v/>
      </c>
      <c r="AC477" s="9">
        <f>IF(H477="yes",AA477*N(N477)/100,0)</f>
        <v/>
      </c>
      <c r="AD477" s="9">
        <f>IF(H477="yes",AA477*N(O477)/100,0)</f>
        <v/>
      </c>
      <c r="AE477" s="10">
        <f>IF(P477="yes",AA477/1000,0)</f>
        <v/>
      </c>
      <c r="AF477" s="10">
        <f>IF(R477="FG2",AE477*W477,AE477)</f>
        <v/>
      </c>
    </row>
    <row r="478">
      <c r="A478" s="6" t="inlineStr">
        <is>
          <t>HM00476</t>
        </is>
      </c>
      <c r="B478" s="7" t="inlineStr">
        <is>
          <t>5012345470511</t>
        </is>
      </c>
      <c r="C478" s="6" t="inlineStr">
        <is>
          <t>HM PORK SHLDR JOINT 400G</t>
        </is>
      </c>
      <c r="D478" s="6" t="inlineStr">
        <is>
          <t>Pork shoulder joint, 400g</t>
        </is>
      </c>
      <c r="E478" s="6" t="inlineStr">
        <is>
          <t>Harbour Market</t>
        </is>
      </c>
      <c r="F478" s="6" t="inlineStr">
        <is>
          <t>Fresh Meat &amp; Poultry</t>
        </is>
      </c>
      <c r="G478" s="6" t="inlineStr">
        <is>
          <t>Pork</t>
        </is>
      </c>
      <c r="H478" s="6" t="inlineStr">
        <is>
          <t>yes</t>
        </is>
      </c>
      <c r="I478" s="6" t="inlineStr">
        <is>
          <t>Animal core</t>
        </is>
      </c>
      <c r="J478" s="6" t="inlineStr">
        <is>
          <t>B</t>
        </is>
      </c>
      <c r="K478" s="6" t="inlineStr">
        <is>
          <t>Follows the class</t>
        </is>
      </c>
      <c r="L478" s="6" t="n">
        <v>19.5</v>
      </c>
      <c r="M478" s="6" t="inlineStr">
        <is>
          <t>Open Food Facts, by EAN</t>
        </is>
      </c>
      <c r="N478" s="6" t="n">
        <v>0</v>
      </c>
      <c r="O478" s="6" t="n">
        <v>19.5</v>
      </c>
      <c r="P478" s="6" t="inlineStr">
        <is>
          <t>yes</t>
        </is>
      </c>
      <c r="Q478" s="6" t="inlineStr">
        <is>
          <t>whole</t>
        </is>
      </c>
      <c r="R478" s="6" t="inlineStr">
        <is>
          <t>FG1</t>
        </is>
      </c>
      <c r="S478" s="6" t="inlineStr">
        <is>
          <t>red meat</t>
        </is>
      </c>
      <c r="T478" s="6" t="inlineStr">
        <is>
          <t>animal</t>
        </is>
      </c>
      <c r="U478" s="6" t="n"/>
      <c r="V478" s="6" t="n"/>
      <c r="W478" s="6" t="n">
        <v>1</v>
      </c>
      <c r="X478" s="6" t="n">
        <v>0.4</v>
      </c>
      <c r="Y478" s="6" t="inlineStr">
        <is>
          <t>declared</t>
        </is>
      </c>
      <c r="Z478" s="8" t="n">
        <v>36056</v>
      </c>
      <c r="AA478" s="9">
        <f>IF(H478="yes",Z478*X478,0)</f>
        <v/>
      </c>
      <c r="AB478" s="9">
        <f>IF(H478="yes",AA478*N(L478)/100,0)</f>
        <v/>
      </c>
      <c r="AC478" s="9">
        <f>IF(H478="yes",AA478*N(N478)/100,0)</f>
        <v/>
      </c>
      <c r="AD478" s="9">
        <f>IF(H478="yes",AA478*N(O478)/100,0)</f>
        <v/>
      </c>
      <c r="AE478" s="10">
        <f>IF(P478="yes",AA478/1000,0)</f>
        <v/>
      </c>
      <c r="AF478" s="10">
        <f>IF(R478="FG2",AE478*W478,AE478)</f>
        <v/>
      </c>
    </row>
    <row r="479">
      <c r="A479" s="6" t="inlineStr">
        <is>
          <t>HM00477</t>
        </is>
      </c>
      <c r="B479" s="7" t="inlineStr">
        <is>
          <t>5012345617145</t>
        </is>
      </c>
      <c r="C479" s="6" t="inlineStr">
        <is>
          <t>HM GARDEN PEAS 1.5KG</t>
        </is>
      </c>
      <c r="D479" s="6" t="inlineStr">
        <is>
          <t>Garden peas, 1.5kg</t>
        </is>
      </c>
      <c r="E479" s="6" t="inlineStr">
        <is>
          <t>Harbour Market</t>
        </is>
      </c>
      <c r="F479" s="6" t="inlineStr">
        <is>
          <t>Frozen</t>
        </is>
      </c>
      <c r="G479" s="6" t="inlineStr">
        <is>
          <t>Frozen Vegetables</t>
        </is>
      </c>
      <c r="H479" s="6" t="inlineStr">
        <is>
          <t>yes</t>
        </is>
      </c>
      <c r="I479" s="6" t="inlineStr">
        <is>
          <t>Plant-based core</t>
        </is>
      </c>
      <c r="J479" s="6" t="inlineStr">
        <is>
          <t>A</t>
        </is>
      </c>
      <c r="K479" s="6" t="inlineStr">
        <is>
          <t>All ingredients on one side</t>
        </is>
      </c>
      <c r="L479" s="6" t="n">
        <v>5.6</v>
      </c>
      <c r="M479" s="6" t="inlineStr">
        <is>
          <t>Declared by the retailer</t>
        </is>
      </c>
      <c r="N479" s="6" t="n">
        <v>5.6</v>
      </c>
      <c r="O479" s="6" t="n">
        <v>0</v>
      </c>
      <c r="P479" s="6" t="inlineStr">
        <is>
          <t>yes</t>
        </is>
      </c>
      <c r="Q479" s="6" t="inlineStr">
        <is>
          <t>whole</t>
        </is>
      </c>
      <c r="R479" s="6" t="inlineStr">
        <is>
          <t>FG1</t>
        </is>
      </c>
      <c r="S479" s="6" t="inlineStr">
        <is>
          <t>pulses</t>
        </is>
      </c>
      <c r="T479" s="6" t="inlineStr">
        <is>
          <t>plant</t>
        </is>
      </c>
      <c r="U479" s="6" t="n"/>
      <c r="V479" s="6" t="n"/>
      <c r="W479" s="6" t="n">
        <v>1</v>
      </c>
      <c r="X479" s="6" t="n">
        <v>1.5</v>
      </c>
      <c r="Y479" s="6" t="inlineStr">
        <is>
          <t>declared</t>
        </is>
      </c>
      <c r="Z479" s="8" t="n">
        <v>284138</v>
      </c>
      <c r="AA479" s="9">
        <f>IF(H479="yes",Z479*X479,0)</f>
        <v/>
      </c>
      <c r="AB479" s="9">
        <f>IF(H479="yes",AA479*N(L479)/100,0)</f>
        <v/>
      </c>
      <c r="AC479" s="9">
        <f>IF(H479="yes",AA479*N(N479)/100,0)</f>
        <v/>
      </c>
      <c r="AD479" s="9">
        <f>IF(H479="yes",AA479*N(O479)/100,0)</f>
        <v/>
      </c>
      <c r="AE479" s="10">
        <f>IF(P479="yes",AA479/1000,0)</f>
        <v/>
      </c>
      <c r="AF479" s="10">
        <f>IF(R479="FG2",AE479*W479,AE479)</f>
        <v/>
      </c>
    </row>
    <row r="480">
      <c r="A480" s="6" t="inlineStr">
        <is>
          <t>HM00478</t>
        </is>
      </c>
      <c r="B480" s="7" t="inlineStr">
        <is>
          <t>4012345869095</t>
        </is>
      </c>
      <c r="C480" s="6" t="inlineStr">
        <is>
          <t>CHKN MINI FLT 650G TARROW</t>
        </is>
      </c>
      <c r="D480" s="6" t="inlineStr">
        <is>
          <t>Chicken mini fillets, 650g</t>
        </is>
      </c>
      <c r="E480" s="6" t="inlineStr">
        <is>
          <t>Tarrow Farm</t>
        </is>
      </c>
      <c r="F480" s="6" t="inlineStr">
        <is>
          <t>Fresh Meat &amp; Poultry</t>
        </is>
      </c>
      <c r="G480" s="6" t="inlineStr">
        <is>
          <t>Poultry</t>
        </is>
      </c>
      <c r="H480" s="6" t="inlineStr">
        <is>
          <t>yes</t>
        </is>
      </c>
      <c r="I480" s="6" t="inlineStr">
        <is>
          <t>Animal core</t>
        </is>
      </c>
      <c r="J480" s="6" t="inlineStr">
        <is>
          <t>B</t>
        </is>
      </c>
      <c r="K480" s="6" t="inlineStr">
        <is>
          <t>Follows the class</t>
        </is>
      </c>
      <c r="L480" s="6" t="n">
        <v>23</v>
      </c>
      <c r="M480" s="6" t="inlineStr">
        <is>
          <t>Declared by the retailer</t>
        </is>
      </c>
      <c r="N480" s="6" t="n">
        <v>0</v>
      </c>
      <c r="O480" s="6" t="n">
        <v>23</v>
      </c>
      <c r="P480" s="6" t="inlineStr">
        <is>
          <t>yes</t>
        </is>
      </c>
      <c r="Q480" s="6" t="inlineStr">
        <is>
          <t>whole</t>
        </is>
      </c>
      <c r="R480" s="6" t="inlineStr">
        <is>
          <t>FG1</t>
        </is>
      </c>
      <c r="S480" s="6" t="inlineStr">
        <is>
          <t>poultry</t>
        </is>
      </c>
      <c r="T480" s="6" t="inlineStr">
        <is>
          <t>animal</t>
        </is>
      </c>
      <c r="U480" s="6" t="n"/>
      <c r="V480" s="6" t="n"/>
      <c r="W480" s="6" t="n">
        <v>1</v>
      </c>
      <c r="X480" s="6" t="n">
        <v>0.65</v>
      </c>
      <c r="Y480" s="6" t="inlineStr">
        <is>
          <t>declared</t>
        </is>
      </c>
      <c r="Z480" s="8" t="n">
        <v>36630</v>
      </c>
      <c r="AA480" s="9">
        <f>IF(H480="yes",Z480*X480,0)</f>
        <v/>
      </c>
      <c r="AB480" s="9">
        <f>IF(H480="yes",AA480*N(L480)/100,0)</f>
        <v/>
      </c>
      <c r="AC480" s="9">
        <f>IF(H480="yes",AA480*N(N480)/100,0)</f>
        <v/>
      </c>
      <c r="AD480" s="9">
        <f>IF(H480="yes",AA480*N(O480)/100,0)</f>
        <v/>
      </c>
      <c r="AE480" s="10">
        <f>IF(P480="yes",AA480/1000,0)</f>
        <v/>
      </c>
      <c r="AF480" s="10">
        <f>IF(R480="FG2",AE480*W480,AE480)</f>
        <v/>
      </c>
    </row>
    <row r="481">
      <c r="A481" s="6" t="inlineStr">
        <is>
          <t>HM00479</t>
        </is>
      </c>
      <c r="B481" s="7" t="inlineStr">
        <is>
          <t>3012345481427</t>
        </is>
      </c>
      <c r="C481" s="6" t="inlineStr">
        <is>
          <t>HM COTTAGE PIE 2X400G</t>
        </is>
      </c>
      <c r="D481" s="6" t="inlineStr">
        <is>
          <t>Cottage pie, 2x400g</t>
        </is>
      </c>
      <c r="E481" s="6" t="inlineStr">
        <is>
          <t>Harbour Market</t>
        </is>
      </c>
      <c r="F481" s="6" t="inlineStr">
        <is>
          <t>Ready Meals</t>
        </is>
      </c>
      <c r="G481" s="6" t="inlineStr">
        <is>
          <t>Ready Meals</t>
        </is>
      </c>
      <c r="H481" s="6" t="inlineStr">
        <is>
          <t>yes</t>
        </is>
      </c>
      <c r="I481" s="6" t="inlineStr">
        <is>
          <t>Animal &amp; plant composite</t>
        </is>
      </c>
      <c r="J481" s="6" t="inlineStr">
        <is>
          <t>B</t>
        </is>
      </c>
      <c r="K481" s="6" t="inlineStr">
        <is>
          <t>50/50 convention</t>
        </is>
      </c>
      <c r="L481" s="6" t="n">
        <v>6.8</v>
      </c>
      <c r="M481" s="6" t="inlineStr">
        <is>
          <t>Median of the family</t>
        </is>
      </c>
      <c r="N481" s="6" t="n">
        <v>3.4</v>
      </c>
      <c r="O481" s="6" t="n">
        <v>3.4</v>
      </c>
      <c r="P481" s="6" t="inlineStr">
        <is>
          <t>yes</t>
        </is>
      </c>
      <c r="Q481" s="6" t="inlineStr">
        <is>
          <t>composite</t>
        </is>
      </c>
      <c r="R481" s="6" t="n"/>
      <c r="S481" s="6" t="n"/>
      <c r="T481" s="6" t="n"/>
      <c r="U481" s="6" t="inlineStr">
        <is>
          <t>meat-based</t>
        </is>
      </c>
      <c r="V481" s="6" t="n"/>
      <c r="W481" s="6" t="n">
        <v>1</v>
      </c>
      <c r="X481" s="6" t="n">
        <v>0.8</v>
      </c>
      <c r="Y481" s="6" t="inlineStr">
        <is>
          <t>declared</t>
        </is>
      </c>
      <c r="Z481" s="8" t="n">
        <v>48721</v>
      </c>
      <c r="AA481" s="9">
        <f>IF(H481="yes",Z481*X481,0)</f>
        <v/>
      </c>
      <c r="AB481" s="9">
        <f>IF(H481="yes",AA481*N(L481)/100,0)</f>
        <v/>
      </c>
      <c r="AC481" s="9">
        <f>IF(H481="yes",AA481*N(N481)/100,0)</f>
        <v/>
      </c>
      <c r="AD481" s="9">
        <f>IF(H481="yes",AA481*N(O481)/100,0)</f>
        <v/>
      </c>
      <c r="AE481" s="10">
        <f>IF(P481="yes",AA481/1000,0)</f>
        <v/>
      </c>
      <c r="AF481" s="10">
        <f>IF(R481="FG2",AE481*W481,AE481)</f>
        <v/>
      </c>
    </row>
    <row r="482">
      <c r="A482" s="6" t="inlineStr">
        <is>
          <t>HM00480</t>
        </is>
      </c>
      <c r="B482" s="7" t="inlineStr">
        <is>
          <t>4012345645439</t>
        </is>
      </c>
      <c r="C482" s="6" t="inlineStr">
        <is>
          <t>HM SUNFLOWER SPREAD 500G</t>
        </is>
      </c>
      <c r="D482" s="6" t="inlineStr">
        <is>
          <t>Sunflower spread, 500g</t>
        </is>
      </c>
      <c r="E482" s="6" t="inlineStr">
        <is>
          <t>Harbour Market</t>
        </is>
      </c>
      <c r="F482" s="6" t="inlineStr">
        <is>
          <t>Dairy &amp; Eggs</t>
        </is>
      </c>
      <c r="G482" s="6" t="inlineStr">
        <is>
          <t>Butter &amp; Spreads</t>
        </is>
      </c>
      <c r="H482" s="6" t="inlineStr">
        <is>
          <t>yes</t>
        </is>
      </c>
      <c r="I482" s="6" t="inlineStr">
        <is>
          <t>Plant-based non-core</t>
        </is>
      </c>
      <c r="J482" s="6" t="inlineStr">
        <is>
          <t>B</t>
        </is>
      </c>
      <c r="K482" s="6" t="inlineStr">
        <is>
          <t>Follows the class</t>
        </is>
      </c>
      <c r="L482" s="6" t="n">
        <v>0.1</v>
      </c>
      <c r="M482" s="6" t="inlineStr">
        <is>
          <t>Median of the family</t>
        </is>
      </c>
      <c r="N482" s="6" t="n">
        <v>0.1</v>
      </c>
      <c r="O482" s="6" t="n">
        <v>0</v>
      </c>
      <c r="P482" s="6" t="inlineStr">
        <is>
          <t>yes</t>
        </is>
      </c>
      <c r="Q482" s="6" t="inlineStr">
        <is>
          <t>whole</t>
        </is>
      </c>
      <c r="R482" s="6" t="inlineStr">
        <is>
          <t>FG3</t>
        </is>
      </c>
      <c r="S482" s="6" t="inlineStr">
        <is>
          <t>plant fat</t>
        </is>
      </c>
      <c r="T482" s="6" t="inlineStr">
        <is>
          <t>plant</t>
        </is>
      </c>
      <c r="U482" s="6" t="n"/>
      <c r="V482" s="6" t="n"/>
      <c r="W482" s="6" t="n">
        <v>1</v>
      </c>
      <c r="X482" s="6" t="n">
        <v>0.5</v>
      </c>
      <c r="Y482" s="6" t="inlineStr">
        <is>
          <t>declared</t>
        </is>
      </c>
      <c r="Z482" s="8" t="n">
        <v>18348</v>
      </c>
      <c r="AA482" s="9">
        <f>IF(H482="yes",Z482*X482,0)</f>
        <v/>
      </c>
      <c r="AB482" s="9">
        <f>IF(H482="yes",AA482*N(L482)/100,0)</f>
        <v/>
      </c>
      <c r="AC482" s="9">
        <f>IF(H482="yes",AA482*N(N482)/100,0)</f>
        <v/>
      </c>
      <c r="AD482" s="9">
        <f>IF(H482="yes",AA482*N(O482)/100,0)</f>
        <v/>
      </c>
      <c r="AE482" s="10">
        <f>IF(P482="yes",AA482/1000,0)</f>
        <v/>
      </c>
      <c r="AF482" s="10">
        <f>IF(R482="FG2",AE482*W482,AE482)</f>
        <v/>
      </c>
    </row>
    <row r="483">
      <c r="A483" s="6" t="inlineStr">
        <is>
          <t>HM00481</t>
        </is>
      </c>
      <c r="B483" s="7" t="inlineStr">
        <is>
          <t>5012345094673</t>
        </is>
      </c>
      <c r="C483" s="6" t="inlineStr">
        <is>
          <t>HM EGG FETTUCCINE 250G</t>
        </is>
      </c>
      <c r="D483" s="6" t="inlineStr">
        <is>
          <t>Egg fettuccine, 250g</t>
        </is>
      </c>
      <c r="E483" s="6" t="inlineStr">
        <is>
          <t>Harbour Market</t>
        </is>
      </c>
      <c r="F483" s="6" t="inlineStr">
        <is>
          <t>Grocery</t>
        </is>
      </c>
      <c r="G483" s="6" t="inlineStr">
        <is>
          <t>Fresh Pasta</t>
        </is>
      </c>
      <c r="H483" s="6" t="inlineStr">
        <is>
          <t>yes</t>
        </is>
      </c>
      <c r="I483" s="6" t="inlineStr">
        <is>
          <t>Animal &amp; plant composite</t>
        </is>
      </c>
      <c r="J483" s="6" t="inlineStr">
        <is>
          <t>A</t>
        </is>
      </c>
      <c r="K483" s="6" t="inlineStr">
        <is>
          <t>Ingredient list</t>
        </is>
      </c>
      <c r="L483" s="6" t="n">
        <v>13.7</v>
      </c>
      <c r="M483" s="6" t="inlineStr">
        <is>
          <t>Declared by the retailer</t>
        </is>
      </c>
      <c r="N483" s="6" t="n">
        <v>10.69</v>
      </c>
      <c r="O483" s="6" t="n">
        <v>3.01</v>
      </c>
      <c r="P483" s="6" t="inlineStr">
        <is>
          <t>yes</t>
        </is>
      </c>
      <c r="Q483" s="6" t="inlineStr">
        <is>
          <t>composite</t>
        </is>
      </c>
      <c r="R483" s="6" t="n"/>
      <c r="S483" s="6" t="n"/>
      <c r="T483" s="6" t="n"/>
      <c r="U483" s="6" t="inlineStr">
        <is>
          <t>vegetarian</t>
        </is>
      </c>
      <c r="V483" s="6" t="n"/>
      <c r="W483" s="6" t="n">
        <v>1</v>
      </c>
      <c r="X483" s="6" t="n">
        <v>0.25</v>
      </c>
      <c r="Y483" s="6" t="inlineStr">
        <is>
          <t>declared</t>
        </is>
      </c>
      <c r="Z483" s="8" t="n">
        <v>24391</v>
      </c>
      <c r="AA483" s="9">
        <f>IF(H483="yes",Z483*X483,0)</f>
        <v/>
      </c>
      <c r="AB483" s="9">
        <f>IF(H483="yes",AA483*N(L483)/100,0)</f>
        <v/>
      </c>
      <c r="AC483" s="9">
        <f>IF(H483="yes",AA483*N(N483)/100,0)</f>
        <v/>
      </c>
      <c r="AD483" s="9">
        <f>IF(H483="yes",AA483*N(O483)/100,0)</f>
        <v/>
      </c>
      <c r="AE483" s="10">
        <f>IF(P483="yes",AA483/1000,0)</f>
        <v/>
      </c>
      <c r="AF483" s="10">
        <f>IF(R483="FG2",AE483*W483,AE483)</f>
        <v/>
      </c>
    </row>
    <row r="484">
      <c r="A484" s="6" t="inlineStr">
        <is>
          <t>HM00482</t>
        </is>
      </c>
      <c r="B484" s="7" t="inlineStr">
        <is>
          <t>8712345792923</t>
        </is>
      </c>
      <c r="C484" s="6" t="inlineStr">
        <is>
          <t>BRAMBLECOTE GINGER NUTS 300G</t>
        </is>
      </c>
      <c r="D484" s="6" t="inlineStr">
        <is>
          <t>Ginger nut biscuits, 300g</t>
        </is>
      </c>
      <c r="E484" s="6" t="inlineStr">
        <is>
          <t>Bramblecote</t>
        </is>
      </c>
      <c r="F484" s="6" t="inlineStr">
        <is>
          <t>Breakfast &amp; Snacks</t>
        </is>
      </c>
      <c r="G484" s="6" t="inlineStr">
        <is>
          <t>Biscuits</t>
        </is>
      </c>
      <c r="H484" s="6" t="inlineStr">
        <is>
          <t>yes</t>
        </is>
      </c>
      <c r="I484" s="6" t="inlineStr">
        <is>
          <t>Plant-based non-core</t>
        </is>
      </c>
      <c r="J484" s="6" t="inlineStr">
        <is>
          <t>A</t>
        </is>
      </c>
      <c r="K484" s="6" t="inlineStr">
        <is>
          <t>All ingredients on one side</t>
        </is>
      </c>
      <c r="L484" s="6" t="n">
        <v>6.9</v>
      </c>
      <c r="M484" s="6" t="inlineStr">
        <is>
          <t>Declared by the retailer</t>
        </is>
      </c>
      <c r="N484" s="6" t="n">
        <v>6.9</v>
      </c>
      <c r="O484" s="6" t="n">
        <v>0</v>
      </c>
      <c r="P484" s="6" t="inlineStr">
        <is>
          <t>yes</t>
        </is>
      </c>
      <c r="Q484" s="6" t="inlineStr">
        <is>
          <t>whole</t>
        </is>
      </c>
      <c r="R484" s="6" t="inlineStr">
        <is>
          <t>FG7</t>
        </is>
      </c>
      <c r="S484" s="6" t="n"/>
      <c r="T484" s="6" t="inlineStr">
        <is>
          <t>plant</t>
        </is>
      </c>
      <c r="U484" s="6" t="n"/>
      <c r="V484" s="6" t="n"/>
      <c r="W484" s="6" t="n">
        <v>1</v>
      </c>
      <c r="X484" s="6" t="n">
        <v>0.3</v>
      </c>
      <c r="Y484" s="6" t="inlineStr">
        <is>
          <t>declared</t>
        </is>
      </c>
      <c r="Z484" s="8" t="n">
        <v>105731</v>
      </c>
      <c r="AA484" s="9">
        <f>IF(H484="yes",Z484*X484,0)</f>
        <v/>
      </c>
      <c r="AB484" s="9">
        <f>IF(H484="yes",AA484*N(L484)/100,0)</f>
        <v/>
      </c>
      <c r="AC484" s="9">
        <f>IF(H484="yes",AA484*N(N484)/100,0)</f>
        <v/>
      </c>
      <c r="AD484" s="9">
        <f>IF(H484="yes",AA484*N(O484)/100,0)</f>
        <v/>
      </c>
      <c r="AE484" s="10">
        <f>IF(P484="yes",AA484/1000,0)</f>
        <v/>
      </c>
      <c r="AF484" s="10">
        <f>IF(R484="FG2",AE484*W484,AE484)</f>
        <v/>
      </c>
    </row>
    <row r="485">
      <c r="A485" s="6" t="inlineStr">
        <is>
          <t>HM00483</t>
        </is>
      </c>
      <c r="B485" s="7" t="inlineStr">
        <is>
          <t>3012345600378</t>
        </is>
      </c>
      <c r="C485" s="6" t="inlineStr">
        <is>
          <t>HM LEEKS EACH</t>
        </is>
      </c>
      <c r="D485" s="6" t="inlineStr">
        <is>
          <t>Leeks</t>
        </is>
      </c>
      <c r="E485" s="6" t="inlineStr">
        <is>
          <t>Harbour Market</t>
        </is>
      </c>
      <c r="F485" s="6" t="inlineStr">
        <is>
          <t>Fruit &amp; Vegetables</t>
        </is>
      </c>
      <c r="G485" s="6" t="inlineStr">
        <is>
          <t>Vegetables</t>
        </is>
      </c>
      <c r="H485" s="6" t="inlineStr">
        <is>
          <t>yes</t>
        </is>
      </c>
      <c r="I485" s="6" t="inlineStr">
        <is>
          <t>Plant-based non-core</t>
        </is>
      </c>
      <c r="J485" s="6" t="inlineStr">
        <is>
          <t>B</t>
        </is>
      </c>
      <c r="K485" s="6" t="inlineStr">
        <is>
          <t>Follows the class</t>
        </is>
      </c>
      <c r="L485" s="6" t="n">
        <v>1.4</v>
      </c>
      <c r="M485" s="6" t="inlineStr">
        <is>
          <t>Declared by the retailer</t>
        </is>
      </c>
      <c r="N485" s="6" t="n">
        <v>1.4</v>
      </c>
      <c r="O485" s="6" t="n">
        <v>0</v>
      </c>
      <c r="P485" s="6" t="inlineStr">
        <is>
          <t>yes</t>
        </is>
      </c>
      <c r="Q485" s="6" t="inlineStr">
        <is>
          <t>whole</t>
        </is>
      </c>
      <c r="R485" s="6" t="inlineStr">
        <is>
          <t>FG4</t>
        </is>
      </c>
      <c r="S485" s="6" t="n"/>
      <c r="T485" s="6" t="inlineStr">
        <is>
          <t>plant</t>
        </is>
      </c>
      <c r="U485" s="6" t="n"/>
      <c r="V485" s="6" t="n"/>
      <c r="W485" s="6" t="n">
        <v>1</v>
      </c>
      <c r="X485" s="6" t="n">
        <v>0.3</v>
      </c>
      <c r="Y485" s="6" t="inlineStr">
        <is>
          <t>typical_piece</t>
        </is>
      </c>
      <c r="Z485" s="8" t="n">
        <v>19364</v>
      </c>
      <c r="AA485" s="9">
        <f>IF(H485="yes",Z485*X485,0)</f>
        <v/>
      </c>
      <c r="AB485" s="9">
        <f>IF(H485="yes",AA485*N(L485)/100,0)</f>
        <v/>
      </c>
      <c r="AC485" s="9">
        <f>IF(H485="yes",AA485*N(N485)/100,0)</f>
        <v/>
      </c>
      <c r="AD485" s="9">
        <f>IF(H485="yes",AA485*N(O485)/100,0)</f>
        <v/>
      </c>
      <c r="AE485" s="10">
        <f>IF(P485="yes",AA485/1000,0)</f>
        <v/>
      </c>
      <c r="AF485" s="10">
        <f>IF(R485="FG2",AE485*W485,AE485)</f>
        <v/>
      </c>
    </row>
    <row r="486">
      <c r="A486" s="6" t="inlineStr">
        <is>
          <t>HM00484</t>
        </is>
      </c>
      <c r="B486" s="7" t="inlineStr">
        <is>
          <t>3012345741279</t>
        </is>
      </c>
      <c r="C486" s="6" t="inlineStr">
        <is>
          <t>CASTELNA RED WINE MERLOT 75CL</t>
        </is>
      </c>
      <c r="D486" s="6" t="inlineStr">
        <is>
          <t>Merlot red wine, 75cl</t>
        </is>
      </c>
      <c r="E486" s="6" t="inlineStr">
        <is>
          <t>Castelna</t>
        </is>
      </c>
      <c r="F486" s="6" t="inlineStr">
        <is>
          <t>Beer, Wine &amp; Spirits</t>
        </is>
      </c>
      <c r="G486" s="6" t="inlineStr">
        <is>
          <t>Wine</t>
        </is>
      </c>
      <c r="H486" s="6" t="inlineStr">
        <is>
          <t>yes</t>
        </is>
      </c>
      <c r="I486" s="6" t="inlineStr">
        <is>
          <t>Plant-based non-core</t>
        </is>
      </c>
      <c r="J486" s="6" t="inlineStr">
        <is>
          <t>A</t>
        </is>
      </c>
      <c r="K486" s="6" t="inlineStr">
        <is>
          <t>All ingredients on one side</t>
        </is>
      </c>
      <c r="L486" s="6" t="n">
        <v>0.1</v>
      </c>
      <c r="M486" s="6" t="inlineStr">
        <is>
          <t>Median of the family</t>
        </is>
      </c>
      <c r="N486" s="6" t="n">
        <v>0.1</v>
      </c>
      <c r="O486" s="6" t="n">
        <v>0</v>
      </c>
      <c r="P486" s="6" t="inlineStr">
        <is>
          <t>no</t>
        </is>
      </c>
      <c r="Q486" s="6" t="n"/>
      <c r="R486" s="6" t="n"/>
      <c r="S486" s="6" t="n"/>
      <c r="T486" s="6" t="n"/>
      <c r="U486" s="6" t="n"/>
      <c r="V486" s="6" t="inlineStr">
        <is>
          <t>alcohol</t>
        </is>
      </c>
      <c r="W486" s="6" t="n">
        <v>1</v>
      </c>
      <c r="X486" s="6" t="n">
        <v>0.75</v>
      </c>
      <c r="Y486" s="6" t="inlineStr">
        <is>
          <t>declared</t>
        </is>
      </c>
      <c r="Z486" s="8" t="n">
        <v>7064</v>
      </c>
      <c r="AA486" s="9">
        <f>IF(H486="yes",Z486*X486,0)</f>
        <v/>
      </c>
      <c r="AB486" s="9">
        <f>IF(H486="yes",AA486*N(L486)/100,0)</f>
        <v/>
      </c>
      <c r="AC486" s="9">
        <f>IF(H486="yes",AA486*N(N486)/100,0)</f>
        <v/>
      </c>
      <c r="AD486" s="9">
        <f>IF(H486="yes",AA486*N(O486)/100,0)</f>
        <v/>
      </c>
      <c r="AE486" s="10">
        <f>IF(P486="yes",AA486/1000,0)</f>
        <v/>
      </c>
      <c r="AF486" s="10">
        <f>IF(R486="FG2",AE486*W486,AE486)</f>
        <v/>
      </c>
    </row>
    <row r="487">
      <c r="A487" s="6" t="inlineStr">
        <is>
          <t>HM00485</t>
        </is>
      </c>
      <c r="B487" s="7" t="inlineStr">
        <is>
          <t>3012345036627</t>
        </is>
      </c>
      <c r="C487" s="6" t="inlineStr">
        <is>
          <t>HM STILL WATER 500ML</t>
        </is>
      </c>
      <c r="D487" s="6" t="inlineStr">
        <is>
          <t>Still mineral water, 500ml</t>
        </is>
      </c>
      <c r="E487" s="6" t="inlineStr">
        <is>
          <t>Harbour Market</t>
        </is>
      </c>
      <c r="F487" s="6" t="inlineStr">
        <is>
          <t>Soft Drinks &amp; Water</t>
        </is>
      </c>
      <c r="G487" s="6" t="inlineStr">
        <is>
          <t>Water</t>
        </is>
      </c>
      <c r="H487" s="6" t="inlineStr">
        <is>
          <t>yes</t>
        </is>
      </c>
      <c r="I487" s="6" t="inlineStr">
        <is>
          <t>Plant-based non-core</t>
        </is>
      </c>
      <c r="J487" s="6" t="inlineStr">
        <is>
          <t>A</t>
        </is>
      </c>
      <c r="K487" s="6" t="inlineStr">
        <is>
          <t>All ingredients on one side</t>
        </is>
      </c>
      <c r="L487" s="6" t="n">
        <v>0</v>
      </c>
      <c r="M487" s="6" t="inlineStr">
        <is>
          <t>Declared by the retailer</t>
        </is>
      </c>
      <c r="N487" s="6" t="n">
        <v>0</v>
      </c>
      <c r="O487" s="6" t="n">
        <v>0</v>
      </c>
      <c r="P487" s="6" t="inlineStr">
        <is>
          <t>no</t>
        </is>
      </c>
      <c r="Q487" s="6" t="n"/>
      <c r="R487" s="6" t="n"/>
      <c r="S487" s="6" t="n"/>
      <c r="T487" s="6" t="n"/>
      <c r="U487" s="6" t="n"/>
      <c r="V487" s="6" t="inlineStr">
        <is>
          <t>beverage</t>
        </is>
      </c>
      <c r="W487" s="6" t="n">
        <v>1</v>
      </c>
      <c r="X487" s="6" t="n">
        <v>0.5</v>
      </c>
      <c r="Y487" s="6" t="inlineStr">
        <is>
          <t>declared</t>
        </is>
      </c>
      <c r="Z487" s="8" t="n">
        <v>136525</v>
      </c>
      <c r="AA487" s="9">
        <f>IF(H487="yes",Z487*X487,0)</f>
        <v/>
      </c>
      <c r="AB487" s="9">
        <f>IF(H487="yes",AA487*N(L487)/100,0)</f>
        <v/>
      </c>
      <c r="AC487" s="9">
        <f>IF(H487="yes",AA487*N(N487)/100,0)</f>
        <v/>
      </c>
      <c r="AD487" s="9">
        <f>IF(H487="yes",AA487*N(O487)/100,0)</f>
        <v/>
      </c>
      <c r="AE487" s="10">
        <f>IF(P487="yes",AA487/1000,0)</f>
        <v/>
      </c>
      <c r="AF487" s="10">
        <f>IF(R487="FG2",AE487*W487,AE487)</f>
        <v/>
      </c>
    </row>
    <row r="488">
      <c r="A488" s="6" t="inlineStr">
        <is>
          <t>HM00486</t>
        </is>
      </c>
      <c r="B488" s="7" t="inlineStr">
        <is>
          <t>4012345293067</t>
        </is>
      </c>
      <c r="C488" s="6" t="inlineStr">
        <is>
          <t>PENWARD WHEAT BEER 10X330ML</t>
        </is>
      </c>
      <c r="D488" s="6" t="inlineStr">
        <is>
          <t>Wheat beer, 10x330ml</t>
        </is>
      </c>
      <c r="E488" s="6" t="inlineStr">
        <is>
          <t>Penward</t>
        </is>
      </c>
      <c r="F488" s="6" t="inlineStr">
        <is>
          <t>Beer, Wine &amp; Spirits</t>
        </is>
      </c>
      <c r="G488" s="6" t="inlineStr">
        <is>
          <t>Beer &amp; Cider</t>
        </is>
      </c>
      <c r="H488" s="6" t="inlineStr">
        <is>
          <t>yes</t>
        </is>
      </c>
      <c r="I488" s="6" t="inlineStr">
        <is>
          <t>Plant-based non-core</t>
        </is>
      </c>
      <c r="J488" s="6" t="inlineStr">
        <is>
          <t>A</t>
        </is>
      </c>
      <c r="K488" s="6" t="inlineStr">
        <is>
          <t>All ingredients on one side</t>
        </is>
      </c>
      <c r="L488" s="6" t="n">
        <v>0.52</v>
      </c>
      <c r="M488" s="6" t="inlineStr">
        <is>
          <t>Declared by the retailer</t>
        </is>
      </c>
      <c r="N488" s="6" t="n">
        <v>0.52</v>
      </c>
      <c r="O488" s="6" t="n">
        <v>0</v>
      </c>
      <c r="P488" s="6" t="inlineStr">
        <is>
          <t>no</t>
        </is>
      </c>
      <c r="Q488" s="6" t="n"/>
      <c r="R488" s="6" t="n"/>
      <c r="S488" s="6" t="n"/>
      <c r="T488" s="6" t="n"/>
      <c r="U488" s="6" t="n"/>
      <c r="V488" s="6" t="inlineStr">
        <is>
          <t>alcohol</t>
        </is>
      </c>
      <c r="W488" s="6" t="n">
        <v>1</v>
      </c>
      <c r="X488" s="6" t="n">
        <v>3.3</v>
      </c>
      <c r="Y488" s="6" t="inlineStr">
        <is>
          <t>declared</t>
        </is>
      </c>
      <c r="Z488" s="8" t="n">
        <v>8958</v>
      </c>
      <c r="AA488" s="9">
        <f>IF(H488="yes",Z488*X488,0)</f>
        <v/>
      </c>
      <c r="AB488" s="9">
        <f>IF(H488="yes",AA488*N(L488)/100,0)</f>
        <v/>
      </c>
      <c r="AC488" s="9">
        <f>IF(H488="yes",AA488*N(N488)/100,0)</f>
        <v/>
      </c>
      <c r="AD488" s="9">
        <f>IF(H488="yes",AA488*N(O488)/100,0)</f>
        <v/>
      </c>
      <c r="AE488" s="10">
        <f>IF(P488="yes",AA488/1000,0)</f>
        <v/>
      </c>
      <c r="AF488" s="10">
        <f>IF(R488="FG2",AE488*W488,AE488)</f>
        <v/>
      </c>
    </row>
    <row r="489">
      <c r="A489" s="6" t="inlineStr">
        <is>
          <t>HM00487</t>
        </is>
      </c>
      <c r="B489" s="7" t="inlineStr">
        <is>
          <t>5012345589305</t>
        </is>
      </c>
      <c r="C489" s="6" t="inlineStr">
        <is>
          <t>HM PORK LIVER PATE 170G</t>
        </is>
      </c>
      <c r="D489" s="6" t="inlineStr">
        <is>
          <t>Pork liver pâté, 170g</t>
        </is>
      </c>
      <c r="E489" s="6" t="inlineStr">
        <is>
          <t>Harbour Market</t>
        </is>
      </c>
      <c r="F489" s="6" t="inlineStr">
        <is>
          <t>Deli</t>
        </is>
      </c>
      <c r="G489" s="6" t="inlineStr">
        <is>
          <t>Pâté</t>
        </is>
      </c>
      <c r="H489" s="6" t="inlineStr">
        <is>
          <t>yes</t>
        </is>
      </c>
      <c r="I489" s="6" t="inlineStr">
        <is>
          <t>Animal core</t>
        </is>
      </c>
      <c r="J489" s="6" t="inlineStr">
        <is>
          <t>B</t>
        </is>
      </c>
      <c r="K489" s="6" t="inlineStr">
        <is>
          <t>Follows the class</t>
        </is>
      </c>
      <c r="L489" s="6" t="n">
        <v>12.6</v>
      </c>
      <c r="M489" s="6" t="inlineStr">
        <is>
          <t>Open Food Facts, by EAN</t>
        </is>
      </c>
      <c r="N489" s="6" t="n">
        <v>0</v>
      </c>
      <c r="O489" s="6" t="n">
        <v>12.6</v>
      </c>
      <c r="P489" s="6" t="inlineStr">
        <is>
          <t>yes</t>
        </is>
      </c>
      <c r="Q489" s="6" t="inlineStr">
        <is>
          <t>whole</t>
        </is>
      </c>
      <c r="R489" s="6" t="inlineStr">
        <is>
          <t>FG1</t>
        </is>
      </c>
      <c r="S489" s="6" t="inlineStr">
        <is>
          <t>red meat</t>
        </is>
      </c>
      <c r="T489" s="6" t="inlineStr">
        <is>
          <t>animal</t>
        </is>
      </c>
      <c r="U489" s="6" t="n"/>
      <c r="V489" s="6" t="n"/>
      <c r="W489" s="6" t="n">
        <v>1</v>
      </c>
      <c r="X489" s="6" t="n">
        <v>0.17</v>
      </c>
      <c r="Y489" s="6" t="inlineStr">
        <is>
          <t>label</t>
        </is>
      </c>
      <c r="Z489" s="8" t="n">
        <v>5278</v>
      </c>
      <c r="AA489" s="9">
        <f>IF(H489="yes",Z489*X489,0)</f>
        <v/>
      </c>
      <c r="AB489" s="9">
        <f>IF(H489="yes",AA489*N(L489)/100,0)</f>
        <v/>
      </c>
      <c r="AC489" s="9">
        <f>IF(H489="yes",AA489*N(N489)/100,0)</f>
        <v/>
      </c>
      <c r="AD489" s="9">
        <f>IF(H489="yes",AA489*N(O489)/100,0)</f>
        <v/>
      </c>
      <c r="AE489" s="10">
        <f>IF(P489="yes",AA489/1000,0)</f>
        <v/>
      </c>
      <c r="AF489" s="10">
        <f>IF(R489="FG2",AE489*W489,AE489)</f>
        <v/>
      </c>
    </row>
    <row r="490">
      <c r="A490" s="6" t="inlineStr">
        <is>
          <t>HM00488</t>
        </is>
      </c>
      <c r="B490" s="7" t="inlineStr">
        <is>
          <t>3012345108874</t>
        </is>
      </c>
      <c r="C490" s="6" t="inlineStr">
        <is>
          <t>HM SUNFLOWER OIL 3L</t>
        </is>
      </c>
      <c r="D490" s="6" t="inlineStr">
        <is>
          <t>Sunflower oil, 3l</t>
        </is>
      </c>
      <c r="E490" s="6" t="inlineStr">
        <is>
          <t>Harbour Market</t>
        </is>
      </c>
      <c r="F490" s="6" t="inlineStr">
        <is>
          <t>Grocery</t>
        </is>
      </c>
      <c r="G490" s="6" t="inlineStr">
        <is>
          <t>Oils</t>
        </is>
      </c>
      <c r="H490" s="6" t="inlineStr">
        <is>
          <t>yes</t>
        </is>
      </c>
      <c r="I490" s="6" t="inlineStr">
        <is>
          <t>Plant-based non-core</t>
        </is>
      </c>
      <c r="J490" s="6" t="inlineStr">
        <is>
          <t>B</t>
        </is>
      </c>
      <c r="K490" s="6" t="inlineStr">
        <is>
          <t>Follows the class</t>
        </is>
      </c>
      <c r="L490" s="6" t="n">
        <v>0</v>
      </c>
      <c r="M490" s="6" t="inlineStr">
        <is>
          <t>Altera reference base</t>
        </is>
      </c>
      <c r="N490" s="6" t="n">
        <v>0</v>
      </c>
      <c r="O490" s="6" t="n">
        <v>0</v>
      </c>
      <c r="P490" s="6" t="inlineStr">
        <is>
          <t>yes</t>
        </is>
      </c>
      <c r="Q490" s="6" t="inlineStr">
        <is>
          <t>whole</t>
        </is>
      </c>
      <c r="R490" s="6" t="inlineStr">
        <is>
          <t>FG3</t>
        </is>
      </c>
      <c r="S490" s="6" t="inlineStr">
        <is>
          <t>plant fat</t>
        </is>
      </c>
      <c r="T490" s="6" t="inlineStr">
        <is>
          <t>plant</t>
        </is>
      </c>
      <c r="U490" s="6" t="n"/>
      <c r="V490" s="6" t="n"/>
      <c r="W490" s="6" t="n">
        <v>1</v>
      </c>
      <c r="X490" s="6" t="n">
        <v>2.76</v>
      </c>
      <c r="Y490" s="6" t="inlineStr">
        <is>
          <t>declared</t>
        </is>
      </c>
      <c r="Z490" s="8" t="n">
        <v>26064</v>
      </c>
      <c r="AA490" s="9">
        <f>IF(H490="yes",Z490*X490,0)</f>
        <v/>
      </c>
      <c r="AB490" s="9">
        <f>IF(H490="yes",AA490*N(L490)/100,0)</f>
        <v/>
      </c>
      <c r="AC490" s="9">
        <f>IF(H490="yes",AA490*N(N490)/100,0)</f>
        <v/>
      </c>
      <c r="AD490" s="9">
        <f>IF(H490="yes",AA490*N(O490)/100,0)</f>
        <v/>
      </c>
      <c r="AE490" s="10">
        <f>IF(P490="yes",AA490/1000,0)</f>
        <v/>
      </c>
      <c r="AF490" s="10">
        <f>IF(R490="FG2",AE490*W490,AE490)</f>
        <v/>
      </c>
    </row>
    <row r="491">
      <c r="A491" s="6" t="inlineStr">
        <is>
          <t>HM00489</t>
        </is>
      </c>
      <c r="B491" s="7" t="inlineStr">
        <is>
          <t>8712345377038</t>
        </is>
      </c>
      <c r="C491" s="6" t="inlineStr">
        <is>
          <t>HM COUSCOUS 2KG</t>
        </is>
      </c>
      <c r="D491" s="6" t="inlineStr">
        <is>
          <t>Couscous, 2kg</t>
        </is>
      </c>
      <c r="E491" s="6" t="inlineStr">
        <is>
          <t>Harbour Market</t>
        </is>
      </c>
      <c r="F491" s="6" t="inlineStr">
        <is>
          <t>Grocery</t>
        </is>
      </c>
      <c r="G491" s="6" t="inlineStr">
        <is>
          <t>Rice &amp; Grains</t>
        </is>
      </c>
      <c r="H491" s="6" t="inlineStr">
        <is>
          <t>yes</t>
        </is>
      </c>
      <c r="I491" s="6" t="inlineStr">
        <is>
          <t>Plant-based non-core</t>
        </is>
      </c>
      <c r="J491" s="6" t="inlineStr">
        <is>
          <t>B</t>
        </is>
      </c>
      <c r="K491" s="6" t="inlineStr">
        <is>
          <t>Follows the class</t>
        </is>
      </c>
      <c r="L491" s="6" t="n">
        <v>7.2</v>
      </c>
      <c r="M491" s="6" t="inlineStr">
        <is>
          <t>Declared by the retailer</t>
        </is>
      </c>
      <c r="N491" s="6" t="n">
        <v>7.2</v>
      </c>
      <c r="O491" s="6" t="n">
        <v>0</v>
      </c>
      <c r="P491" s="6" t="inlineStr">
        <is>
          <t>yes</t>
        </is>
      </c>
      <c r="Q491" s="6" t="inlineStr">
        <is>
          <t>whole</t>
        </is>
      </c>
      <c r="R491" s="6" t="inlineStr">
        <is>
          <t>FG5</t>
        </is>
      </c>
      <c r="S491" s="6" t="inlineStr">
        <is>
          <t>refined grain</t>
        </is>
      </c>
      <c r="T491" s="6" t="inlineStr">
        <is>
          <t>plant</t>
        </is>
      </c>
      <c r="U491" s="6" t="n"/>
      <c r="V491" s="6" t="n"/>
      <c r="W491" s="6" t="n">
        <v>1</v>
      </c>
      <c r="X491" s="6" t="n">
        <v>2</v>
      </c>
      <c r="Y491" s="6" t="inlineStr">
        <is>
          <t>declared</t>
        </is>
      </c>
      <c r="Z491" s="8" t="n">
        <v>8244</v>
      </c>
      <c r="AA491" s="9">
        <f>IF(H491="yes",Z491*X491,0)</f>
        <v/>
      </c>
      <c r="AB491" s="9">
        <f>IF(H491="yes",AA491*N(L491)/100,0)</f>
        <v/>
      </c>
      <c r="AC491" s="9">
        <f>IF(H491="yes",AA491*N(N491)/100,0)</f>
        <v/>
      </c>
      <c r="AD491" s="9">
        <f>IF(H491="yes",AA491*N(O491)/100,0)</f>
        <v/>
      </c>
      <c r="AE491" s="10">
        <f>IF(P491="yes",AA491/1000,0)</f>
        <v/>
      </c>
      <c r="AF491" s="10">
        <f>IF(R491="FG2",AE491*W491,AE491)</f>
        <v/>
      </c>
    </row>
    <row r="492">
      <c r="A492" s="6" t="inlineStr">
        <is>
          <t>HM00490</t>
        </is>
      </c>
      <c r="B492" s="7" t="inlineStr">
        <is>
          <t>4012345927054</t>
        </is>
      </c>
      <c r="C492" s="6" t="inlineStr">
        <is>
          <t>PORK MINCE 400G TARROW</t>
        </is>
      </c>
      <c r="D492" s="6" t="inlineStr">
        <is>
          <t>Pork mince, 400g</t>
        </is>
      </c>
      <c r="E492" s="6" t="inlineStr">
        <is>
          <t>Tarrow Farm</t>
        </is>
      </c>
      <c r="F492" s="6" t="inlineStr">
        <is>
          <t>Fresh Meat &amp; Poultry</t>
        </is>
      </c>
      <c r="G492" s="6" t="inlineStr">
        <is>
          <t>Pork</t>
        </is>
      </c>
      <c r="H492" s="6" t="inlineStr">
        <is>
          <t>yes</t>
        </is>
      </c>
      <c r="I492" s="6" t="inlineStr">
        <is>
          <t>Animal core</t>
        </is>
      </c>
      <c r="J492" s="6" t="inlineStr">
        <is>
          <t>B</t>
        </is>
      </c>
      <c r="K492" s="6" t="inlineStr">
        <is>
          <t>Follows the class</t>
        </is>
      </c>
      <c r="L492" s="6" t="n">
        <v>19.8</v>
      </c>
      <c r="M492" s="6" t="inlineStr">
        <is>
          <t>Declared by the retailer</t>
        </is>
      </c>
      <c r="N492" s="6" t="n">
        <v>0</v>
      </c>
      <c r="O492" s="6" t="n">
        <v>19.8</v>
      </c>
      <c r="P492" s="6" t="inlineStr">
        <is>
          <t>yes</t>
        </is>
      </c>
      <c r="Q492" s="6" t="inlineStr">
        <is>
          <t>whole</t>
        </is>
      </c>
      <c r="R492" s="6" t="inlineStr">
        <is>
          <t>FG1</t>
        </is>
      </c>
      <c r="S492" s="6" t="inlineStr">
        <is>
          <t>red meat</t>
        </is>
      </c>
      <c r="T492" s="6" t="inlineStr">
        <is>
          <t>animal</t>
        </is>
      </c>
      <c r="U492" s="6" t="n"/>
      <c r="V492" s="6" t="n"/>
      <c r="W492" s="6" t="n">
        <v>1</v>
      </c>
      <c r="X492" s="6" t="n">
        <v>0.4</v>
      </c>
      <c r="Y492" s="6" t="inlineStr">
        <is>
          <t>declared</t>
        </is>
      </c>
      <c r="Z492" s="8" t="n">
        <v>34486</v>
      </c>
      <c r="AA492" s="9">
        <f>IF(H492="yes",Z492*X492,0)</f>
        <v/>
      </c>
      <c r="AB492" s="9">
        <f>IF(H492="yes",AA492*N(L492)/100,0)</f>
        <v/>
      </c>
      <c r="AC492" s="9">
        <f>IF(H492="yes",AA492*N(N492)/100,0)</f>
        <v/>
      </c>
      <c r="AD492" s="9">
        <f>IF(H492="yes",AA492*N(O492)/100,0)</f>
        <v/>
      </c>
      <c r="AE492" s="10">
        <f>IF(P492="yes",AA492/1000,0)</f>
        <v/>
      </c>
      <c r="AF492" s="10">
        <f>IF(R492="FG2",AE492*W492,AE492)</f>
        <v/>
      </c>
    </row>
    <row r="493">
      <c r="A493" s="6" t="inlineStr">
        <is>
          <t>HM00491</t>
        </is>
      </c>
      <c r="B493" s="7" t="inlineStr">
        <is>
          <t>5012345995830</t>
        </is>
      </c>
      <c r="C493" s="6" t="inlineStr">
        <is>
          <t>HM TKY MINCE 400G</t>
        </is>
      </c>
      <c r="D493" s="6" t="inlineStr">
        <is>
          <t>Turkey mince, 400g</t>
        </is>
      </c>
      <c r="E493" s="6" t="inlineStr">
        <is>
          <t>Harbour Market</t>
        </is>
      </c>
      <c r="F493" s="6" t="inlineStr">
        <is>
          <t>Fresh Meat &amp; Poultry</t>
        </is>
      </c>
      <c r="G493" s="6" t="inlineStr">
        <is>
          <t>Turkey &amp; Lamb</t>
        </is>
      </c>
      <c r="H493" s="6" t="inlineStr">
        <is>
          <t>yes</t>
        </is>
      </c>
      <c r="I493" s="6" t="inlineStr">
        <is>
          <t>Animal core</t>
        </is>
      </c>
      <c r="J493" s="6" t="inlineStr">
        <is>
          <t>B</t>
        </is>
      </c>
      <c r="K493" s="6" t="inlineStr">
        <is>
          <t>Follows the class</t>
        </is>
      </c>
      <c r="L493" s="6" t="n">
        <v>20.9</v>
      </c>
      <c r="M493" s="6" t="inlineStr">
        <is>
          <t>Declared by the retailer</t>
        </is>
      </c>
      <c r="N493" s="6" t="n">
        <v>0</v>
      </c>
      <c r="O493" s="6" t="n">
        <v>20.9</v>
      </c>
      <c r="P493" s="6" t="inlineStr">
        <is>
          <t>yes</t>
        </is>
      </c>
      <c r="Q493" s="6" t="inlineStr">
        <is>
          <t>whole</t>
        </is>
      </c>
      <c r="R493" s="6" t="inlineStr">
        <is>
          <t>FG1</t>
        </is>
      </c>
      <c r="S493" s="6" t="inlineStr">
        <is>
          <t>poultry</t>
        </is>
      </c>
      <c r="T493" s="6" t="inlineStr">
        <is>
          <t>animal</t>
        </is>
      </c>
      <c r="U493" s="6" t="n"/>
      <c r="V493" s="6" t="n"/>
      <c r="W493" s="6" t="n">
        <v>1</v>
      </c>
      <c r="X493" s="6" t="n">
        <v>0.4</v>
      </c>
      <c r="Y493" s="6" t="inlineStr">
        <is>
          <t>declared</t>
        </is>
      </c>
      <c r="Z493" s="8" t="n">
        <v>3905</v>
      </c>
      <c r="AA493" s="9">
        <f>IF(H493="yes",Z493*X493,0)</f>
        <v/>
      </c>
      <c r="AB493" s="9">
        <f>IF(H493="yes",AA493*N(L493)/100,0)</f>
        <v/>
      </c>
      <c r="AC493" s="9">
        <f>IF(H493="yes",AA493*N(N493)/100,0)</f>
        <v/>
      </c>
      <c r="AD493" s="9">
        <f>IF(H493="yes",AA493*N(O493)/100,0)</f>
        <v/>
      </c>
      <c r="AE493" s="10">
        <f>IF(P493="yes",AA493/1000,0)</f>
        <v/>
      </c>
      <c r="AF493" s="10">
        <f>IF(R493="FG2",AE493*W493,AE493)</f>
        <v/>
      </c>
    </row>
    <row r="494">
      <c r="A494" s="6" t="inlineStr">
        <is>
          <t>HM00492</t>
        </is>
      </c>
      <c r="B494" s="7" t="inlineStr">
        <is>
          <t>4012345746273</t>
        </is>
      </c>
      <c r="C494" s="6" t="inlineStr">
        <is>
          <t>HM VEG CHILLI RICE 350G</t>
        </is>
      </c>
      <c r="D494" s="6" t="inlineStr">
        <is>
          <t>Vegetable chilli with rice, 350g</t>
        </is>
      </c>
      <c r="E494" s="6" t="inlineStr">
        <is>
          <t>Harbour Market</t>
        </is>
      </c>
      <c r="F494" s="6" t="inlineStr">
        <is>
          <t>Ready Meals</t>
        </is>
      </c>
      <c r="G494" s="6" t="inlineStr">
        <is>
          <t>Ready Meals</t>
        </is>
      </c>
      <c r="H494" s="6" t="inlineStr">
        <is>
          <t>yes</t>
        </is>
      </c>
      <c r="I494" s="6" t="inlineStr">
        <is>
          <t>Plant-based non-core</t>
        </is>
      </c>
      <c r="J494" s="6" t="inlineStr">
        <is>
          <t>A</t>
        </is>
      </c>
      <c r="K494" s="6" t="inlineStr">
        <is>
          <t>All ingredients on one side</t>
        </is>
      </c>
      <c r="L494" s="6" t="n">
        <v>4.1</v>
      </c>
      <c r="M494" s="6" t="inlineStr">
        <is>
          <t>Name match (CIQUAL / NEVO)</t>
        </is>
      </c>
      <c r="N494" s="6" t="n">
        <v>4.1</v>
      </c>
      <c r="O494" s="6" t="n">
        <v>0</v>
      </c>
      <c r="P494" s="6" t="inlineStr">
        <is>
          <t>yes</t>
        </is>
      </c>
      <c r="Q494" s="6" t="inlineStr">
        <is>
          <t>composite</t>
        </is>
      </c>
      <c r="R494" s="6" t="n"/>
      <c r="S494" s="6" t="n"/>
      <c r="T494" s="6" t="n"/>
      <c r="U494" s="6" t="inlineStr">
        <is>
          <t>vegan</t>
        </is>
      </c>
      <c r="V494" s="6" t="n"/>
      <c r="W494" s="6" t="n">
        <v>1</v>
      </c>
      <c r="X494" s="6" t="n">
        <v>0.35</v>
      </c>
      <c r="Y494" s="6" t="inlineStr">
        <is>
          <t>declared</t>
        </is>
      </c>
      <c r="Z494" s="8" t="n">
        <v>12726</v>
      </c>
      <c r="AA494" s="9">
        <f>IF(H494="yes",Z494*X494,0)</f>
        <v/>
      </c>
      <c r="AB494" s="9">
        <f>IF(H494="yes",AA494*N(L494)/100,0)</f>
        <v/>
      </c>
      <c r="AC494" s="9">
        <f>IF(H494="yes",AA494*N(N494)/100,0)</f>
        <v/>
      </c>
      <c r="AD494" s="9">
        <f>IF(H494="yes",AA494*N(O494)/100,0)</f>
        <v/>
      </c>
      <c r="AE494" s="10">
        <f>IF(P494="yes",AA494/1000,0)</f>
        <v/>
      </c>
      <c r="AF494" s="10">
        <f>IF(R494="FG2",AE494*W494,AE494)</f>
        <v/>
      </c>
    </row>
    <row r="495">
      <c r="A495" s="6" t="inlineStr">
        <is>
          <t>HM00493</t>
        </is>
      </c>
      <c r="B495" s="7" t="inlineStr">
        <is>
          <t>4012345886924</t>
        </is>
      </c>
      <c r="C495" s="6" t="inlineStr">
        <is>
          <t>NUVELLE STILL WATER 500ML</t>
        </is>
      </c>
      <c r="D495" s="6" t="inlineStr">
        <is>
          <t>Still mineral water, 500ml</t>
        </is>
      </c>
      <c r="E495" s="6" t="inlineStr">
        <is>
          <t>Nuvelle</t>
        </is>
      </c>
      <c r="F495" s="6" t="inlineStr">
        <is>
          <t>Soft Drinks &amp; Water</t>
        </is>
      </c>
      <c r="G495" s="6" t="inlineStr">
        <is>
          <t>Water</t>
        </is>
      </c>
      <c r="H495" s="6" t="inlineStr">
        <is>
          <t>yes</t>
        </is>
      </c>
      <c r="I495" s="6" t="inlineStr">
        <is>
          <t>Plant-based non-core</t>
        </is>
      </c>
      <c r="J495" s="6" t="inlineStr">
        <is>
          <t>A</t>
        </is>
      </c>
      <c r="K495" s="6" t="inlineStr">
        <is>
          <t>All ingredients on one side</t>
        </is>
      </c>
      <c r="L495" s="6" t="n">
        <v>0</v>
      </c>
      <c r="M495" s="6" t="inlineStr">
        <is>
          <t>Declared by the retailer</t>
        </is>
      </c>
      <c r="N495" s="6" t="n">
        <v>0</v>
      </c>
      <c r="O495" s="6" t="n">
        <v>0</v>
      </c>
      <c r="P495" s="6" t="inlineStr">
        <is>
          <t>no</t>
        </is>
      </c>
      <c r="Q495" s="6" t="n"/>
      <c r="R495" s="6" t="n"/>
      <c r="S495" s="6" t="n"/>
      <c r="T495" s="6" t="n"/>
      <c r="U495" s="6" t="n"/>
      <c r="V495" s="6" t="inlineStr">
        <is>
          <t>beverage</t>
        </is>
      </c>
      <c r="W495" s="6" t="n">
        <v>1</v>
      </c>
      <c r="X495" s="6" t="n">
        <v>0.5</v>
      </c>
      <c r="Y495" s="6" t="inlineStr">
        <is>
          <t>declared</t>
        </is>
      </c>
      <c r="Z495" s="8" t="n">
        <v>99879</v>
      </c>
      <c r="AA495" s="9">
        <f>IF(H495="yes",Z495*X495,0)</f>
        <v/>
      </c>
      <c r="AB495" s="9">
        <f>IF(H495="yes",AA495*N(L495)/100,0)</f>
        <v/>
      </c>
      <c r="AC495" s="9">
        <f>IF(H495="yes",AA495*N(N495)/100,0)</f>
        <v/>
      </c>
      <c r="AD495" s="9">
        <f>IF(H495="yes",AA495*N(O495)/100,0)</f>
        <v/>
      </c>
      <c r="AE495" s="10">
        <f>IF(P495="yes",AA495/1000,0)</f>
        <v/>
      </c>
      <c r="AF495" s="10">
        <f>IF(R495="FG2",AE495*W495,AE495)</f>
        <v/>
      </c>
    </row>
    <row r="496">
      <c r="A496" s="6" t="inlineStr">
        <is>
          <t>HM00494</t>
        </is>
      </c>
      <c r="B496" s="7" t="inlineStr">
        <is>
          <t>3012345869447</t>
        </is>
      </c>
      <c r="C496" s="6" t="inlineStr">
        <is>
          <t>ORVALIS FRUIT NUT MUESLI 500G</t>
        </is>
      </c>
      <c r="D496" s="6" t="inlineStr">
        <is>
          <t>Fruit &amp; nut muesli, 500g</t>
        </is>
      </c>
      <c r="E496" s="6" t="inlineStr">
        <is>
          <t>Orvalis</t>
        </is>
      </c>
      <c r="F496" s="6" t="inlineStr">
        <is>
          <t>Breakfast &amp; Snacks</t>
        </is>
      </c>
      <c r="G496" s="6" t="inlineStr">
        <is>
          <t>Cereals</t>
        </is>
      </c>
      <c r="H496" s="6" t="inlineStr">
        <is>
          <t>yes</t>
        </is>
      </c>
      <c r="I496" s="6" t="inlineStr">
        <is>
          <t>Plant-based non-core</t>
        </is>
      </c>
      <c r="J496" s="6" t="inlineStr">
        <is>
          <t>B</t>
        </is>
      </c>
      <c r="K496" s="6" t="inlineStr">
        <is>
          <t>Follows the class</t>
        </is>
      </c>
      <c r="L496" s="6" t="n">
        <v>9.1</v>
      </c>
      <c r="M496" s="6" t="inlineStr">
        <is>
          <t>Declared by the retailer</t>
        </is>
      </c>
      <c r="N496" s="6" t="n">
        <v>9.1</v>
      </c>
      <c r="O496" s="6" t="n">
        <v>0</v>
      </c>
      <c r="P496" s="6" t="inlineStr">
        <is>
          <t>yes</t>
        </is>
      </c>
      <c r="Q496" s="6" t="inlineStr">
        <is>
          <t>whole</t>
        </is>
      </c>
      <c r="R496" s="6" t="inlineStr">
        <is>
          <t>FG5</t>
        </is>
      </c>
      <c r="S496" s="6" t="inlineStr">
        <is>
          <t>whole grain</t>
        </is>
      </c>
      <c r="T496" s="6" t="inlineStr">
        <is>
          <t>plant</t>
        </is>
      </c>
      <c r="U496" s="6" t="n"/>
      <c r="V496" s="6" t="n"/>
      <c r="W496" s="6" t="n">
        <v>1</v>
      </c>
      <c r="X496" s="6" t="n">
        <v>0.5</v>
      </c>
      <c r="Y496" s="6" t="inlineStr">
        <is>
          <t>declared</t>
        </is>
      </c>
      <c r="Z496" s="8" t="n">
        <v>100071</v>
      </c>
      <c r="AA496" s="9">
        <f>IF(H496="yes",Z496*X496,0)</f>
        <v/>
      </c>
      <c r="AB496" s="9">
        <f>IF(H496="yes",AA496*N(L496)/100,0)</f>
        <v/>
      </c>
      <c r="AC496" s="9">
        <f>IF(H496="yes",AA496*N(N496)/100,0)</f>
        <v/>
      </c>
      <c r="AD496" s="9">
        <f>IF(H496="yes",AA496*N(O496)/100,0)</f>
        <v/>
      </c>
      <c r="AE496" s="10">
        <f>IF(P496="yes",AA496/1000,0)</f>
        <v/>
      </c>
      <c r="AF496" s="10">
        <f>IF(R496="FG2",AE496*W496,AE496)</f>
        <v/>
      </c>
    </row>
    <row r="497">
      <c r="A497" s="6" t="inlineStr">
        <is>
          <t>HM00495</t>
        </is>
      </c>
      <c r="B497" s="7" t="inlineStr">
        <is>
          <t>3012345771986</t>
        </is>
      </c>
      <c r="C497" s="6" t="inlineStr">
        <is>
          <t>HM RED KIDNEY BEANS 4X400G</t>
        </is>
      </c>
      <c r="D497" s="6" t="inlineStr">
        <is>
          <t>Red kidney beans in water, 4x400g</t>
        </is>
      </c>
      <c r="E497" s="6" t="inlineStr">
        <is>
          <t>Harbour Market</t>
        </is>
      </c>
      <c r="F497" s="6" t="inlineStr">
        <is>
          <t>Grocery</t>
        </is>
      </c>
      <c r="G497" s="6" t="inlineStr">
        <is>
          <t>Pulses</t>
        </is>
      </c>
      <c r="H497" s="6" t="inlineStr">
        <is>
          <t>yes</t>
        </is>
      </c>
      <c r="I497" s="6" t="inlineStr">
        <is>
          <t>Plant-based core</t>
        </is>
      </c>
      <c r="J497" s="6" t="inlineStr">
        <is>
          <t>A</t>
        </is>
      </c>
      <c r="K497" s="6" t="inlineStr">
        <is>
          <t>All ingredients on one side</t>
        </is>
      </c>
      <c r="L497" s="6" t="n">
        <v>6.8</v>
      </c>
      <c r="M497" s="6" t="inlineStr">
        <is>
          <t>Open Food Facts, by EAN</t>
        </is>
      </c>
      <c r="N497" s="6" t="n">
        <v>6.8</v>
      </c>
      <c r="O497" s="6" t="n">
        <v>0</v>
      </c>
      <c r="P497" s="6" t="inlineStr">
        <is>
          <t>yes</t>
        </is>
      </c>
      <c r="Q497" s="6" t="inlineStr">
        <is>
          <t>whole</t>
        </is>
      </c>
      <c r="R497" s="6" t="inlineStr">
        <is>
          <t>FG1</t>
        </is>
      </c>
      <c r="S497" s="6" t="inlineStr">
        <is>
          <t>pulses</t>
        </is>
      </c>
      <c r="T497" s="6" t="inlineStr">
        <is>
          <t>plant</t>
        </is>
      </c>
      <c r="U497" s="6" t="n"/>
      <c r="V497" s="6" t="n"/>
      <c r="W497" s="6" t="n">
        <v>1</v>
      </c>
      <c r="X497" s="6" t="n">
        <v>1.6</v>
      </c>
      <c r="Y497" s="6" t="inlineStr">
        <is>
          <t>declared</t>
        </is>
      </c>
      <c r="Z497" s="8" t="n">
        <v>33595</v>
      </c>
      <c r="AA497" s="9">
        <f>IF(H497="yes",Z497*X497,0)</f>
        <v/>
      </c>
      <c r="AB497" s="9">
        <f>IF(H497="yes",AA497*N(L497)/100,0)</f>
        <v/>
      </c>
      <c r="AC497" s="9">
        <f>IF(H497="yes",AA497*N(N497)/100,0)</f>
        <v/>
      </c>
      <c r="AD497" s="9">
        <f>IF(H497="yes",AA497*N(O497)/100,0)</f>
        <v/>
      </c>
      <c r="AE497" s="10">
        <f>IF(P497="yes",AA497/1000,0)</f>
        <v/>
      </c>
      <c r="AF497" s="10">
        <f>IF(R497="FG2",AE497*W497,AE497)</f>
        <v/>
      </c>
    </row>
    <row r="498">
      <c r="A498" s="6" t="inlineStr">
        <is>
          <t>HM00496</t>
        </is>
      </c>
      <c r="B498" s="7" t="inlineStr">
        <is>
          <t>3012345571128</t>
        </is>
      </c>
      <c r="C498" s="6" t="inlineStr">
        <is>
          <t>HM CLEMENTINES 6PK</t>
        </is>
      </c>
      <c r="D498" s="6" t="inlineStr">
        <is>
          <t>Clementines, 6pk</t>
        </is>
      </c>
      <c r="E498" s="6" t="inlineStr">
        <is>
          <t>Harbour Market</t>
        </is>
      </c>
      <c r="F498" s="6" t="inlineStr">
        <is>
          <t>Fruit &amp; Vegetables</t>
        </is>
      </c>
      <c r="G498" s="6" t="inlineStr">
        <is>
          <t>Fruit</t>
        </is>
      </c>
      <c r="H498" s="6" t="inlineStr">
        <is>
          <t>yes</t>
        </is>
      </c>
      <c r="I498" s="6" t="inlineStr">
        <is>
          <t>Plant-based non-core</t>
        </is>
      </c>
      <c r="J498" s="6" t="inlineStr">
        <is>
          <t>B</t>
        </is>
      </c>
      <c r="K498" s="6" t="inlineStr">
        <is>
          <t>Follows the class</t>
        </is>
      </c>
      <c r="L498" s="6" t="n">
        <v>0.84</v>
      </c>
      <c r="M498" s="6" t="inlineStr">
        <is>
          <t>Name match (CIQUAL / NEVO)</t>
        </is>
      </c>
      <c r="N498" s="6" t="n">
        <v>0.84</v>
      </c>
      <c r="O498" s="6" t="n">
        <v>0</v>
      </c>
      <c r="P498" s="6" t="inlineStr">
        <is>
          <t>yes</t>
        </is>
      </c>
      <c r="Q498" s="6" t="inlineStr">
        <is>
          <t>whole</t>
        </is>
      </c>
      <c r="R498" s="6" t="inlineStr">
        <is>
          <t>FG4</t>
        </is>
      </c>
      <c r="S498" s="6" t="n"/>
      <c r="T498" s="6" t="inlineStr">
        <is>
          <t>plant</t>
        </is>
      </c>
      <c r="U498" s="6" t="n"/>
      <c r="V498" s="6" t="n"/>
      <c r="W498" s="6" t="n">
        <v>1</v>
      </c>
      <c r="X498" s="6" t="n">
        <v>0.9</v>
      </c>
      <c r="Y498" s="6" t="inlineStr">
        <is>
          <t>declared</t>
        </is>
      </c>
      <c r="Z498" s="8" t="n">
        <v>68998</v>
      </c>
      <c r="AA498" s="9">
        <f>IF(H498="yes",Z498*X498,0)</f>
        <v/>
      </c>
      <c r="AB498" s="9">
        <f>IF(H498="yes",AA498*N(L498)/100,0)</f>
        <v/>
      </c>
      <c r="AC498" s="9">
        <f>IF(H498="yes",AA498*N(N498)/100,0)</f>
        <v/>
      </c>
      <c r="AD498" s="9">
        <f>IF(H498="yes",AA498*N(O498)/100,0)</f>
        <v/>
      </c>
      <c r="AE498" s="10">
        <f>IF(P498="yes",AA498/1000,0)</f>
        <v/>
      </c>
      <c r="AF498" s="10">
        <f>IF(R498="FG2",AE498*W498,AE498)</f>
        <v/>
      </c>
    </row>
    <row r="499">
      <c r="A499" s="6" t="inlineStr">
        <is>
          <t>HM00497</t>
        </is>
      </c>
      <c r="B499" s="7" t="inlineStr">
        <is>
          <t>8712345128654</t>
        </is>
      </c>
      <c r="C499" s="6" t="inlineStr">
        <is>
          <t>MAYONNAISE 400G CASTELNA</t>
        </is>
      </c>
      <c r="D499" s="6" t="inlineStr">
        <is>
          <t>Mayonnaise, 400g</t>
        </is>
      </c>
      <c r="E499" s="6" t="inlineStr">
        <is>
          <t>Castelna</t>
        </is>
      </c>
      <c r="F499" s="6" t="inlineStr">
        <is>
          <t>Grocery</t>
        </is>
      </c>
      <c r="G499" s="6" t="inlineStr">
        <is>
          <t>Condiments</t>
        </is>
      </c>
      <c r="H499" s="6" t="inlineStr">
        <is>
          <t>yes</t>
        </is>
      </c>
      <c r="I499" s="6" t="inlineStr">
        <is>
          <t>Animal core</t>
        </is>
      </c>
      <c r="J499" s="6" t="inlineStr">
        <is>
          <t>B</t>
        </is>
      </c>
      <c r="K499" s="6" t="inlineStr">
        <is>
          <t>Follows the class</t>
        </is>
      </c>
      <c r="L499" s="6" t="n">
        <v>1.2</v>
      </c>
      <c r="M499" s="6" t="inlineStr">
        <is>
          <t>Declared by the retailer</t>
        </is>
      </c>
      <c r="N499" s="6" t="n">
        <v>0</v>
      </c>
      <c r="O499" s="6" t="n">
        <v>1.2</v>
      </c>
      <c r="P499" s="6" t="inlineStr">
        <is>
          <t>no</t>
        </is>
      </c>
      <c r="Q499" s="6" t="n"/>
      <c r="R499" s="6" t="n"/>
      <c r="S499" s="6" t="n"/>
      <c r="T499" s="6" t="n"/>
      <c r="U499" s="6" t="n"/>
      <c r="V499" s="6" t="inlineStr">
        <is>
          <t>condiment</t>
        </is>
      </c>
      <c r="W499" s="6" t="n">
        <v>1</v>
      </c>
      <c r="X499" s="6" t="n">
        <v>0.4</v>
      </c>
      <c r="Y499" s="6" t="inlineStr">
        <is>
          <t>declared</t>
        </is>
      </c>
      <c r="Z499" s="8" t="n">
        <v>36799</v>
      </c>
      <c r="AA499" s="9">
        <f>IF(H499="yes",Z499*X499,0)</f>
        <v/>
      </c>
      <c r="AB499" s="9">
        <f>IF(H499="yes",AA499*N(L499)/100,0)</f>
        <v/>
      </c>
      <c r="AC499" s="9">
        <f>IF(H499="yes",AA499*N(N499)/100,0)</f>
        <v/>
      </c>
      <c r="AD499" s="9">
        <f>IF(H499="yes",AA499*N(O499)/100,0)</f>
        <v/>
      </c>
      <c r="AE499" s="10">
        <f>IF(P499="yes",AA499/1000,0)</f>
        <v/>
      </c>
      <c r="AF499" s="10">
        <f>IF(R499="FG2",AE499*W499,AE499)</f>
        <v/>
      </c>
    </row>
    <row r="500">
      <c r="A500" s="6" t="inlineStr">
        <is>
          <t>HM00498</t>
        </is>
      </c>
      <c r="B500" s="7" t="inlineStr">
        <is>
          <t>8712345582104</t>
        </is>
      </c>
      <c r="C500" s="6" t="inlineStr">
        <is>
          <t>HM FETA 250G</t>
        </is>
      </c>
      <c r="D500" s="6" t="inlineStr">
        <is>
          <t>Feta, 250g</t>
        </is>
      </c>
      <c r="E500" s="6" t="inlineStr">
        <is>
          <t>Harbour Market</t>
        </is>
      </c>
      <c r="F500" s="6" t="inlineStr">
        <is>
          <t>Cheese</t>
        </is>
      </c>
      <c r="G500" s="6" t="inlineStr">
        <is>
          <t>Soft Cheese</t>
        </is>
      </c>
      <c r="H500" s="6" t="inlineStr">
        <is>
          <t>yes</t>
        </is>
      </c>
      <c r="I500" s="6" t="inlineStr">
        <is>
          <t>Animal core</t>
        </is>
      </c>
      <c r="J500" s="6" t="inlineStr">
        <is>
          <t>B</t>
        </is>
      </c>
      <c r="K500" s="6" t="inlineStr">
        <is>
          <t>Follows the class</t>
        </is>
      </c>
      <c r="L500" s="6" t="n">
        <v>16.4</v>
      </c>
      <c r="M500" s="6" t="inlineStr">
        <is>
          <t>Declared by the retailer</t>
        </is>
      </c>
      <c r="N500" s="6" t="n">
        <v>0</v>
      </c>
      <c r="O500" s="6" t="n">
        <v>16.4</v>
      </c>
      <c r="P500" s="6" t="inlineStr">
        <is>
          <t>yes</t>
        </is>
      </c>
      <c r="Q500" s="6" t="inlineStr">
        <is>
          <t>whole</t>
        </is>
      </c>
      <c r="R500" s="6" t="inlineStr">
        <is>
          <t>FG2</t>
        </is>
      </c>
      <c r="S500" s="6" t="inlineStr">
        <is>
          <t>dairy</t>
        </is>
      </c>
      <c r="T500" s="6" t="inlineStr">
        <is>
          <t>animal</t>
        </is>
      </c>
      <c r="U500" s="6" t="n"/>
      <c r="V500" s="6" t="n"/>
      <c r="W500" s="6" t="n">
        <v>10</v>
      </c>
      <c r="X500" s="6" t="n">
        <v>0.25</v>
      </c>
      <c r="Y500" s="6" t="inlineStr">
        <is>
          <t>declared</t>
        </is>
      </c>
      <c r="Z500" s="8" t="n">
        <v>67356</v>
      </c>
      <c r="AA500" s="9">
        <f>IF(H500="yes",Z500*X500,0)</f>
        <v/>
      </c>
      <c r="AB500" s="9">
        <f>IF(H500="yes",AA500*N(L500)/100,0)</f>
        <v/>
      </c>
      <c r="AC500" s="9">
        <f>IF(H500="yes",AA500*N(N500)/100,0)</f>
        <v/>
      </c>
      <c r="AD500" s="9">
        <f>IF(H500="yes",AA500*N(O500)/100,0)</f>
        <v/>
      </c>
      <c r="AE500" s="10">
        <f>IF(P500="yes",AA500/1000,0)</f>
        <v/>
      </c>
      <c r="AF500" s="10">
        <f>IF(R500="FG2",AE500*W500,AE500)</f>
        <v/>
      </c>
    </row>
    <row r="501">
      <c r="A501" s="6" t="inlineStr">
        <is>
          <t>HM00499</t>
        </is>
      </c>
      <c r="B501" s="7" t="inlineStr">
        <is>
          <t>4012345375947</t>
        </is>
      </c>
      <c r="C501" s="6" t="inlineStr">
        <is>
          <t>PENROCK TORTILLA CHIPS 200G</t>
        </is>
      </c>
      <c r="D501" s="6" t="inlineStr">
        <is>
          <t>Tortilla chips, 200g</t>
        </is>
      </c>
      <c r="E501" s="6" t="inlineStr">
        <is>
          <t>Penrock</t>
        </is>
      </c>
      <c r="F501" s="6" t="inlineStr">
        <is>
          <t>Breakfast &amp; Snacks</t>
        </is>
      </c>
      <c r="G501" s="6" t="inlineStr">
        <is>
          <t>Crisps</t>
        </is>
      </c>
      <c r="H501" s="6" t="inlineStr">
        <is>
          <t>yes</t>
        </is>
      </c>
      <c r="I501" s="6" t="inlineStr">
        <is>
          <t>Plant-based non-core</t>
        </is>
      </c>
      <c r="J501" s="6" t="inlineStr">
        <is>
          <t>B</t>
        </is>
      </c>
      <c r="K501" s="6" t="inlineStr">
        <is>
          <t>Follows the class</t>
        </is>
      </c>
      <c r="L501" s="6" t="n">
        <v>6.8</v>
      </c>
      <c r="M501" s="6" t="inlineStr">
        <is>
          <t>Declared by the retailer</t>
        </is>
      </c>
      <c r="N501" s="6" t="n">
        <v>6.8</v>
      </c>
      <c r="O501" s="6" t="n">
        <v>0</v>
      </c>
      <c r="P501" s="6" t="inlineStr">
        <is>
          <t>yes</t>
        </is>
      </c>
      <c r="Q501" s="6" t="inlineStr">
        <is>
          <t>whole</t>
        </is>
      </c>
      <c r="R501" s="6" t="inlineStr">
        <is>
          <t>FG7</t>
        </is>
      </c>
      <c r="S501" s="6" t="n"/>
      <c r="T501" s="6" t="inlineStr">
        <is>
          <t>plant</t>
        </is>
      </c>
      <c r="U501" s="6" t="n"/>
      <c r="V501" s="6" t="n"/>
      <c r="W501" s="6" t="n">
        <v>1</v>
      </c>
      <c r="X501" s="6" t="n">
        <v>0.2</v>
      </c>
      <c r="Y501" s="6" t="inlineStr">
        <is>
          <t>declared</t>
        </is>
      </c>
      <c r="Z501" s="8" t="n">
        <v>114904</v>
      </c>
      <c r="AA501" s="9">
        <f>IF(H501="yes",Z501*X501,0)</f>
        <v/>
      </c>
      <c r="AB501" s="9">
        <f>IF(H501="yes",AA501*N(L501)/100,0)</f>
        <v/>
      </c>
      <c r="AC501" s="9">
        <f>IF(H501="yes",AA501*N(N501)/100,0)</f>
        <v/>
      </c>
      <c r="AD501" s="9">
        <f>IF(H501="yes",AA501*N(O501)/100,0)</f>
        <v/>
      </c>
      <c r="AE501" s="10">
        <f>IF(P501="yes",AA501/1000,0)</f>
        <v/>
      </c>
      <c r="AF501" s="10">
        <f>IF(R501="FG2",AE501*W501,AE501)</f>
        <v/>
      </c>
    </row>
    <row r="502">
      <c r="A502" s="6" t="inlineStr">
        <is>
          <t>HM00500</t>
        </is>
      </c>
      <c r="B502" s="7" t="inlineStr">
        <is>
          <t>5012345150703</t>
        </is>
      </c>
      <c r="C502" s="6" t="inlineStr">
        <is>
          <t>HM CLEMENTINES 1KG</t>
        </is>
      </c>
      <c r="D502" s="6" t="inlineStr">
        <is>
          <t>Clementines, 1kg</t>
        </is>
      </c>
      <c r="E502" s="6" t="inlineStr">
        <is>
          <t>Harbour Market</t>
        </is>
      </c>
      <c r="F502" s="6" t="inlineStr">
        <is>
          <t>Fruit &amp; Vegetables</t>
        </is>
      </c>
      <c r="G502" s="6" t="inlineStr">
        <is>
          <t>Fruit</t>
        </is>
      </c>
      <c r="H502" s="6" t="inlineStr">
        <is>
          <t>yes</t>
        </is>
      </c>
      <c r="I502" s="6" t="inlineStr">
        <is>
          <t>Plant-based non-core</t>
        </is>
      </c>
      <c r="J502" s="6" t="inlineStr">
        <is>
          <t>B</t>
        </is>
      </c>
      <c r="K502" s="6" t="inlineStr">
        <is>
          <t>Follows the class</t>
        </is>
      </c>
      <c r="L502" s="6" t="n">
        <v>0.76</v>
      </c>
      <c r="M502" s="6" t="inlineStr">
        <is>
          <t>Name match (CIQUAL / NEVO)</t>
        </is>
      </c>
      <c r="N502" s="6" t="n">
        <v>0.76</v>
      </c>
      <c r="O502" s="6" t="n">
        <v>0</v>
      </c>
      <c r="P502" s="6" t="inlineStr">
        <is>
          <t>yes</t>
        </is>
      </c>
      <c r="Q502" s="6" t="inlineStr">
        <is>
          <t>whole</t>
        </is>
      </c>
      <c r="R502" s="6" t="inlineStr">
        <is>
          <t>FG4</t>
        </is>
      </c>
      <c r="S502" s="6" t="n"/>
      <c r="T502" s="6" t="inlineStr">
        <is>
          <t>plant</t>
        </is>
      </c>
      <c r="U502" s="6" t="n"/>
      <c r="V502" s="6" t="n"/>
      <c r="W502" s="6" t="n">
        <v>1</v>
      </c>
      <c r="X502" s="6" t="n">
        <v>1</v>
      </c>
      <c r="Y502" s="6" t="inlineStr">
        <is>
          <t>declared</t>
        </is>
      </c>
      <c r="Z502" s="8" t="n">
        <v>44311</v>
      </c>
      <c r="AA502" s="9">
        <f>IF(H502="yes",Z502*X502,0)</f>
        <v/>
      </c>
      <c r="AB502" s="9">
        <f>IF(H502="yes",AA502*N(L502)/100,0)</f>
        <v/>
      </c>
      <c r="AC502" s="9">
        <f>IF(H502="yes",AA502*N(N502)/100,0)</f>
        <v/>
      </c>
      <c r="AD502" s="9">
        <f>IF(H502="yes",AA502*N(O502)/100,0)</f>
        <v/>
      </c>
      <c r="AE502" s="10">
        <f>IF(P502="yes",AA502/1000,0)</f>
        <v/>
      </c>
      <c r="AF502" s="10">
        <f>IF(R502="FG2",AE502*W502,AE502)</f>
        <v/>
      </c>
    </row>
    <row r="503">
      <c r="A503" s="6" t="inlineStr">
        <is>
          <t>HM00501</t>
        </is>
      </c>
      <c r="B503" s="7" t="inlineStr">
        <is>
          <t>4012345026191</t>
        </is>
      </c>
      <c r="C503" s="6" t="inlineStr">
        <is>
          <t>SPAGHETTI 1KG ORVALIS</t>
        </is>
      </c>
      <c r="D503" s="6" t="inlineStr">
        <is>
          <t>Spaghetti, 1kg</t>
        </is>
      </c>
      <c r="E503" s="6" t="inlineStr">
        <is>
          <t>Orvalis</t>
        </is>
      </c>
      <c r="F503" s="6" t="inlineStr">
        <is>
          <t>Grocery</t>
        </is>
      </c>
      <c r="G503" s="6" t="inlineStr">
        <is>
          <t>Pasta</t>
        </is>
      </c>
      <c r="H503" s="6" t="inlineStr">
        <is>
          <t>yes</t>
        </is>
      </c>
      <c r="I503" s="6" t="inlineStr">
        <is>
          <t>Plant-based non-core</t>
        </is>
      </c>
      <c r="J503" s="6" t="inlineStr">
        <is>
          <t>B</t>
        </is>
      </c>
      <c r="K503" s="6" t="inlineStr">
        <is>
          <t>Follows the class</t>
        </is>
      </c>
      <c r="L503" s="6" t="n">
        <v>12.6</v>
      </c>
      <c r="M503" s="6" t="inlineStr">
        <is>
          <t>Open Food Facts, by EAN</t>
        </is>
      </c>
      <c r="N503" s="6" t="n">
        <v>12.6</v>
      </c>
      <c r="O503" s="6" t="n">
        <v>0</v>
      </c>
      <c r="P503" s="6" t="inlineStr">
        <is>
          <t>yes</t>
        </is>
      </c>
      <c r="Q503" s="6" t="inlineStr">
        <is>
          <t>whole</t>
        </is>
      </c>
      <c r="R503" s="6" t="inlineStr">
        <is>
          <t>FG5</t>
        </is>
      </c>
      <c r="S503" s="6" t="inlineStr">
        <is>
          <t>refined grain</t>
        </is>
      </c>
      <c r="T503" s="6" t="inlineStr">
        <is>
          <t>plant</t>
        </is>
      </c>
      <c r="U503" s="6" t="n"/>
      <c r="V503" s="6" t="n"/>
      <c r="W503" s="6" t="n">
        <v>1</v>
      </c>
      <c r="X503" s="6" t="n">
        <v>1</v>
      </c>
      <c r="Y503" s="6" t="inlineStr">
        <is>
          <t>declared</t>
        </is>
      </c>
      <c r="Z503" s="8" t="n">
        <v>68449</v>
      </c>
      <c r="AA503" s="9">
        <f>IF(H503="yes",Z503*X503,0)</f>
        <v/>
      </c>
      <c r="AB503" s="9">
        <f>IF(H503="yes",AA503*N(L503)/100,0)</f>
        <v/>
      </c>
      <c r="AC503" s="9">
        <f>IF(H503="yes",AA503*N(N503)/100,0)</f>
        <v/>
      </c>
      <c r="AD503" s="9">
        <f>IF(H503="yes",AA503*N(O503)/100,0)</f>
        <v/>
      </c>
      <c r="AE503" s="10">
        <f>IF(P503="yes",AA503/1000,0)</f>
        <v/>
      </c>
      <c r="AF503" s="10">
        <f>IF(R503="FG2",AE503*W503,AE503)</f>
        <v/>
      </c>
    </row>
    <row r="504">
      <c r="A504" s="6" t="inlineStr">
        <is>
          <t>HM00502</t>
        </is>
      </c>
      <c r="B504" s="7" t="inlineStr">
        <is>
          <t>5012345504254</t>
        </is>
      </c>
      <c r="C504" s="6" t="inlineStr">
        <is>
          <t>CUSTOMER ORDER 0042</t>
        </is>
      </c>
      <c r="D504" s="6" t="inlineStr">
        <is>
          <t>Customer order</t>
        </is>
      </c>
      <c r="E504" s="6" t="inlineStr">
        <is>
          <t>Harbour Market</t>
        </is>
      </c>
      <c r="F504" s="6" t="inlineStr">
        <is>
          <t>Household</t>
        </is>
      </c>
      <c r="G504" s="6" t="inlineStr">
        <is>
          <t>Household</t>
        </is>
      </c>
      <c r="H504" s="6" t="inlineStr">
        <is>
          <t>no</t>
        </is>
      </c>
      <c r="I504" s="6" t="n"/>
      <c r="J504" s="6" t="n"/>
      <c r="K504" s="6" t="n"/>
      <c r="L504" s="6" t="n"/>
      <c r="M504" s="6" t="n"/>
      <c r="N504" s="6" t="n"/>
      <c r="O504" s="6" t="n"/>
      <c r="P504" s="6" t="inlineStr">
        <is>
          <t>no</t>
        </is>
      </c>
      <c r="Q504" s="6" t="n"/>
      <c r="R504" s="6" t="n"/>
      <c r="S504" s="6" t="n"/>
      <c r="T504" s="6" t="n"/>
      <c r="U504" s="6" t="n"/>
      <c r="V504" s="6" t="n"/>
      <c r="W504" s="6" t="n">
        <v>1</v>
      </c>
      <c r="X504" s="6" t="n">
        <v>0.3</v>
      </c>
      <c r="Y504" s="6" t="inlineStr">
        <is>
          <t>declared</t>
        </is>
      </c>
      <c r="Z504" s="8" t="n">
        <v>43598</v>
      </c>
      <c r="AA504" s="9">
        <f>IF(H504="yes",Z504*X504,0)</f>
        <v/>
      </c>
      <c r="AB504" s="9">
        <f>IF(H504="yes",AA504*N(L504)/100,0)</f>
        <v/>
      </c>
      <c r="AC504" s="9">
        <f>IF(H504="yes",AA504*N(N504)/100,0)</f>
        <v/>
      </c>
      <c r="AD504" s="9">
        <f>IF(H504="yes",AA504*N(O504)/100,0)</f>
        <v/>
      </c>
      <c r="AE504" s="10">
        <f>IF(P504="yes",AA504/1000,0)</f>
        <v/>
      </c>
      <c r="AF504" s="10">
        <f>IF(R504="FG2",AE504*W504,AE504)</f>
        <v/>
      </c>
    </row>
    <row r="505">
      <c r="A505" s="6" t="inlineStr">
        <is>
          <t>HM00503</t>
        </is>
      </c>
      <c r="B505" s="7" t="inlineStr">
        <is>
          <t>5012345420912</t>
        </is>
      </c>
      <c r="C505" s="6" t="inlineStr">
        <is>
          <t>VICTORIA SPONGE 6PK 300G BRAMBLECOTE</t>
        </is>
      </c>
      <c r="D505" s="6" t="inlineStr">
        <is>
          <t>Victoria sponge cake, 6pk 300g</t>
        </is>
      </c>
      <c r="E505" s="6" t="inlineStr">
        <is>
          <t>Bramblecote</t>
        </is>
      </c>
      <c r="F505" s="6" t="inlineStr">
        <is>
          <t>Bakery</t>
        </is>
      </c>
      <c r="G505" s="6" t="inlineStr">
        <is>
          <t>Cakes</t>
        </is>
      </c>
      <c r="H505" s="6" t="inlineStr">
        <is>
          <t>yes</t>
        </is>
      </c>
      <c r="I505" s="6" t="inlineStr">
        <is>
          <t>Animal &amp; plant composite</t>
        </is>
      </c>
      <c r="J505" s="6" t="inlineStr">
        <is>
          <t>B</t>
        </is>
      </c>
      <c r="K505" s="6" t="inlineStr">
        <is>
          <t>50/50 convention</t>
        </is>
      </c>
      <c r="L505" s="6" t="n">
        <v>4.8</v>
      </c>
      <c r="M505" s="6" t="inlineStr">
        <is>
          <t>Open Food Facts, by EAN</t>
        </is>
      </c>
      <c r="N505" s="6" t="n">
        <v>2.4</v>
      </c>
      <c r="O505" s="6" t="n">
        <v>2.4</v>
      </c>
      <c r="P505" s="6" t="inlineStr">
        <is>
          <t>yes</t>
        </is>
      </c>
      <c r="Q505" s="6" t="inlineStr">
        <is>
          <t>whole</t>
        </is>
      </c>
      <c r="R505" s="6" t="inlineStr">
        <is>
          <t>FG7</t>
        </is>
      </c>
      <c r="S505" s="6" t="n"/>
      <c r="T505" s="6" t="inlineStr">
        <is>
          <t>plant</t>
        </is>
      </c>
      <c r="U505" s="6" t="n"/>
      <c r="V505" s="6" t="n"/>
      <c r="W505" s="6" t="n">
        <v>1</v>
      </c>
      <c r="X505" s="6" t="n">
        <v>0.3</v>
      </c>
      <c r="Y505" s="6" t="inlineStr">
        <is>
          <t>declared</t>
        </is>
      </c>
      <c r="Z505" s="8" t="n">
        <v>13074</v>
      </c>
      <c r="AA505" s="9">
        <f>IF(H505="yes",Z505*X505,0)</f>
        <v/>
      </c>
      <c r="AB505" s="9">
        <f>IF(H505="yes",AA505*N(L505)/100,0)</f>
        <v/>
      </c>
      <c r="AC505" s="9">
        <f>IF(H505="yes",AA505*N(N505)/100,0)</f>
        <v/>
      </c>
      <c r="AD505" s="9">
        <f>IF(H505="yes",AA505*N(O505)/100,0)</f>
        <v/>
      </c>
      <c r="AE505" s="10">
        <f>IF(P505="yes",AA505/1000,0)</f>
        <v/>
      </c>
      <c r="AF505" s="10">
        <f>IF(R505="FG2",AE505*W505,AE505)</f>
        <v/>
      </c>
    </row>
    <row r="506">
      <c r="A506" s="6" t="inlineStr">
        <is>
          <t>HM00504</t>
        </is>
      </c>
      <c r="B506" s="7" t="inlineStr">
        <is>
          <t>5012345982908</t>
        </is>
      </c>
      <c r="C506" s="6" t="inlineStr">
        <is>
          <t>FJELDA NAT YOG 1KG</t>
        </is>
      </c>
      <c r="D506" s="6" t="inlineStr">
        <is>
          <t>Natural yoghurt, 1kg</t>
        </is>
      </c>
      <c r="E506" s="6" t="inlineStr">
        <is>
          <t>Fjelda</t>
        </is>
      </c>
      <c r="F506" s="6" t="inlineStr">
        <is>
          <t>Dairy &amp; Eggs</t>
        </is>
      </c>
      <c r="G506" s="6" t="inlineStr">
        <is>
          <t>Yoghurt</t>
        </is>
      </c>
      <c r="H506" s="6" t="inlineStr">
        <is>
          <t>yes</t>
        </is>
      </c>
      <c r="I506" s="6" t="inlineStr">
        <is>
          <t>Animal core</t>
        </is>
      </c>
      <c r="J506" s="6" t="inlineStr">
        <is>
          <t>A</t>
        </is>
      </c>
      <c r="K506" s="6" t="inlineStr">
        <is>
          <t>All ingredients on one side</t>
        </is>
      </c>
      <c r="L506" s="6" t="n">
        <v>4.4</v>
      </c>
      <c r="M506" s="6" t="inlineStr">
        <is>
          <t>Altera reference base</t>
        </is>
      </c>
      <c r="N506" s="6" t="n">
        <v>0</v>
      </c>
      <c r="O506" s="6" t="n">
        <v>4.4</v>
      </c>
      <c r="P506" s="6" t="inlineStr">
        <is>
          <t>yes</t>
        </is>
      </c>
      <c r="Q506" s="6" t="inlineStr">
        <is>
          <t>whole</t>
        </is>
      </c>
      <c r="R506" s="6" t="inlineStr">
        <is>
          <t>FG2</t>
        </is>
      </c>
      <c r="S506" s="6" t="inlineStr">
        <is>
          <t>dairy</t>
        </is>
      </c>
      <c r="T506" s="6" t="inlineStr">
        <is>
          <t>animal</t>
        </is>
      </c>
      <c r="U506" s="6" t="n"/>
      <c r="V506" s="6" t="n"/>
      <c r="W506" s="6" t="n">
        <v>1</v>
      </c>
      <c r="X506" s="6" t="n">
        <v>1</v>
      </c>
      <c r="Y506" s="6" t="inlineStr">
        <is>
          <t>declared</t>
        </is>
      </c>
      <c r="Z506" s="8" t="n">
        <v>8802</v>
      </c>
      <c r="AA506" s="9">
        <f>IF(H506="yes",Z506*X506,0)</f>
        <v/>
      </c>
      <c r="AB506" s="9">
        <f>IF(H506="yes",AA506*N(L506)/100,0)</f>
        <v/>
      </c>
      <c r="AC506" s="9">
        <f>IF(H506="yes",AA506*N(N506)/100,0)</f>
        <v/>
      </c>
      <c r="AD506" s="9">
        <f>IF(H506="yes",AA506*N(O506)/100,0)</f>
        <v/>
      </c>
      <c r="AE506" s="10">
        <f>IF(P506="yes",AA506/1000,0)</f>
        <v/>
      </c>
      <c r="AF506" s="10">
        <f>IF(R506="FG2",AE506*W506,AE506)</f>
        <v/>
      </c>
    </row>
    <row r="507">
      <c r="A507" s="6" t="inlineStr">
        <is>
          <t>HM00505</t>
        </is>
      </c>
      <c r="B507" s="7" t="inlineStr">
        <is>
          <t>4012345664935</t>
        </is>
      </c>
      <c r="C507" s="6" t="inlineStr">
        <is>
          <t>VEG CURRY RICE 400G QUILLAN</t>
        </is>
      </c>
      <c r="D507" s="6" t="inlineStr">
        <is>
          <t>Vegetable curry with rice, 400g</t>
        </is>
      </c>
      <c r="E507" s="6" t="inlineStr">
        <is>
          <t>Quillan</t>
        </is>
      </c>
      <c r="F507" s="6" t="inlineStr">
        <is>
          <t>Ready Meals</t>
        </is>
      </c>
      <c r="G507" s="6" t="inlineStr">
        <is>
          <t>Ready Meals</t>
        </is>
      </c>
      <c r="H507" s="6" t="inlineStr">
        <is>
          <t>yes</t>
        </is>
      </c>
      <c r="I507" s="6" t="inlineStr">
        <is>
          <t>Plant-based non-core</t>
        </is>
      </c>
      <c r="J507" s="6" t="inlineStr">
        <is>
          <t>A</t>
        </is>
      </c>
      <c r="K507" s="6" t="inlineStr">
        <is>
          <t>All ingredients on one side</t>
        </is>
      </c>
      <c r="L507" s="6" t="n">
        <v>4.2</v>
      </c>
      <c r="M507" s="6" t="inlineStr">
        <is>
          <t>Declared by the retailer</t>
        </is>
      </c>
      <c r="N507" s="6" t="n">
        <v>4.2</v>
      </c>
      <c r="O507" s="6" t="n">
        <v>0</v>
      </c>
      <c r="P507" s="6" t="inlineStr">
        <is>
          <t>yes</t>
        </is>
      </c>
      <c r="Q507" s="6" t="inlineStr">
        <is>
          <t>composite</t>
        </is>
      </c>
      <c r="R507" s="6" t="n"/>
      <c r="S507" s="6" t="n"/>
      <c r="T507" s="6" t="n"/>
      <c r="U507" s="6" t="inlineStr">
        <is>
          <t>vegan</t>
        </is>
      </c>
      <c r="V507" s="6" t="n"/>
      <c r="W507" s="6" t="n">
        <v>1</v>
      </c>
      <c r="X507" s="6" t="n">
        <v>0.4</v>
      </c>
      <c r="Y507" s="6" t="inlineStr">
        <is>
          <t>declared</t>
        </is>
      </c>
      <c r="Z507" s="8" t="n">
        <v>12804</v>
      </c>
      <c r="AA507" s="9">
        <f>IF(H507="yes",Z507*X507,0)</f>
        <v/>
      </c>
      <c r="AB507" s="9">
        <f>IF(H507="yes",AA507*N(L507)/100,0)</f>
        <v/>
      </c>
      <c r="AC507" s="9">
        <f>IF(H507="yes",AA507*N(N507)/100,0)</f>
        <v/>
      </c>
      <c r="AD507" s="9">
        <f>IF(H507="yes",AA507*N(O507)/100,0)</f>
        <v/>
      </c>
      <c r="AE507" s="10">
        <f>IF(P507="yes",AA507/1000,0)</f>
        <v/>
      </c>
      <c r="AF507" s="10">
        <f>IF(R507="FG2",AE507*W507,AE507)</f>
        <v/>
      </c>
    </row>
    <row r="508">
      <c r="A508" s="6" t="inlineStr">
        <is>
          <t>HM00506</t>
        </is>
      </c>
      <c r="B508" s="7" t="inlineStr">
        <is>
          <t>8712345411404</t>
        </is>
      </c>
      <c r="C508" s="6" t="inlineStr">
        <is>
          <t>HM COOKED MUSSELS 225G</t>
        </is>
      </c>
      <c r="D508" s="6" t="inlineStr">
        <is>
          <t>Cooked mussels, 225g</t>
        </is>
      </c>
      <c r="E508" s="6" t="inlineStr">
        <is>
          <t>Harbour Market</t>
        </is>
      </c>
      <c r="F508" s="6" t="inlineStr">
        <is>
          <t>Fish &amp; Seafood</t>
        </is>
      </c>
      <c r="G508" s="6" t="inlineStr">
        <is>
          <t>Shellfish</t>
        </is>
      </c>
      <c r="H508" s="6" t="inlineStr">
        <is>
          <t>yes</t>
        </is>
      </c>
      <c r="I508" s="6" t="inlineStr">
        <is>
          <t>Animal core</t>
        </is>
      </c>
      <c r="J508" s="6" t="inlineStr">
        <is>
          <t>B</t>
        </is>
      </c>
      <c r="K508" s="6" t="inlineStr">
        <is>
          <t>Follows the class</t>
        </is>
      </c>
      <c r="L508" s="6" t="n">
        <v>11.4</v>
      </c>
      <c r="M508" s="6" t="inlineStr">
        <is>
          <t>Altera reference base</t>
        </is>
      </c>
      <c r="N508" s="6" t="n">
        <v>0</v>
      </c>
      <c r="O508" s="6" t="n">
        <v>11.4</v>
      </c>
      <c r="P508" s="6" t="inlineStr">
        <is>
          <t>yes</t>
        </is>
      </c>
      <c r="Q508" s="6" t="inlineStr">
        <is>
          <t>whole</t>
        </is>
      </c>
      <c r="R508" s="6" t="inlineStr">
        <is>
          <t>FG1</t>
        </is>
      </c>
      <c r="S508" s="6" t="inlineStr">
        <is>
          <t>fish shellfish</t>
        </is>
      </c>
      <c r="T508" s="6" t="inlineStr">
        <is>
          <t>animal</t>
        </is>
      </c>
      <c r="U508" s="6" t="n"/>
      <c r="V508" s="6" t="n"/>
      <c r="W508" s="6" t="n">
        <v>1</v>
      </c>
      <c r="X508" s="6" t="n">
        <v>0.225</v>
      </c>
      <c r="Y508" s="6" t="inlineStr">
        <is>
          <t>declared</t>
        </is>
      </c>
      <c r="Z508" s="8" t="n">
        <v>105233</v>
      </c>
      <c r="AA508" s="9">
        <f>IF(H508="yes",Z508*X508,0)</f>
        <v/>
      </c>
      <c r="AB508" s="9">
        <f>IF(H508="yes",AA508*N(L508)/100,0)</f>
        <v/>
      </c>
      <c r="AC508" s="9">
        <f>IF(H508="yes",AA508*N(N508)/100,0)</f>
        <v/>
      </c>
      <c r="AD508" s="9">
        <f>IF(H508="yes",AA508*N(O508)/100,0)</f>
        <v/>
      </c>
      <c r="AE508" s="10">
        <f>IF(P508="yes",AA508/1000,0)</f>
        <v/>
      </c>
      <c r="AF508" s="10">
        <f>IF(R508="FG2",AE508*W508,AE508)</f>
        <v/>
      </c>
    </row>
    <row r="509">
      <c r="A509" s="6" t="inlineStr">
        <is>
          <t>HM00507</t>
        </is>
      </c>
      <c r="B509" s="7" t="inlineStr">
        <is>
          <t>3012345731263</t>
        </is>
      </c>
      <c r="C509" s="6" t="inlineStr">
        <is>
          <t>HM MIXED PEPPERS 300G</t>
        </is>
      </c>
      <c r="D509" s="6" t="inlineStr">
        <is>
          <t>Mixed peppers, 300g</t>
        </is>
      </c>
      <c r="E509" s="6" t="inlineStr">
        <is>
          <t>Harbour Market</t>
        </is>
      </c>
      <c r="F509" s="6" t="inlineStr">
        <is>
          <t>Fruit &amp; Vegetables</t>
        </is>
      </c>
      <c r="G509" s="6" t="inlineStr">
        <is>
          <t>Vegetables</t>
        </is>
      </c>
      <c r="H509" s="6" t="inlineStr">
        <is>
          <t>yes</t>
        </is>
      </c>
      <c r="I509" s="6" t="inlineStr">
        <is>
          <t>Plant-based non-core</t>
        </is>
      </c>
      <c r="J509" s="6" t="inlineStr">
        <is>
          <t>B</t>
        </is>
      </c>
      <c r="K509" s="6" t="inlineStr">
        <is>
          <t>Follows the class</t>
        </is>
      </c>
      <c r="L509" s="6" t="n">
        <v>0.88</v>
      </c>
      <c r="M509" s="6" t="inlineStr">
        <is>
          <t>Open Food Facts, by EAN</t>
        </is>
      </c>
      <c r="N509" s="6" t="n">
        <v>0.88</v>
      </c>
      <c r="O509" s="6" t="n">
        <v>0</v>
      </c>
      <c r="P509" s="6" t="inlineStr">
        <is>
          <t>yes</t>
        </is>
      </c>
      <c r="Q509" s="6" t="inlineStr">
        <is>
          <t>whole</t>
        </is>
      </c>
      <c r="R509" s="6" t="inlineStr">
        <is>
          <t>FG4</t>
        </is>
      </c>
      <c r="S509" s="6" t="n"/>
      <c r="T509" s="6" t="inlineStr">
        <is>
          <t>plant</t>
        </is>
      </c>
      <c r="U509" s="6" t="n"/>
      <c r="V509" s="6" t="n"/>
      <c r="W509" s="6" t="n">
        <v>1</v>
      </c>
      <c r="X509" s="6" t="n">
        <v>0.3</v>
      </c>
      <c r="Y509" s="6" t="inlineStr">
        <is>
          <t>declared</t>
        </is>
      </c>
      <c r="Z509" s="8" t="n">
        <v>53446</v>
      </c>
      <c r="AA509" s="9">
        <f>IF(H509="yes",Z509*X509,0)</f>
        <v/>
      </c>
      <c r="AB509" s="9">
        <f>IF(H509="yes",AA509*N(L509)/100,0)</f>
        <v/>
      </c>
      <c r="AC509" s="9">
        <f>IF(H509="yes",AA509*N(N509)/100,0)</f>
        <v/>
      </c>
      <c r="AD509" s="9">
        <f>IF(H509="yes",AA509*N(O509)/100,0)</f>
        <v/>
      </c>
      <c r="AE509" s="10">
        <f>IF(P509="yes",AA509/1000,0)</f>
        <v/>
      </c>
      <c r="AF509" s="10">
        <f>IF(R509="FG2",AE509*W509,AE509)</f>
        <v/>
      </c>
    </row>
    <row r="510">
      <c r="A510" s="6" t="inlineStr">
        <is>
          <t>HM00508</t>
        </is>
      </c>
      <c r="B510" s="7" t="inlineStr">
        <is>
          <t>2881811447670</t>
        </is>
      </c>
      <c r="C510" s="6" t="inlineStr">
        <is>
          <t>HM KIWI KG</t>
        </is>
      </c>
      <c r="D510" s="6" t="inlineStr">
        <is>
          <t>Kiwi fruit</t>
        </is>
      </c>
      <c r="E510" s="6" t="inlineStr">
        <is>
          <t>Harbour Market</t>
        </is>
      </c>
      <c r="F510" s="6" t="inlineStr">
        <is>
          <t>Fruit &amp; Vegetables</t>
        </is>
      </c>
      <c r="G510" s="6" t="inlineStr">
        <is>
          <t>Fruit</t>
        </is>
      </c>
      <c r="H510" s="6" t="inlineStr">
        <is>
          <t>yes</t>
        </is>
      </c>
      <c r="I510" s="6" t="inlineStr">
        <is>
          <t>Plant-based non-core</t>
        </is>
      </c>
      <c r="J510" s="6" t="inlineStr">
        <is>
          <t>B</t>
        </is>
      </c>
      <c r="K510" s="6" t="inlineStr">
        <is>
          <t>Follows the class</t>
        </is>
      </c>
      <c r="L510" s="6" t="n">
        <v>1.1</v>
      </c>
      <c r="M510" s="6" t="inlineStr">
        <is>
          <t>Median of the family</t>
        </is>
      </c>
      <c r="N510" s="6" t="n">
        <v>1.1</v>
      </c>
      <c r="O510" s="6" t="n">
        <v>0</v>
      </c>
      <c r="P510" s="6" t="inlineStr">
        <is>
          <t>yes</t>
        </is>
      </c>
      <c r="Q510" s="6" t="inlineStr">
        <is>
          <t>whole</t>
        </is>
      </c>
      <c r="R510" s="6" t="inlineStr">
        <is>
          <t>FG4</t>
        </is>
      </c>
      <c r="S510" s="6" t="n"/>
      <c r="T510" s="6" t="inlineStr">
        <is>
          <t>plant</t>
        </is>
      </c>
      <c r="U510" s="6" t="n"/>
      <c r="V510" s="6" t="n"/>
      <c r="W510" s="6" t="n">
        <v>1</v>
      </c>
      <c r="X510" s="6" t="n">
        <v>1</v>
      </c>
      <c r="Y510" s="6" t="inlineStr">
        <is>
          <t>variable</t>
        </is>
      </c>
      <c r="Z510" s="8" t="n">
        <v>35410</v>
      </c>
      <c r="AA510" s="9">
        <f>IF(H510="yes",Z510*X510,0)</f>
        <v/>
      </c>
      <c r="AB510" s="9">
        <f>IF(H510="yes",AA510*N(L510)/100,0)</f>
        <v/>
      </c>
      <c r="AC510" s="9">
        <f>IF(H510="yes",AA510*N(N510)/100,0)</f>
        <v/>
      </c>
      <c r="AD510" s="9">
        <f>IF(H510="yes",AA510*N(O510)/100,0)</f>
        <v/>
      </c>
      <c r="AE510" s="10">
        <f>IF(P510="yes",AA510/1000,0)</f>
        <v/>
      </c>
      <c r="AF510" s="10">
        <f>IF(R510="FG2",AE510*W510,AE510)</f>
        <v/>
      </c>
    </row>
    <row r="511">
      <c r="A511" s="6" t="inlineStr">
        <is>
          <t>HM00509</t>
        </is>
      </c>
      <c r="B511" s="7" t="inlineStr">
        <is>
          <t>3012345170307</t>
        </is>
      </c>
      <c r="C511" s="6" t="inlineStr">
        <is>
          <t>TUNA STEAK OLV OIL 125G KESTREL</t>
        </is>
      </c>
      <c r="D511" s="6" t="inlineStr">
        <is>
          <t>Tuna steak in olive oil, 125g</t>
        </is>
      </c>
      <c r="E511" s="6" t="inlineStr">
        <is>
          <t>Kestrel Bay</t>
        </is>
      </c>
      <c r="F511" s="6" t="inlineStr">
        <is>
          <t>Fish &amp; Seafood</t>
        </is>
      </c>
      <c r="G511" s="6" t="inlineStr">
        <is>
          <t>Canned Fish</t>
        </is>
      </c>
      <c r="H511" s="6" t="inlineStr">
        <is>
          <t>yes</t>
        </is>
      </c>
      <c r="I511" s="6" t="inlineStr">
        <is>
          <t>Animal core</t>
        </is>
      </c>
      <c r="J511" s="6" t="inlineStr">
        <is>
          <t>A</t>
        </is>
      </c>
      <c r="K511" s="6" t="inlineStr">
        <is>
          <t>All ingredients on one side</t>
        </is>
      </c>
      <c r="L511" s="6" t="n">
        <v>23.6</v>
      </c>
      <c r="M511" s="6" t="inlineStr">
        <is>
          <t>Median of the family</t>
        </is>
      </c>
      <c r="N511" s="6" t="n">
        <v>0</v>
      </c>
      <c r="O511" s="6" t="n">
        <v>23.6</v>
      </c>
      <c r="P511" s="6" t="inlineStr">
        <is>
          <t>yes</t>
        </is>
      </c>
      <c r="Q511" s="6" t="inlineStr">
        <is>
          <t>whole</t>
        </is>
      </c>
      <c r="R511" s="6" t="inlineStr">
        <is>
          <t>FG1</t>
        </is>
      </c>
      <c r="S511" s="6" t="inlineStr">
        <is>
          <t>fish shellfish</t>
        </is>
      </c>
      <c r="T511" s="6" t="inlineStr">
        <is>
          <t>animal</t>
        </is>
      </c>
      <c r="U511" s="6" t="n"/>
      <c r="V511" s="6" t="n"/>
      <c r="W511" s="6" t="n">
        <v>1</v>
      </c>
      <c r="X511" s="6" t="n">
        <v>0.125</v>
      </c>
      <c r="Y511" s="6" t="inlineStr">
        <is>
          <t>declared</t>
        </is>
      </c>
      <c r="Z511" s="8" t="n">
        <v>21114</v>
      </c>
      <c r="AA511" s="9">
        <f>IF(H511="yes",Z511*X511,0)</f>
        <v/>
      </c>
      <c r="AB511" s="9">
        <f>IF(H511="yes",AA511*N(L511)/100,0)</f>
        <v/>
      </c>
      <c r="AC511" s="9">
        <f>IF(H511="yes",AA511*N(N511)/100,0)</f>
        <v/>
      </c>
      <c r="AD511" s="9">
        <f>IF(H511="yes",AA511*N(O511)/100,0)</f>
        <v/>
      </c>
      <c r="AE511" s="10">
        <f>IF(P511="yes",AA511/1000,0)</f>
        <v/>
      </c>
      <c r="AF511" s="10">
        <f>IF(R511="FG2",AE511*W511,AE511)</f>
        <v/>
      </c>
    </row>
    <row r="512">
      <c r="A512" s="6" t="inlineStr">
        <is>
          <t>HM00510</t>
        </is>
      </c>
      <c r="B512" s="7" t="inlineStr">
        <is>
          <t>3012345395229</t>
        </is>
      </c>
      <c r="C512" s="6" t="inlineStr">
        <is>
          <t>KESTREL TUNA CHUNKS BRINE 3X145G</t>
        </is>
      </c>
      <c r="D512" s="6" t="inlineStr">
        <is>
          <t>Tuna chunks in brine, 3x145g</t>
        </is>
      </c>
      <c r="E512" s="6" t="inlineStr">
        <is>
          <t>Kestrel Bay</t>
        </is>
      </c>
      <c r="F512" s="6" t="inlineStr">
        <is>
          <t>Fish &amp; Seafood</t>
        </is>
      </c>
      <c r="G512" s="6" t="inlineStr">
        <is>
          <t>Canned Fish</t>
        </is>
      </c>
      <c r="H512" s="6" t="inlineStr">
        <is>
          <t>yes</t>
        </is>
      </c>
      <c r="I512" s="6" t="inlineStr">
        <is>
          <t>Animal core</t>
        </is>
      </c>
      <c r="J512" s="6" t="inlineStr">
        <is>
          <t>A</t>
        </is>
      </c>
      <c r="K512" s="6" t="inlineStr">
        <is>
          <t>All ingredients on one side</t>
        </is>
      </c>
      <c r="L512" s="6" t="n">
        <v>24.5</v>
      </c>
      <c r="M512" s="6" t="inlineStr">
        <is>
          <t>Open Food Facts, by EAN</t>
        </is>
      </c>
      <c r="N512" s="6" t="n">
        <v>0</v>
      </c>
      <c r="O512" s="6" t="n">
        <v>24.5</v>
      </c>
      <c r="P512" s="6" t="inlineStr">
        <is>
          <t>yes</t>
        </is>
      </c>
      <c r="Q512" s="6" t="inlineStr">
        <is>
          <t>whole</t>
        </is>
      </c>
      <c r="R512" s="6" t="inlineStr">
        <is>
          <t>FG1</t>
        </is>
      </c>
      <c r="S512" s="6" t="inlineStr">
        <is>
          <t>fish shellfish</t>
        </is>
      </c>
      <c r="T512" s="6" t="inlineStr">
        <is>
          <t>animal</t>
        </is>
      </c>
      <c r="U512" s="6" t="n"/>
      <c r="V512" s="6" t="n"/>
      <c r="W512" s="6" t="n">
        <v>1</v>
      </c>
      <c r="X512" s="6" t="n">
        <v>0.435</v>
      </c>
      <c r="Y512" s="6" t="inlineStr">
        <is>
          <t>declared</t>
        </is>
      </c>
      <c r="Z512" s="8" t="n">
        <v>19747</v>
      </c>
      <c r="AA512" s="9">
        <f>IF(H512="yes",Z512*X512,0)</f>
        <v/>
      </c>
      <c r="AB512" s="9">
        <f>IF(H512="yes",AA512*N(L512)/100,0)</f>
        <v/>
      </c>
      <c r="AC512" s="9">
        <f>IF(H512="yes",AA512*N(N512)/100,0)</f>
        <v/>
      </c>
      <c r="AD512" s="9">
        <f>IF(H512="yes",AA512*N(O512)/100,0)</f>
        <v/>
      </c>
      <c r="AE512" s="10">
        <f>IF(P512="yes",AA512/1000,0)</f>
        <v/>
      </c>
      <c r="AF512" s="10">
        <f>IF(R512="FG2",AE512*W512,AE512)</f>
        <v/>
      </c>
    </row>
    <row r="513">
      <c r="A513" s="6" t="inlineStr">
        <is>
          <t>HM00511</t>
        </is>
      </c>
      <c r="B513" s="7" t="inlineStr">
        <is>
          <t>8712345749774</t>
        </is>
      </c>
      <c r="C513" s="6" t="inlineStr">
        <is>
          <t>ALDERWICK MOZZARELLA 125G</t>
        </is>
      </c>
      <c r="D513" s="6" t="inlineStr">
        <is>
          <t>Mozzarella, 125g</t>
        </is>
      </c>
      <c r="E513" s="6" t="inlineStr">
        <is>
          <t>Alderwick</t>
        </is>
      </c>
      <c r="F513" s="6" t="inlineStr">
        <is>
          <t>Cheese</t>
        </is>
      </c>
      <c r="G513" s="6" t="inlineStr">
        <is>
          <t>Soft Cheese</t>
        </is>
      </c>
      <c r="H513" s="6" t="inlineStr">
        <is>
          <t>yes</t>
        </is>
      </c>
      <c r="I513" s="6" t="inlineStr">
        <is>
          <t>Animal core</t>
        </is>
      </c>
      <c r="J513" s="6" t="inlineStr">
        <is>
          <t>A</t>
        </is>
      </c>
      <c r="K513" s="6" t="inlineStr">
        <is>
          <t>All ingredients on one side</t>
        </is>
      </c>
      <c r="L513" s="6" t="n">
        <v>17.5</v>
      </c>
      <c r="M513" s="6" t="inlineStr">
        <is>
          <t>Declared by the retailer</t>
        </is>
      </c>
      <c r="N513" s="6" t="n">
        <v>0</v>
      </c>
      <c r="O513" s="6" t="n">
        <v>17.5</v>
      </c>
      <c r="P513" s="6" t="inlineStr">
        <is>
          <t>yes</t>
        </is>
      </c>
      <c r="Q513" s="6" t="inlineStr">
        <is>
          <t>whole</t>
        </is>
      </c>
      <c r="R513" s="6" t="inlineStr">
        <is>
          <t>FG2</t>
        </is>
      </c>
      <c r="S513" s="6" t="inlineStr">
        <is>
          <t>dairy</t>
        </is>
      </c>
      <c r="T513" s="6" t="inlineStr">
        <is>
          <t>animal</t>
        </is>
      </c>
      <c r="U513" s="6" t="n"/>
      <c r="V513" s="6" t="n"/>
      <c r="W513" s="6" t="n">
        <v>10</v>
      </c>
      <c r="X513" s="6" t="n">
        <v>0.125</v>
      </c>
      <c r="Y513" s="6" t="inlineStr">
        <is>
          <t>label</t>
        </is>
      </c>
      <c r="Z513" s="8" t="n">
        <v>32208</v>
      </c>
      <c r="AA513" s="9">
        <f>IF(H513="yes",Z513*X513,0)</f>
        <v/>
      </c>
      <c r="AB513" s="9">
        <f>IF(H513="yes",AA513*N(L513)/100,0)</f>
        <v/>
      </c>
      <c r="AC513" s="9">
        <f>IF(H513="yes",AA513*N(N513)/100,0)</f>
        <v/>
      </c>
      <c r="AD513" s="9">
        <f>IF(H513="yes",AA513*N(O513)/100,0)</f>
        <v/>
      </c>
      <c r="AE513" s="10">
        <f>IF(P513="yes",AA513/1000,0)</f>
        <v/>
      </c>
      <c r="AF513" s="10">
        <f>IF(R513="FG2",AE513*W513,AE513)</f>
        <v/>
      </c>
    </row>
    <row r="514">
      <c r="A514" s="6" t="inlineStr">
        <is>
          <t>HM00512</t>
        </is>
      </c>
      <c r="B514" s="7" t="inlineStr">
        <is>
          <t>3012345823173</t>
        </is>
      </c>
      <c r="C514" s="6" t="inlineStr">
        <is>
          <t>HM AA BATTERIES 2PK</t>
        </is>
      </c>
      <c r="D514" s="6" t="inlineStr">
        <is>
          <t>AA batteries, 2pk</t>
        </is>
      </c>
      <c r="E514" s="6" t="inlineStr">
        <is>
          <t>Harbour Market</t>
        </is>
      </c>
      <c r="F514" s="6" t="inlineStr">
        <is>
          <t>Household</t>
        </is>
      </c>
      <c r="G514" s="6" t="inlineStr">
        <is>
          <t>Household</t>
        </is>
      </c>
      <c r="H514" s="6" t="inlineStr">
        <is>
          <t>no</t>
        </is>
      </c>
      <c r="I514" s="6" t="n"/>
      <c r="J514" s="6" t="n"/>
      <c r="K514" s="6" t="n"/>
      <c r="L514" s="6" t="n"/>
      <c r="M514" s="6" t="n"/>
      <c r="N514" s="6" t="n"/>
      <c r="O514" s="6" t="n"/>
      <c r="P514" s="6" t="inlineStr">
        <is>
          <t>no</t>
        </is>
      </c>
      <c r="Q514" s="6" t="n"/>
      <c r="R514" s="6" t="n"/>
      <c r="S514" s="6" t="n"/>
      <c r="T514" s="6" t="n"/>
      <c r="U514" s="6" t="n"/>
      <c r="V514" s="6" t="n"/>
      <c r="W514" s="6" t="n">
        <v>1</v>
      </c>
      <c r="X514" s="6" t="n">
        <v>0.3</v>
      </c>
      <c r="Y514" s="6" t="inlineStr">
        <is>
          <t>declared</t>
        </is>
      </c>
      <c r="Z514" s="8" t="n">
        <v>12567</v>
      </c>
      <c r="AA514" s="9">
        <f>IF(H514="yes",Z514*X514,0)</f>
        <v/>
      </c>
      <c r="AB514" s="9">
        <f>IF(H514="yes",AA514*N(L514)/100,0)</f>
        <v/>
      </c>
      <c r="AC514" s="9">
        <f>IF(H514="yes",AA514*N(N514)/100,0)</f>
        <v/>
      </c>
      <c r="AD514" s="9">
        <f>IF(H514="yes",AA514*N(O514)/100,0)</f>
        <v/>
      </c>
      <c r="AE514" s="10">
        <f>IF(P514="yes",AA514/1000,0)</f>
        <v/>
      </c>
      <c r="AF514" s="10">
        <f>IF(R514="FG2",AE514*W514,AE514)</f>
        <v/>
      </c>
    </row>
    <row r="515">
      <c r="A515" s="6" t="inlineStr">
        <is>
          <t>HM00513</t>
        </is>
      </c>
      <c r="B515" s="7" t="inlineStr">
        <is>
          <t>5012345947273</t>
        </is>
      </c>
      <c r="C515" s="6" t="inlineStr">
        <is>
          <t>BRAMBLECOTE RYE BREAD 800G</t>
        </is>
      </c>
      <c r="D515" s="6" t="inlineStr">
        <is>
          <t>Rye bread, 800g</t>
        </is>
      </c>
      <c r="E515" s="6" t="inlineStr">
        <is>
          <t>Bramblecote</t>
        </is>
      </c>
      <c r="F515" s="6" t="inlineStr">
        <is>
          <t>Bakery</t>
        </is>
      </c>
      <c r="G515" s="6" t="inlineStr">
        <is>
          <t>Bread</t>
        </is>
      </c>
      <c r="H515" s="6" t="inlineStr">
        <is>
          <t>yes</t>
        </is>
      </c>
      <c r="I515" s="6" t="inlineStr">
        <is>
          <t>Plant-based non-core</t>
        </is>
      </c>
      <c r="J515" s="6" t="inlineStr">
        <is>
          <t>A</t>
        </is>
      </c>
      <c r="K515" s="6" t="inlineStr">
        <is>
          <t>All ingredients on one side</t>
        </is>
      </c>
      <c r="L515" s="6" t="n">
        <v>9.5</v>
      </c>
      <c r="M515" s="6" t="inlineStr">
        <is>
          <t>Declared by the retailer</t>
        </is>
      </c>
      <c r="N515" s="6" t="n">
        <v>9.5</v>
      </c>
      <c r="O515" s="6" t="n">
        <v>0</v>
      </c>
      <c r="P515" s="6" t="inlineStr">
        <is>
          <t>yes</t>
        </is>
      </c>
      <c r="Q515" s="6" t="inlineStr">
        <is>
          <t>whole</t>
        </is>
      </c>
      <c r="R515" s="6" t="inlineStr">
        <is>
          <t>FG5</t>
        </is>
      </c>
      <c r="S515" s="6" t="inlineStr">
        <is>
          <t>refined grain</t>
        </is>
      </c>
      <c r="T515" s="6" t="inlineStr">
        <is>
          <t>plant</t>
        </is>
      </c>
      <c r="U515" s="6" t="n"/>
      <c r="V515" s="6" t="n"/>
      <c r="W515" s="6" t="n">
        <v>1</v>
      </c>
      <c r="X515" s="6" t="n">
        <v>0.8</v>
      </c>
      <c r="Y515" s="6" t="inlineStr">
        <is>
          <t>declared</t>
        </is>
      </c>
      <c r="Z515" s="8" t="n">
        <v>103105</v>
      </c>
      <c r="AA515" s="9">
        <f>IF(H515="yes",Z515*X515,0)</f>
        <v/>
      </c>
      <c r="AB515" s="9">
        <f>IF(H515="yes",AA515*N(L515)/100,0)</f>
        <v/>
      </c>
      <c r="AC515" s="9">
        <f>IF(H515="yes",AA515*N(N515)/100,0)</f>
        <v/>
      </c>
      <c r="AD515" s="9">
        <f>IF(H515="yes",AA515*N(O515)/100,0)</f>
        <v/>
      </c>
      <c r="AE515" s="10">
        <f>IF(P515="yes",AA515/1000,0)</f>
        <v/>
      </c>
      <c r="AF515" s="10">
        <f>IF(R515="FG2",AE515*W515,AE515)</f>
        <v/>
      </c>
    </row>
    <row r="516">
      <c r="A516" s="6" t="inlineStr">
        <is>
          <t>HM00514</t>
        </is>
      </c>
      <c r="B516" s="7" t="inlineStr">
        <is>
          <t>4012345586077</t>
        </is>
      </c>
      <c r="C516" s="6" t="inlineStr">
        <is>
          <t>MILK CHOC DIGESTIVES 400G BRAMBLECOTE</t>
        </is>
      </c>
      <c r="D516" s="6" t="inlineStr">
        <is>
          <t>Milk chocolate digestives, 400g</t>
        </is>
      </c>
      <c r="E516" s="6" t="inlineStr">
        <is>
          <t>Bramblecote</t>
        </is>
      </c>
      <c r="F516" s="6" t="inlineStr">
        <is>
          <t>Breakfast &amp; Snacks</t>
        </is>
      </c>
      <c r="G516" s="6" t="inlineStr">
        <is>
          <t>Biscuits</t>
        </is>
      </c>
      <c r="H516" s="6" t="inlineStr">
        <is>
          <t>yes</t>
        </is>
      </c>
      <c r="I516" s="6" t="inlineStr">
        <is>
          <t>Animal &amp; plant composite</t>
        </is>
      </c>
      <c r="J516" s="6" t="inlineStr">
        <is>
          <t>B</t>
        </is>
      </c>
      <c r="K516" s="6" t="inlineStr">
        <is>
          <t>50/50 convention</t>
        </is>
      </c>
      <c r="L516" s="6" t="n">
        <v>6.5</v>
      </c>
      <c r="M516" s="6" t="inlineStr">
        <is>
          <t>Declared by the retailer</t>
        </is>
      </c>
      <c r="N516" s="6" t="n">
        <v>3.25</v>
      </c>
      <c r="O516" s="6" t="n">
        <v>3.25</v>
      </c>
      <c r="P516" s="6" t="inlineStr">
        <is>
          <t>yes</t>
        </is>
      </c>
      <c r="Q516" s="6" t="inlineStr">
        <is>
          <t>whole</t>
        </is>
      </c>
      <c r="R516" s="6" t="inlineStr">
        <is>
          <t>FG7</t>
        </is>
      </c>
      <c r="S516" s="6" t="n"/>
      <c r="T516" s="6" t="inlineStr">
        <is>
          <t>plant</t>
        </is>
      </c>
      <c r="U516" s="6" t="n"/>
      <c r="V516" s="6" t="n"/>
      <c r="W516" s="6" t="n">
        <v>1</v>
      </c>
      <c r="X516" s="6" t="n">
        <v>0.4</v>
      </c>
      <c r="Y516" s="6" t="inlineStr">
        <is>
          <t>declared</t>
        </is>
      </c>
      <c r="Z516" s="8" t="n">
        <v>169510</v>
      </c>
      <c r="AA516" s="9">
        <f>IF(H516="yes",Z516*X516,0)</f>
        <v/>
      </c>
      <c r="AB516" s="9">
        <f>IF(H516="yes",AA516*N(L516)/100,0)</f>
        <v/>
      </c>
      <c r="AC516" s="9">
        <f>IF(H516="yes",AA516*N(N516)/100,0)</f>
        <v/>
      </c>
      <c r="AD516" s="9">
        <f>IF(H516="yes",AA516*N(O516)/100,0)</f>
        <v/>
      </c>
      <c r="AE516" s="10">
        <f>IF(P516="yes",AA516/1000,0)</f>
        <v/>
      </c>
      <c r="AF516" s="10">
        <f>IF(R516="FG2",AE516*W516,AE516)</f>
        <v/>
      </c>
    </row>
    <row r="517">
      <c r="A517" s="6" t="inlineStr">
        <is>
          <t>HM00515</t>
        </is>
      </c>
      <c r="B517" s="7" t="inlineStr">
        <is>
          <t>3012345311960</t>
        </is>
      </c>
      <c r="C517" s="6" t="inlineStr">
        <is>
          <t>HM LEMONS 250G</t>
        </is>
      </c>
      <c r="D517" s="6" t="inlineStr">
        <is>
          <t>Lemons, 250g</t>
        </is>
      </c>
      <c r="E517" s="6" t="inlineStr">
        <is>
          <t>Harbour Market</t>
        </is>
      </c>
      <c r="F517" s="6" t="inlineStr">
        <is>
          <t>Fruit &amp; Vegetables</t>
        </is>
      </c>
      <c r="G517" s="6" t="inlineStr">
        <is>
          <t>Fruit</t>
        </is>
      </c>
      <c r="H517" s="6" t="inlineStr">
        <is>
          <t>yes</t>
        </is>
      </c>
      <c r="I517" s="6" t="inlineStr">
        <is>
          <t>Plant-based non-core</t>
        </is>
      </c>
      <c r="J517" s="6" t="inlineStr">
        <is>
          <t>B</t>
        </is>
      </c>
      <c r="K517" s="6" t="inlineStr">
        <is>
          <t>Follows the class</t>
        </is>
      </c>
      <c r="L517" s="6" t="n">
        <v>0.63</v>
      </c>
      <c r="M517" s="6" t="inlineStr">
        <is>
          <t>Declared by the retailer</t>
        </is>
      </c>
      <c r="N517" s="6" t="n">
        <v>0.63</v>
      </c>
      <c r="O517" s="6" t="n">
        <v>0</v>
      </c>
      <c r="P517" s="6" t="inlineStr">
        <is>
          <t>yes</t>
        </is>
      </c>
      <c r="Q517" s="6" t="inlineStr">
        <is>
          <t>whole</t>
        </is>
      </c>
      <c r="R517" s="6" t="inlineStr">
        <is>
          <t>FG4</t>
        </is>
      </c>
      <c r="S517" s="6" t="n"/>
      <c r="T517" s="6" t="inlineStr">
        <is>
          <t>plant</t>
        </is>
      </c>
      <c r="U517" s="6" t="n"/>
      <c r="V517" s="6" t="n"/>
      <c r="W517" s="6" t="n">
        <v>1</v>
      </c>
      <c r="X517" s="6" t="n">
        <v>0.25</v>
      </c>
      <c r="Y517" s="6" t="inlineStr">
        <is>
          <t>declared</t>
        </is>
      </c>
      <c r="Z517" s="8" t="n">
        <v>69869</v>
      </c>
      <c r="AA517" s="9">
        <f>IF(H517="yes",Z517*X517,0)</f>
        <v/>
      </c>
      <c r="AB517" s="9">
        <f>IF(H517="yes",AA517*N(L517)/100,0)</f>
        <v/>
      </c>
      <c r="AC517" s="9">
        <f>IF(H517="yes",AA517*N(N517)/100,0)</f>
        <v/>
      </c>
      <c r="AD517" s="9">
        <f>IF(H517="yes",AA517*N(O517)/100,0)</f>
        <v/>
      </c>
      <c r="AE517" s="10">
        <f>IF(P517="yes",AA517/1000,0)</f>
        <v/>
      </c>
      <c r="AF517" s="10">
        <f>IF(R517="FG2",AE517*W517,AE517)</f>
        <v/>
      </c>
    </row>
    <row r="518">
      <c r="A518" s="6" t="inlineStr">
        <is>
          <t>HM00516</t>
        </is>
      </c>
      <c r="B518" s="7" t="inlineStr">
        <is>
          <t>3012345172752</t>
        </is>
      </c>
      <c r="C518" s="6" t="inlineStr">
        <is>
          <t>CHOC ICE CREAM 1.8L MARLOWE</t>
        </is>
      </c>
      <c r="D518" s="6" t="inlineStr">
        <is>
          <t>Chocolate ice cream, 1.8l</t>
        </is>
      </c>
      <c r="E518" s="6" t="inlineStr">
        <is>
          <t>Marlowe</t>
        </is>
      </c>
      <c r="F518" s="6" t="inlineStr">
        <is>
          <t>Frozen</t>
        </is>
      </c>
      <c r="G518" s="6" t="inlineStr">
        <is>
          <t>Ice Cream</t>
        </is>
      </c>
      <c r="H518" s="6" t="inlineStr">
        <is>
          <t>yes</t>
        </is>
      </c>
      <c r="I518" s="6" t="inlineStr">
        <is>
          <t>Animal core</t>
        </is>
      </c>
      <c r="J518" s="6" t="inlineStr">
        <is>
          <t>B</t>
        </is>
      </c>
      <c r="K518" s="6" t="inlineStr">
        <is>
          <t>First ingredient (step 4a)</t>
        </is>
      </c>
      <c r="L518" s="6" t="n">
        <v>3.6</v>
      </c>
      <c r="M518" s="6" t="inlineStr">
        <is>
          <t>Declared by the retailer</t>
        </is>
      </c>
      <c r="N518" s="6" t="n">
        <v>0</v>
      </c>
      <c r="O518" s="6" t="n">
        <v>3.6</v>
      </c>
      <c r="P518" s="6" t="inlineStr">
        <is>
          <t>yes</t>
        </is>
      </c>
      <c r="Q518" s="6" t="inlineStr">
        <is>
          <t>whole</t>
        </is>
      </c>
      <c r="R518" s="6" t="inlineStr">
        <is>
          <t>FG7</t>
        </is>
      </c>
      <c r="S518" s="6" t="n"/>
      <c r="T518" s="6" t="inlineStr">
        <is>
          <t>animal</t>
        </is>
      </c>
      <c r="U518" s="6" t="n"/>
      <c r="V518" s="6" t="n"/>
      <c r="W518" s="6" t="n">
        <v>1</v>
      </c>
      <c r="X518" s="6" t="n">
        <v>1</v>
      </c>
      <c r="Y518" s="6" t="inlineStr">
        <is>
          <t>declared</t>
        </is>
      </c>
      <c r="Z518" s="8" t="n">
        <v>8947</v>
      </c>
      <c r="AA518" s="9">
        <f>IF(H518="yes",Z518*X518,0)</f>
        <v/>
      </c>
      <c r="AB518" s="9">
        <f>IF(H518="yes",AA518*N(L518)/100,0)</f>
        <v/>
      </c>
      <c r="AC518" s="9">
        <f>IF(H518="yes",AA518*N(N518)/100,0)</f>
        <v/>
      </c>
      <c r="AD518" s="9">
        <f>IF(H518="yes",AA518*N(O518)/100,0)</f>
        <v/>
      </c>
      <c r="AE518" s="10">
        <f>IF(P518="yes",AA518/1000,0)</f>
        <v/>
      </c>
      <c r="AF518" s="10">
        <f>IF(R518="FG2",AE518*W518,AE518)</f>
        <v/>
      </c>
    </row>
    <row r="519">
      <c r="A519" s="6" t="inlineStr">
        <is>
          <t>HM00517</t>
        </is>
      </c>
      <c r="B519" s="7" t="inlineStr">
        <is>
          <t>8712345349790</t>
        </is>
      </c>
      <c r="C519" s="6" t="inlineStr">
        <is>
          <t>HM PASSATA 400G</t>
        </is>
      </c>
      <c r="D519" s="6" t="inlineStr">
        <is>
          <t>Sieved tomatoes (passata), 400g</t>
        </is>
      </c>
      <c r="E519" s="6" t="inlineStr">
        <is>
          <t>Harbour Market</t>
        </is>
      </c>
      <c r="F519" s="6" t="inlineStr">
        <is>
          <t>Grocery</t>
        </is>
      </c>
      <c r="G519" s="6" t="inlineStr">
        <is>
          <t>Canned Vegetables</t>
        </is>
      </c>
      <c r="H519" s="6" t="inlineStr">
        <is>
          <t>yes</t>
        </is>
      </c>
      <c r="I519" s="6" t="inlineStr">
        <is>
          <t>Plant-based non-core</t>
        </is>
      </c>
      <c r="J519" s="6" t="inlineStr">
        <is>
          <t>B</t>
        </is>
      </c>
      <c r="K519" s="6" t="inlineStr">
        <is>
          <t>Follows the class</t>
        </is>
      </c>
      <c r="L519" s="6" t="n">
        <v>1.1</v>
      </c>
      <c r="M519" s="6" t="inlineStr">
        <is>
          <t>Declared by the retailer</t>
        </is>
      </c>
      <c r="N519" s="6" t="n">
        <v>1.1</v>
      </c>
      <c r="O519" s="6" t="n">
        <v>0</v>
      </c>
      <c r="P519" s="6" t="inlineStr">
        <is>
          <t>yes</t>
        </is>
      </c>
      <c r="Q519" s="6" t="inlineStr">
        <is>
          <t>whole</t>
        </is>
      </c>
      <c r="R519" s="6" t="inlineStr">
        <is>
          <t>FG4</t>
        </is>
      </c>
      <c r="S519" s="6" t="n"/>
      <c r="T519" s="6" t="inlineStr">
        <is>
          <t>plant</t>
        </is>
      </c>
      <c r="U519" s="6" t="n"/>
      <c r="V519" s="6" t="n"/>
      <c r="W519" s="6" t="n">
        <v>1</v>
      </c>
      <c r="X519" s="6" t="n">
        <v>0.4</v>
      </c>
      <c r="Y519" s="6" t="inlineStr">
        <is>
          <t>declared</t>
        </is>
      </c>
      <c r="Z519" s="8" t="n">
        <v>59703</v>
      </c>
      <c r="AA519" s="9">
        <f>IF(H519="yes",Z519*X519,0)</f>
        <v/>
      </c>
      <c r="AB519" s="9">
        <f>IF(H519="yes",AA519*N(L519)/100,0)</f>
        <v/>
      </c>
      <c r="AC519" s="9">
        <f>IF(H519="yes",AA519*N(N519)/100,0)</f>
        <v/>
      </c>
      <c r="AD519" s="9">
        <f>IF(H519="yes",AA519*N(O519)/100,0)</f>
        <v/>
      </c>
      <c r="AE519" s="10">
        <f>IF(P519="yes",AA519/1000,0)</f>
        <v/>
      </c>
      <c r="AF519" s="10">
        <f>IF(R519="FG2",AE519*W519,AE519)</f>
        <v/>
      </c>
    </row>
    <row r="520">
      <c r="A520" s="6" t="inlineStr">
        <is>
          <t>HM00518</t>
        </is>
      </c>
      <c r="B520" s="7" t="inlineStr">
        <is>
          <t>5012345297163</t>
        </is>
      </c>
      <c r="C520" s="6" t="inlineStr">
        <is>
          <t>HM STRAWB YOG 6X125G</t>
        </is>
      </c>
      <c r="D520" s="6" t="inlineStr">
        <is>
          <t>Strawberry yoghurt, 6x125g</t>
        </is>
      </c>
      <c r="E520" s="6" t="inlineStr">
        <is>
          <t>Harbour Market</t>
        </is>
      </c>
      <c r="F520" s="6" t="inlineStr">
        <is>
          <t>Dairy &amp; Eggs</t>
        </is>
      </c>
      <c r="G520" s="6" t="inlineStr">
        <is>
          <t>Yoghurt</t>
        </is>
      </c>
      <c r="H520" s="6" t="inlineStr">
        <is>
          <t>yes</t>
        </is>
      </c>
      <c r="I520" s="6" t="inlineStr">
        <is>
          <t>Animal core</t>
        </is>
      </c>
      <c r="J520" s="6" t="inlineStr">
        <is>
          <t>B</t>
        </is>
      </c>
      <c r="K520" s="6" t="inlineStr">
        <is>
          <t>First ingredient (step 4a)</t>
        </is>
      </c>
      <c r="L520" s="6" t="n">
        <v>3.6</v>
      </c>
      <c r="M520" s="6" t="inlineStr">
        <is>
          <t>Declared by the retailer</t>
        </is>
      </c>
      <c r="N520" s="6" t="n">
        <v>0</v>
      </c>
      <c r="O520" s="6" t="n">
        <v>3.6</v>
      </c>
      <c r="P520" s="6" t="inlineStr">
        <is>
          <t>yes</t>
        </is>
      </c>
      <c r="Q520" s="6" t="inlineStr">
        <is>
          <t>whole</t>
        </is>
      </c>
      <c r="R520" s="6" t="inlineStr">
        <is>
          <t>FG2</t>
        </is>
      </c>
      <c r="S520" s="6" t="inlineStr">
        <is>
          <t>dairy</t>
        </is>
      </c>
      <c r="T520" s="6" t="inlineStr">
        <is>
          <t>animal</t>
        </is>
      </c>
      <c r="U520" s="6" t="n"/>
      <c r="V520" s="6" t="n"/>
      <c r="W520" s="6" t="n">
        <v>1</v>
      </c>
      <c r="X520" s="6" t="n">
        <v>0.75</v>
      </c>
      <c r="Y520" s="6" t="inlineStr">
        <is>
          <t>declared</t>
        </is>
      </c>
      <c r="Z520" s="8" t="n">
        <v>7359</v>
      </c>
      <c r="AA520" s="9">
        <f>IF(H520="yes",Z520*X520,0)</f>
        <v/>
      </c>
      <c r="AB520" s="9">
        <f>IF(H520="yes",AA520*N(L520)/100,0)</f>
        <v/>
      </c>
      <c r="AC520" s="9">
        <f>IF(H520="yes",AA520*N(N520)/100,0)</f>
        <v/>
      </c>
      <c r="AD520" s="9">
        <f>IF(H520="yes",AA520*N(O520)/100,0)</f>
        <v/>
      </c>
      <c r="AE520" s="10">
        <f>IF(P520="yes",AA520/1000,0)</f>
        <v/>
      </c>
      <c r="AF520" s="10">
        <f>IF(R520="FG2",AE520*W520,AE520)</f>
        <v/>
      </c>
    </row>
    <row r="521">
      <c r="A521" s="6" t="inlineStr">
        <is>
          <t>HM00519</t>
        </is>
      </c>
      <c r="B521" s="7" t="inlineStr">
        <is>
          <t>3012345798198</t>
        </is>
      </c>
      <c r="C521" s="6" t="inlineStr">
        <is>
          <t>HASH BROWNS 900G PENROCK</t>
        </is>
      </c>
      <c r="D521" s="6" t="inlineStr">
        <is>
          <t>Hash browns, 900g</t>
        </is>
      </c>
      <c r="E521" s="6" t="inlineStr">
        <is>
          <t>Penrock</t>
        </is>
      </c>
      <c r="F521" s="6" t="inlineStr">
        <is>
          <t>Frozen</t>
        </is>
      </c>
      <c r="G521" s="6" t="inlineStr">
        <is>
          <t>Frozen Potatoes</t>
        </is>
      </c>
      <c r="H521" s="6" t="inlineStr">
        <is>
          <t>yes</t>
        </is>
      </c>
      <c r="I521" s="6" t="inlineStr">
        <is>
          <t>Plant-based non-core</t>
        </is>
      </c>
      <c r="J521" s="6" t="inlineStr">
        <is>
          <t>B</t>
        </is>
      </c>
      <c r="K521" s="6" t="inlineStr">
        <is>
          <t>Follows the class</t>
        </is>
      </c>
      <c r="L521" s="6" t="n">
        <v>2.6</v>
      </c>
      <c r="M521" s="6" t="inlineStr">
        <is>
          <t>Open Food Facts, by EAN</t>
        </is>
      </c>
      <c r="N521" s="6" t="n">
        <v>2.6</v>
      </c>
      <c r="O521" s="6" t="n">
        <v>0</v>
      </c>
      <c r="P521" s="6" t="inlineStr">
        <is>
          <t>yes</t>
        </is>
      </c>
      <c r="Q521" s="6" t="inlineStr">
        <is>
          <t>whole</t>
        </is>
      </c>
      <c r="R521" s="6" t="inlineStr">
        <is>
          <t>FG7</t>
        </is>
      </c>
      <c r="S521" s="6" t="n"/>
      <c r="T521" s="6" t="inlineStr">
        <is>
          <t>plant</t>
        </is>
      </c>
      <c r="U521" s="6" t="n"/>
      <c r="V521" s="6" t="n"/>
      <c r="W521" s="6" t="n">
        <v>1</v>
      </c>
      <c r="X521" s="6" t="n">
        <v>0.9</v>
      </c>
      <c r="Y521" s="6" t="inlineStr">
        <is>
          <t>label</t>
        </is>
      </c>
      <c r="Z521" s="8" t="n">
        <v>16234</v>
      </c>
      <c r="AA521" s="9">
        <f>IF(H521="yes",Z521*X521,0)</f>
        <v/>
      </c>
      <c r="AB521" s="9">
        <f>IF(H521="yes",AA521*N(L521)/100,0)</f>
        <v/>
      </c>
      <c r="AC521" s="9">
        <f>IF(H521="yes",AA521*N(N521)/100,0)</f>
        <v/>
      </c>
      <c r="AD521" s="9">
        <f>IF(H521="yes",AA521*N(O521)/100,0)</f>
        <v/>
      </c>
      <c r="AE521" s="10">
        <f>IF(P521="yes",AA521/1000,0)</f>
        <v/>
      </c>
      <c r="AF521" s="10">
        <f>IF(R521="FG2",AE521*W521,AE521)</f>
        <v/>
      </c>
    </row>
    <row r="522">
      <c r="A522" s="6" t="inlineStr">
        <is>
          <t>HM00520</t>
        </is>
      </c>
      <c r="B522" s="7" t="inlineStr">
        <is>
          <t>8712345518806</t>
        </is>
      </c>
      <c r="C522" s="6" t="inlineStr">
        <is>
          <t>SOLVANE VEGAN CHEDDAR STYLE 10SL 180G</t>
        </is>
      </c>
      <c r="D522" s="6" t="inlineStr">
        <is>
          <t>Vegan cheddar-style block, 10sl 180g</t>
        </is>
      </c>
      <c r="E522" s="6" t="inlineStr">
        <is>
          <t>Solvane</t>
        </is>
      </c>
      <c r="F522" s="6" t="inlineStr">
        <is>
          <t>Plant-Based</t>
        </is>
      </c>
      <c r="G522" s="6" t="inlineStr">
        <is>
          <t>Dairy Alternatives</t>
        </is>
      </c>
      <c r="H522" s="6" t="inlineStr">
        <is>
          <t>yes</t>
        </is>
      </c>
      <c r="I522" s="6" t="inlineStr">
        <is>
          <t>Plant-based core</t>
        </is>
      </c>
      <c r="J522" s="6" t="inlineStr">
        <is>
          <t>A</t>
        </is>
      </c>
      <c r="K522" s="6" t="inlineStr">
        <is>
          <t>All ingredients on one side</t>
        </is>
      </c>
      <c r="L522" s="6" t="n">
        <v>1</v>
      </c>
      <c r="M522" s="6" t="inlineStr">
        <is>
          <t>Declared by the retailer</t>
        </is>
      </c>
      <c r="N522" s="6" t="n">
        <v>1</v>
      </c>
      <c r="O522" s="6" t="n">
        <v>0</v>
      </c>
      <c r="P522" s="6" t="inlineStr">
        <is>
          <t>yes</t>
        </is>
      </c>
      <c r="Q522" s="6" t="inlineStr">
        <is>
          <t>whole</t>
        </is>
      </c>
      <c r="R522" s="6" t="inlineStr">
        <is>
          <t>FG2</t>
        </is>
      </c>
      <c r="S522" s="6" t="inlineStr">
        <is>
          <t>dairy alternatives</t>
        </is>
      </c>
      <c r="T522" s="6" t="inlineStr">
        <is>
          <t>plant</t>
        </is>
      </c>
      <c r="U522" s="6" t="n"/>
      <c r="V522" s="6" t="n"/>
      <c r="W522" s="6" t="n">
        <v>1</v>
      </c>
      <c r="X522" s="6" t="n">
        <v>0.18</v>
      </c>
      <c r="Y522" s="6" t="inlineStr">
        <is>
          <t>declared</t>
        </is>
      </c>
      <c r="Z522" s="8" t="n">
        <v>6548</v>
      </c>
      <c r="AA522" s="9">
        <f>IF(H522="yes",Z522*X522,0)</f>
        <v/>
      </c>
      <c r="AB522" s="9">
        <f>IF(H522="yes",AA522*N(L522)/100,0)</f>
        <v/>
      </c>
      <c r="AC522" s="9">
        <f>IF(H522="yes",AA522*N(N522)/100,0)</f>
        <v/>
      </c>
      <c r="AD522" s="9">
        <f>IF(H522="yes",AA522*N(O522)/100,0)</f>
        <v/>
      </c>
      <c r="AE522" s="10">
        <f>IF(P522="yes",AA522/1000,0)</f>
        <v/>
      </c>
      <c r="AF522" s="10">
        <f>IF(R522="FG2",AE522*W522,AE522)</f>
        <v/>
      </c>
    </row>
    <row r="523">
      <c r="A523" s="6" t="inlineStr">
        <is>
          <t>HM00521</t>
        </is>
      </c>
      <c r="B523" s="7" t="inlineStr">
        <is>
          <t>8712345973469</t>
        </is>
      </c>
      <c r="C523" s="6" t="inlineStr">
        <is>
          <t>HM PENNE RIGATE 500G</t>
        </is>
      </c>
      <c r="D523" s="6" t="inlineStr">
        <is>
          <t>Penne rigate, 500g</t>
        </is>
      </c>
      <c r="E523" s="6" t="inlineStr">
        <is>
          <t>Harbour Market</t>
        </is>
      </c>
      <c r="F523" s="6" t="inlineStr">
        <is>
          <t>Grocery</t>
        </is>
      </c>
      <c r="G523" s="6" t="inlineStr">
        <is>
          <t>Pasta</t>
        </is>
      </c>
      <c r="H523" s="6" t="inlineStr">
        <is>
          <t>yes</t>
        </is>
      </c>
      <c r="I523" s="6" t="inlineStr">
        <is>
          <t>Plant-based non-core</t>
        </is>
      </c>
      <c r="J523" s="6" t="inlineStr">
        <is>
          <t>A</t>
        </is>
      </c>
      <c r="K523" s="6" t="inlineStr">
        <is>
          <t>All ingredients on one side</t>
        </is>
      </c>
      <c r="L523" s="6" t="n">
        <v>12.7</v>
      </c>
      <c r="M523" s="6" t="inlineStr">
        <is>
          <t>Declared by the retailer</t>
        </is>
      </c>
      <c r="N523" s="6" t="n">
        <v>12.7</v>
      </c>
      <c r="O523" s="6" t="n">
        <v>0</v>
      </c>
      <c r="P523" s="6" t="inlineStr">
        <is>
          <t>yes</t>
        </is>
      </c>
      <c r="Q523" s="6" t="inlineStr">
        <is>
          <t>whole</t>
        </is>
      </c>
      <c r="R523" s="6" t="inlineStr">
        <is>
          <t>FG5</t>
        </is>
      </c>
      <c r="S523" s="6" t="inlineStr">
        <is>
          <t>refined grain</t>
        </is>
      </c>
      <c r="T523" s="6" t="inlineStr">
        <is>
          <t>plant</t>
        </is>
      </c>
      <c r="U523" s="6" t="n"/>
      <c r="V523" s="6" t="n"/>
      <c r="W523" s="6" t="n">
        <v>1</v>
      </c>
      <c r="X523" s="6" t="n">
        <v>0.5</v>
      </c>
      <c r="Y523" s="6" t="inlineStr">
        <is>
          <t>label</t>
        </is>
      </c>
      <c r="Z523" s="8" t="n">
        <v>191991</v>
      </c>
      <c r="AA523" s="9">
        <f>IF(H523="yes",Z523*X523,0)</f>
        <v/>
      </c>
      <c r="AB523" s="9">
        <f>IF(H523="yes",AA523*N(L523)/100,0)</f>
        <v/>
      </c>
      <c r="AC523" s="9">
        <f>IF(H523="yes",AA523*N(N523)/100,0)</f>
        <v/>
      </c>
      <c r="AD523" s="9">
        <f>IF(H523="yes",AA523*N(O523)/100,0)</f>
        <v/>
      </c>
      <c r="AE523" s="10">
        <f>IF(P523="yes",AA523/1000,0)</f>
        <v/>
      </c>
      <c r="AF523" s="10">
        <f>IF(R523="FG2",AE523*W523,AE523)</f>
        <v/>
      </c>
    </row>
    <row r="524">
      <c r="A524" s="6" t="inlineStr">
        <is>
          <t>HM00522</t>
        </is>
      </c>
      <c r="B524" s="7" t="inlineStr">
        <is>
          <t>5012345701790</t>
        </is>
      </c>
      <c r="C524" s="6" t="inlineStr">
        <is>
          <t>HM LAMB MINCE 500G</t>
        </is>
      </c>
      <c r="D524" s="6" t="inlineStr">
        <is>
          <t>Lamb mince, 500g</t>
        </is>
      </c>
      <c r="E524" s="6" t="inlineStr">
        <is>
          <t>Harbour Market</t>
        </is>
      </c>
      <c r="F524" s="6" t="inlineStr">
        <is>
          <t>Fresh Meat &amp; Poultry</t>
        </is>
      </c>
      <c r="G524" s="6" t="inlineStr">
        <is>
          <t>Turkey &amp; Lamb</t>
        </is>
      </c>
      <c r="H524" s="6" t="inlineStr">
        <is>
          <t>yes</t>
        </is>
      </c>
      <c r="I524" s="6" t="inlineStr">
        <is>
          <t>Animal core</t>
        </is>
      </c>
      <c r="J524" s="6" t="inlineStr">
        <is>
          <t>B</t>
        </is>
      </c>
      <c r="K524" s="6" t="inlineStr">
        <is>
          <t>Follows the class</t>
        </is>
      </c>
      <c r="L524" s="6" t="n">
        <v>17.2</v>
      </c>
      <c r="M524" s="6" t="inlineStr">
        <is>
          <t>Declared by the retailer</t>
        </is>
      </c>
      <c r="N524" s="6" t="n">
        <v>0</v>
      </c>
      <c r="O524" s="6" t="n">
        <v>17.2</v>
      </c>
      <c r="P524" s="6" t="inlineStr">
        <is>
          <t>yes</t>
        </is>
      </c>
      <c r="Q524" s="6" t="inlineStr">
        <is>
          <t>whole</t>
        </is>
      </c>
      <c r="R524" s="6" t="inlineStr">
        <is>
          <t>FG1</t>
        </is>
      </c>
      <c r="S524" s="6" t="inlineStr">
        <is>
          <t>red meat</t>
        </is>
      </c>
      <c r="T524" s="6" t="inlineStr">
        <is>
          <t>animal</t>
        </is>
      </c>
      <c r="U524" s="6" t="n"/>
      <c r="V524" s="6" t="n"/>
      <c r="W524" s="6" t="n">
        <v>1</v>
      </c>
      <c r="X524" s="6" t="n">
        <v>0.5</v>
      </c>
      <c r="Y524" s="6" t="inlineStr">
        <is>
          <t>declared</t>
        </is>
      </c>
      <c r="Z524" s="8" t="n">
        <v>21234</v>
      </c>
      <c r="AA524" s="9">
        <f>IF(H524="yes",Z524*X524,0)</f>
        <v/>
      </c>
      <c r="AB524" s="9">
        <f>IF(H524="yes",AA524*N(L524)/100,0)</f>
        <v/>
      </c>
      <c r="AC524" s="9">
        <f>IF(H524="yes",AA524*N(N524)/100,0)</f>
        <v/>
      </c>
      <c r="AD524" s="9">
        <f>IF(H524="yes",AA524*N(O524)/100,0)</f>
        <v/>
      </c>
      <c r="AE524" s="10">
        <f>IF(P524="yes",AA524/1000,0)</f>
        <v/>
      </c>
      <c r="AF524" s="10">
        <f>IF(R524="FG2",AE524*W524,AE524)</f>
        <v/>
      </c>
    </row>
    <row r="525">
      <c r="A525" s="6" t="inlineStr">
        <is>
          <t>HM00523</t>
        </is>
      </c>
      <c r="B525" s="7" t="inlineStr">
        <is>
          <t>3012345913850</t>
        </is>
      </c>
      <c r="C525" s="6" t="inlineStr">
        <is>
          <t>CASTELNA VEG STOCK CUBES 12PK 120G</t>
        </is>
      </c>
      <c r="D525" s="6" t="inlineStr">
        <is>
          <t>Vegetable stock cubes, 12pk 120g</t>
        </is>
      </c>
      <c r="E525" s="6" t="inlineStr">
        <is>
          <t>Castelna</t>
        </is>
      </c>
      <c r="F525" s="6" t="inlineStr">
        <is>
          <t>Grocery</t>
        </is>
      </c>
      <c r="G525" s="6" t="inlineStr">
        <is>
          <t>Stock &amp; Gravy</t>
        </is>
      </c>
      <c r="H525" s="6" t="inlineStr">
        <is>
          <t>yes</t>
        </is>
      </c>
      <c r="I525" s="6" t="inlineStr">
        <is>
          <t>Plant-based non-core</t>
        </is>
      </c>
      <c r="J525" s="6" t="inlineStr">
        <is>
          <t>A</t>
        </is>
      </c>
      <c r="K525" s="6" t="inlineStr">
        <is>
          <t>All ingredients on one side</t>
        </is>
      </c>
      <c r="L525" s="6" t="n">
        <v>8.199999999999999</v>
      </c>
      <c r="M525" s="6" t="inlineStr">
        <is>
          <t>Declared by the retailer</t>
        </is>
      </c>
      <c r="N525" s="6" t="n">
        <v>8.199999999999999</v>
      </c>
      <c r="O525" s="6" t="n">
        <v>0</v>
      </c>
      <c r="P525" s="6" t="inlineStr">
        <is>
          <t>no</t>
        </is>
      </c>
      <c r="Q525" s="6" t="n"/>
      <c r="R525" s="6" t="n"/>
      <c r="S525" s="6" t="n"/>
      <c r="T525" s="6" t="n"/>
      <c r="U525" s="6" t="n"/>
      <c r="V525" s="6" t="inlineStr">
        <is>
          <t>stock</t>
        </is>
      </c>
      <c r="W525" s="6" t="n">
        <v>1</v>
      </c>
      <c r="X525" s="6" t="n">
        <v>0.12</v>
      </c>
      <c r="Y525" s="6" t="inlineStr">
        <is>
          <t>declared</t>
        </is>
      </c>
      <c r="Z525" s="8" t="n">
        <v>1824</v>
      </c>
      <c r="AA525" s="9">
        <f>IF(H525="yes",Z525*X525,0)</f>
        <v/>
      </c>
      <c r="AB525" s="9">
        <f>IF(H525="yes",AA525*N(L525)/100,0)</f>
        <v/>
      </c>
      <c r="AC525" s="9">
        <f>IF(H525="yes",AA525*N(N525)/100,0)</f>
        <v/>
      </c>
      <c r="AD525" s="9">
        <f>IF(H525="yes",AA525*N(O525)/100,0)</f>
        <v/>
      </c>
      <c r="AE525" s="10">
        <f>IF(P525="yes",AA525/1000,0)</f>
        <v/>
      </c>
      <c r="AF525" s="10">
        <f>IF(R525="FG2",AE525*W525,AE525)</f>
        <v/>
      </c>
    </row>
    <row r="526">
      <c r="A526" s="6" t="inlineStr">
        <is>
          <t>HM00524</t>
        </is>
      </c>
      <c r="B526" s="7" t="inlineStr">
        <is>
          <t>5012345688879</t>
        </is>
      </c>
      <c r="C526" s="6" t="inlineStr">
        <is>
          <t>HM TEALIGHTS 50PK 2PK</t>
        </is>
      </c>
      <c r="D526" s="6" t="inlineStr">
        <is>
          <t>Tealights, 2pk</t>
        </is>
      </c>
      <c r="E526" s="6" t="inlineStr">
        <is>
          <t>Harbour Market</t>
        </is>
      </c>
      <c r="F526" s="6" t="inlineStr">
        <is>
          <t>Household</t>
        </is>
      </c>
      <c r="G526" s="6" t="inlineStr">
        <is>
          <t>Household</t>
        </is>
      </c>
      <c r="H526" s="6" t="inlineStr">
        <is>
          <t>no</t>
        </is>
      </c>
      <c r="I526" s="6" t="n"/>
      <c r="J526" s="6" t="n"/>
      <c r="K526" s="6" t="n"/>
      <c r="L526" s="6" t="n"/>
      <c r="M526" s="6" t="n"/>
      <c r="N526" s="6" t="n"/>
      <c r="O526" s="6" t="n"/>
      <c r="P526" s="6" t="inlineStr">
        <is>
          <t>no</t>
        </is>
      </c>
      <c r="Q526" s="6" t="n"/>
      <c r="R526" s="6" t="n"/>
      <c r="S526" s="6" t="n"/>
      <c r="T526" s="6" t="n"/>
      <c r="U526" s="6" t="n"/>
      <c r="V526" s="6" t="n"/>
      <c r="W526" s="6" t="n">
        <v>1</v>
      </c>
      <c r="X526" s="6" t="n">
        <v>0.3</v>
      </c>
      <c r="Y526" s="6" t="inlineStr">
        <is>
          <t>declared</t>
        </is>
      </c>
      <c r="Z526" s="8" t="n">
        <v>5828</v>
      </c>
      <c r="AA526" s="9">
        <f>IF(H526="yes",Z526*X526,0)</f>
        <v/>
      </c>
      <c r="AB526" s="9">
        <f>IF(H526="yes",AA526*N(L526)/100,0)</f>
        <v/>
      </c>
      <c r="AC526" s="9">
        <f>IF(H526="yes",AA526*N(N526)/100,0)</f>
        <v/>
      </c>
      <c r="AD526" s="9">
        <f>IF(H526="yes",AA526*N(O526)/100,0)</f>
        <v/>
      </c>
      <c r="AE526" s="10">
        <f>IF(P526="yes",AA526/1000,0)</f>
        <v/>
      </c>
      <c r="AF526" s="10">
        <f>IF(R526="FG2",AE526*W526,AE526)</f>
        <v/>
      </c>
    </row>
    <row r="527">
      <c r="A527" s="6" t="inlineStr">
        <is>
          <t>HM00525</t>
        </is>
      </c>
      <c r="B527" s="7" t="inlineStr">
        <is>
          <t>3012345757027</t>
        </is>
      </c>
      <c r="C527" s="6" t="inlineStr">
        <is>
          <t>CHOC ICE CREAM 900ML MARLOWE</t>
        </is>
      </c>
      <c r="D527" s="6" t="inlineStr">
        <is>
          <t>Chocolate ice cream, 900ml</t>
        </is>
      </c>
      <c r="E527" s="6" t="inlineStr">
        <is>
          <t>Marlowe</t>
        </is>
      </c>
      <c r="F527" s="6" t="inlineStr">
        <is>
          <t>Frozen</t>
        </is>
      </c>
      <c r="G527" s="6" t="inlineStr">
        <is>
          <t>Ice Cream</t>
        </is>
      </c>
      <c r="H527" s="6" t="inlineStr">
        <is>
          <t>yes</t>
        </is>
      </c>
      <c r="I527" s="6" t="inlineStr">
        <is>
          <t>Animal core</t>
        </is>
      </c>
      <c r="J527" s="6" t="inlineStr">
        <is>
          <t>B</t>
        </is>
      </c>
      <c r="K527" s="6" t="inlineStr">
        <is>
          <t>First ingredient (step 4a)</t>
        </is>
      </c>
      <c r="L527" s="6" t="n">
        <v>3.6</v>
      </c>
      <c r="M527" s="6" t="inlineStr">
        <is>
          <t>Declared by the retailer</t>
        </is>
      </c>
      <c r="N527" s="6" t="n">
        <v>0</v>
      </c>
      <c r="O527" s="6" t="n">
        <v>3.6</v>
      </c>
      <c r="P527" s="6" t="inlineStr">
        <is>
          <t>yes</t>
        </is>
      </c>
      <c r="Q527" s="6" t="inlineStr">
        <is>
          <t>whole</t>
        </is>
      </c>
      <c r="R527" s="6" t="inlineStr">
        <is>
          <t>FG7</t>
        </is>
      </c>
      <c r="S527" s="6" t="n"/>
      <c r="T527" s="6" t="inlineStr">
        <is>
          <t>animal</t>
        </is>
      </c>
      <c r="U527" s="6" t="n"/>
      <c r="V527" s="6" t="n"/>
      <c r="W527" s="6" t="n">
        <v>1</v>
      </c>
      <c r="X527" s="6" t="n">
        <v>0.5</v>
      </c>
      <c r="Y527" s="6" t="inlineStr">
        <is>
          <t>declared</t>
        </is>
      </c>
      <c r="Z527" s="8" t="n">
        <v>21508</v>
      </c>
      <c r="AA527" s="9">
        <f>IF(H527="yes",Z527*X527,0)</f>
        <v/>
      </c>
      <c r="AB527" s="9">
        <f>IF(H527="yes",AA527*N(L527)/100,0)</f>
        <v/>
      </c>
      <c r="AC527" s="9">
        <f>IF(H527="yes",AA527*N(N527)/100,0)</f>
        <v/>
      </c>
      <c r="AD527" s="9">
        <f>IF(H527="yes",AA527*N(O527)/100,0)</f>
        <v/>
      </c>
      <c r="AE527" s="10">
        <f>IF(P527="yes",AA527/1000,0)</f>
        <v/>
      </c>
      <c r="AF527" s="10">
        <f>IF(R527="FG2",AE527*W527,AE527)</f>
        <v/>
      </c>
    </row>
    <row r="528">
      <c r="A528" s="6" t="inlineStr">
        <is>
          <t>HM00526</t>
        </is>
      </c>
      <c r="B528" s="7" t="inlineStr">
        <is>
          <t>5012345434452</t>
        </is>
      </c>
      <c r="C528" s="6" t="inlineStr">
        <is>
          <t>COTTAGE PIE 400G QUILLAN</t>
        </is>
      </c>
      <c r="D528" s="6" t="inlineStr">
        <is>
          <t>Cottage pie, 400g</t>
        </is>
      </c>
      <c r="E528" s="6" t="inlineStr">
        <is>
          <t>Quillan</t>
        </is>
      </c>
      <c r="F528" s="6" t="inlineStr">
        <is>
          <t>Ready Meals</t>
        </is>
      </c>
      <c r="G528" s="6" t="inlineStr">
        <is>
          <t>Ready Meals</t>
        </is>
      </c>
      <c r="H528" s="6" t="inlineStr">
        <is>
          <t>yes</t>
        </is>
      </c>
      <c r="I528" s="6" t="inlineStr">
        <is>
          <t>Animal &amp; plant composite</t>
        </is>
      </c>
      <c r="J528" s="6" t="inlineStr">
        <is>
          <t>B</t>
        </is>
      </c>
      <c r="K528" s="6" t="inlineStr">
        <is>
          <t>50/50 convention</t>
        </is>
      </c>
      <c r="L528" s="6" t="n">
        <v>7.3</v>
      </c>
      <c r="M528" s="6" t="inlineStr">
        <is>
          <t>Declared by the retailer</t>
        </is>
      </c>
      <c r="N528" s="6" t="n">
        <v>3.65</v>
      </c>
      <c r="O528" s="6" t="n">
        <v>3.65</v>
      </c>
      <c r="P528" s="6" t="inlineStr">
        <is>
          <t>yes</t>
        </is>
      </c>
      <c r="Q528" s="6" t="inlineStr">
        <is>
          <t>composite</t>
        </is>
      </c>
      <c r="R528" s="6" t="n"/>
      <c r="S528" s="6" t="n"/>
      <c r="T528" s="6" t="n"/>
      <c r="U528" s="6" t="inlineStr">
        <is>
          <t>meat-based</t>
        </is>
      </c>
      <c r="V528" s="6" t="n"/>
      <c r="W528" s="6" t="n">
        <v>1</v>
      </c>
      <c r="X528" s="6" t="n">
        <v>0.4</v>
      </c>
      <c r="Y528" s="6" t="inlineStr">
        <is>
          <t>declared</t>
        </is>
      </c>
      <c r="Z528" s="8" t="n">
        <v>22786</v>
      </c>
      <c r="AA528" s="9">
        <f>IF(H528="yes",Z528*X528,0)</f>
        <v/>
      </c>
      <c r="AB528" s="9">
        <f>IF(H528="yes",AA528*N(L528)/100,0)</f>
        <v/>
      </c>
      <c r="AC528" s="9">
        <f>IF(H528="yes",AA528*N(N528)/100,0)</f>
        <v/>
      </c>
      <c r="AD528" s="9">
        <f>IF(H528="yes",AA528*N(O528)/100,0)</f>
        <v/>
      </c>
      <c r="AE528" s="10">
        <f>IF(P528="yes",AA528/1000,0)</f>
        <v/>
      </c>
      <c r="AF528" s="10">
        <f>IF(R528="FG2",AE528*W528,AE528)</f>
        <v/>
      </c>
    </row>
    <row r="529">
      <c r="A529" s="6" t="inlineStr">
        <is>
          <t>HM00527</t>
        </is>
      </c>
      <c r="B529" s="7" t="inlineStr">
        <is>
          <t>4012345573909</t>
        </is>
      </c>
      <c r="C529" s="6" t="inlineStr">
        <is>
          <t>HM SWEETCORN COBS 1KG</t>
        </is>
      </c>
      <c r="D529" s="6" t="inlineStr">
        <is>
          <t>Sweetcorn cobs, 1kg</t>
        </is>
      </c>
      <c r="E529" s="6" t="inlineStr">
        <is>
          <t>Harbour Market</t>
        </is>
      </c>
      <c r="F529" s="6" t="inlineStr">
        <is>
          <t>Fruit &amp; Vegetables</t>
        </is>
      </c>
      <c r="G529" s="6" t="inlineStr">
        <is>
          <t>Vegetables</t>
        </is>
      </c>
      <c r="H529" s="6" t="inlineStr">
        <is>
          <t>yes</t>
        </is>
      </c>
      <c r="I529" s="6" t="inlineStr">
        <is>
          <t>Plant-based non-core</t>
        </is>
      </c>
      <c r="J529" s="6" t="inlineStr">
        <is>
          <t>B</t>
        </is>
      </c>
      <c r="K529" s="6" t="inlineStr">
        <is>
          <t>Follows the class</t>
        </is>
      </c>
      <c r="L529" s="6" t="n">
        <v>3.1</v>
      </c>
      <c r="M529" s="6" t="inlineStr">
        <is>
          <t>Altera reference base</t>
        </is>
      </c>
      <c r="N529" s="6" t="n">
        <v>3.1</v>
      </c>
      <c r="O529" s="6" t="n">
        <v>0</v>
      </c>
      <c r="P529" s="6" t="inlineStr">
        <is>
          <t>yes</t>
        </is>
      </c>
      <c r="Q529" s="6" t="inlineStr">
        <is>
          <t>whole</t>
        </is>
      </c>
      <c r="R529" s="6" t="inlineStr">
        <is>
          <t>FG4</t>
        </is>
      </c>
      <c r="S529" s="6" t="n"/>
      <c r="T529" s="6" t="inlineStr">
        <is>
          <t>plant</t>
        </is>
      </c>
      <c r="U529" s="6" t="n"/>
      <c r="V529" s="6" t="n"/>
      <c r="W529" s="6" t="n">
        <v>1</v>
      </c>
      <c r="X529" s="6" t="n">
        <v>1</v>
      </c>
      <c r="Y529" s="6" t="inlineStr">
        <is>
          <t>declared</t>
        </is>
      </c>
      <c r="Z529" s="8" t="n">
        <v>38072</v>
      </c>
      <c r="AA529" s="9">
        <f>IF(H529="yes",Z529*X529,0)</f>
        <v/>
      </c>
      <c r="AB529" s="9">
        <f>IF(H529="yes",AA529*N(L529)/100,0)</f>
        <v/>
      </c>
      <c r="AC529" s="9">
        <f>IF(H529="yes",AA529*N(N529)/100,0)</f>
        <v/>
      </c>
      <c r="AD529" s="9">
        <f>IF(H529="yes",AA529*N(O529)/100,0)</f>
        <v/>
      </c>
      <c r="AE529" s="10">
        <f>IF(P529="yes",AA529/1000,0)</f>
        <v/>
      </c>
      <c r="AF529" s="10">
        <f>IF(R529="FG2",AE529*W529,AE529)</f>
        <v/>
      </c>
    </row>
    <row r="530">
      <c r="A530" s="6" t="inlineStr">
        <is>
          <t>HM00528</t>
        </is>
      </c>
      <c r="B530" s="7" t="inlineStr">
        <is>
          <t>8712345582647</t>
        </is>
      </c>
      <c r="C530" s="6" t="inlineStr">
        <is>
          <t>HM BROWN ONIONS 500G</t>
        </is>
      </c>
      <c r="D530" s="6" t="inlineStr">
        <is>
          <t>Brown onions, 500g</t>
        </is>
      </c>
      <c r="E530" s="6" t="inlineStr">
        <is>
          <t>Harbour Market</t>
        </is>
      </c>
      <c r="F530" s="6" t="inlineStr">
        <is>
          <t>Fruit &amp; Vegetables</t>
        </is>
      </c>
      <c r="G530" s="6" t="inlineStr">
        <is>
          <t>Vegetables</t>
        </is>
      </c>
      <c r="H530" s="6" t="inlineStr">
        <is>
          <t>yes</t>
        </is>
      </c>
      <c r="I530" s="6" t="inlineStr">
        <is>
          <t>Plant-based non-core</t>
        </is>
      </c>
      <c r="J530" s="6" t="inlineStr">
        <is>
          <t>B</t>
        </is>
      </c>
      <c r="K530" s="6" t="inlineStr">
        <is>
          <t>Follows the class</t>
        </is>
      </c>
      <c r="L530" s="6" t="n">
        <v>1</v>
      </c>
      <c r="M530" s="6" t="inlineStr">
        <is>
          <t>Name match (CIQUAL / NEVO)</t>
        </is>
      </c>
      <c r="N530" s="6" t="n">
        <v>1</v>
      </c>
      <c r="O530" s="6" t="n">
        <v>0</v>
      </c>
      <c r="P530" s="6" t="inlineStr">
        <is>
          <t>yes</t>
        </is>
      </c>
      <c r="Q530" s="6" t="inlineStr">
        <is>
          <t>whole</t>
        </is>
      </c>
      <c r="R530" s="6" t="inlineStr">
        <is>
          <t>FG4</t>
        </is>
      </c>
      <c r="S530" s="6" t="n"/>
      <c r="T530" s="6" t="inlineStr">
        <is>
          <t>plant</t>
        </is>
      </c>
      <c r="U530" s="6" t="n"/>
      <c r="V530" s="6" t="n"/>
      <c r="W530" s="6" t="n">
        <v>1</v>
      </c>
      <c r="X530" s="6" t="n">
        <v>0.5</v>
      </c>
      <c r="Y530" s="6" t="inlineStr">
        <is>
          <t>declared</t>
        </is>
      </c>
      <c r="Z530" s="8" t="n">
        <v>73983</v>
      </c>
      <c r="AA530" s="9">
        <f>IF(H530="yes",Z530*X530,0)</f>
        <v/>
      </c>
      <c r="AB530" s="9">
        <f>IF(H530="yes",AA530*N(L530)/100,0)</f>
        <v/>
      </c>
      <c r="AC530" s="9">
        <f>IF(H530="yes",AA530*N(N530)/100,0)</f>
        <v/>
      </c>
      <c r="AD530" s="9">
        <f>IF(H530="yes",AA530*N(O530)/100,0)</f>
        <v/>
      </c>
      <c r="AE530" s="10">
        <f>IF(P530="yes",AA530/1000,0)</f>
        <v/>
      </c>
      <c r="AF530" s="10">
        <f>IF(R530="FG2",AE530*W530,AE530)</f>
        <v/>
      </c>
    </row>
    <row r="531">
      <c r="A531" s="6" t="inlineStr">
        <is>
          <t>HM00529</t>
        </is>
      </c>
      <c r="B531" s="7" t="inlineStr">
        <is>
          <t>0012345672675</t>
        </is>
      </c>
      <c r="C531" s="6" t="inlineStr">
        <is>
          <t>CHOC FUDGE CAKE 400G BRAMBLECOTE</t>
        </is>
      </c>
      <c r="D531" s="6" t="inlineStr">
        <is>
          <t>Chocolate fudge cake, 400g</t>
        </is>
      </c>
      <c r="E531" s="6" t="inlineStr">
        <is>
          <t>Bramblecote</t>
        </is>
      </c>
      <c r="F531" s="6" t="inlineStr">
        <is>
          <t>Bakery</t>
        </is>
      </c>
      <c r="G531" s="6" t="inlineStr">
        <is>
          <t>Cakes</t>
        </is>
      </c>
      <c r="H531" s="6" t="inlineStr">
        <is>
          <t>yes</t>
        </is>
      </c>
      <c r="I531" s="6" t="inlineStr">
        <is>
          <t>Animal &amp; plant composite</t>
        </is>
      </c>
      <c r="J531" s="6" t="inlineStr">
        <is>
          <t>B</t>
        </is>
      </c>
      <c r="K531" s="6" t="inlineStr">
        <is>
          <t>50/50 convention</t>
        </is>
      </c>
      <c r="L531" s="6" t="n">
        <v>4.8</v>
      </c>
      <c r="M531" s="6" t="inlineStr">
        <is>
          <t>Declared by the retailer</t>
        </is>
      </c>
      <c r="N531" s="6" t="n">
        <v>2.4</v>
      </c>
      <c r="O531" s="6" t="n">
        <v>2.4</v>
      </c>
      <c r="P531" s="6" t="inlineStr">
        <is>
          <t>yes</t>
        </is>
      </c>
      <c r="Q531" s="6" t="inlineStr">
        <is>
          <t>whole</t>
        </is>
      </c>
      <c r="R531" s="6" t="inlineStr">
        <is>
          <t>FG7</t>
        </is>
      </c>
      <c r="S531" s="6" t="n"/>
      <c r="T531" s="6" t="inlineStr">
        <is>
          <t>plant</t>
        </is>
      </c>
      <c r="U531" s="6" t="n"/>
      <c r="V531" s="6" t="n"/>
      <c r="W531" s="6" t="n">
        <v>1</v>
      </c>
      <c r="X531" s="6" t="n">
        <v>0.4</v>
      </c>
      <c r="Y531" s="6" t="inlineStr">
        <is>
          <t>declared</t>
        </is>
      </c>
      <c r="Z531" s="8" t="n">
        <v>4660</v>
      </c>
      <c r="AA531" s="9">
        <f>IF(H531="yes",Z531*X531,0)</f>
        <v/>
      </c>
      <c r="AB531" s="9">
        <f>IF(H531="yes",AA531*N(L531)/100,0)</f>
        <v/>
      </c>
      <c r="AC531" s="9">
        <f>IF(H531="yes",AA531*N(N531)/100,0)</f>
        <v/>
      </c>
      <c r="AD531" s="9">
        <f>IF(H531="yes",AA531*N(O531)/100,0)</f>
        <v/>
      </c>
      <c r="AE531" s="10">
        <f>IF(P531="yes",AA531/1000,0)</f>
        <v/>
      </c>
      <c r="AF531" s="10">
        <f>IF(R531="FG2",AE531*W531,AE531)</f>
        <v/>
      </c>
    </row>
    <row r="532">
      <c r="A532" s="6" t="inlineStr">
        <is>
          <t>HM00530</t>
        </is>
      </c>
      <c r="B532" s="7" t="inlineStr">
        <is>
          <t>8712345208295</t>
        </is>
      </c>
      <c r="C532" s="6" t="inlineStr">
        <is>
          <t>HM COLA ZERO 6X330ML</t>
        </is>
      </c>
      <c r="D532" s="6" t="inlineStr">
        <is>
          <t>Cola, no sugar, 6x330ml</t>
        </is>
      </c>
      <c r="E532" s="6" t="inlineStr">
        <is>
          <t>Harbour Market</t>
        </is>
      </c>
      <c r="F532" s="6" t="inlineStr">
        <is>
          <t>Soft Drinks &amp; Water</t>
        </is>
      </c>
      <c r="G532" s="6" t="inlineStr">
        <is>
          <t>Soft Drinks</t>
        </is>
      </c>
      <c r="H532" s="6" t="inlineStr">
        <is>
          <t>yes</t>
        </is>
      </c>
      <c r="I532" s="6" t="inlineStr">
        <is>
          <t>Plant-based non-core</t>
        </is>
      </c>
      <c r="J532" s="6" t="inlineStr">
        <is>
          <t>B</t>
        </is>
      </c>
      <c r="K532" s="6" t="inlineStr">
        <is>
          <t>Follows the class</t>
        </is>
      </c>
      <c r="L532" s="6" t="n">
        <v>0</v>
      </c>
      <c r="M532" s="6" t="inlineStr">
        <is>
          <t>Name match (CIQUAL / NEVO)</t>
        </is>
      </c>
      <c r="N532" s="6" t="n">
        <v>0</v>
      </c>
      <c r="O532" s="6" t="n">
        <v>0</v>
      </c>
      <c r="P532" s="6" t="inlineStr">
        <is>
          <t>no</t>
        </is>
      </c>
      <c r="Q532" s="6" t="n"/>
      <c r="R532" s="6" t="n"/>
      <c r="S532" s="6" t="n"/>
      <c r="T532" s="6" t="n"/>
      <c r="U532" s="6" t="n"/>
      <c r="V532" s="6" t="inlineStr">
        <is>
          <t>beverage</t>
        </is>
      </c>
      <c r="W532" s="6" t="n">
        <v>1</v>
      </c>
      <c r="X532" s="6" t="n">
        <v>1.98</v>
      </c>
      <c r="Y532" s="6" t="inlineStr">
        <is>
          <t>declared</t>
        </is>
      </c>
      <c r="Z532" s="8" t="n">
        <v>100042</v>
      </c>
      <c r="AA532" s="9">
        <f>IF(H532="yes",Z532*X532,0)</f>
        <v/>
      </c>
      <c r="AB532" s="9">
        <f>IF(H532="yes",AA532*N(L532)/100,0)</f>
        <v/>
      </c>
      <c r="AC532" s="9">
        <f>IF(H532="yes",AA532*N(N532)/100,0)</f>
        <v/>
      </c>
      <c r="AD532" s="9">
        <f>IF(H532="yes",AA532*N(O532)/100,0)</f>
        <v/>
      </c>
      <c r="AE532" s="10">
        <f>IF(P532="yes",AA532/1000,0)</f>
        <v/>
      </c>
      <c r="AF532" s="10">
        <f>IF(R532="FG2",AE532*W532,AE532)</f>
        <v/>
      </c>
    </row>
    <row r="533">
      <c r="A533" s="6" t="inlineStr">
        <is>
          <t>HM00531</t>
        </is>
      </c>
      <c r="B533" s="7" t="inlineStr">
        <is>
          <t>5012345466804</t>
        </is>
      </c>
      <c r="C533" s="6" t="inlineStr">
        <is>
          <t>ORVALIS PORRIDGE OATS 2KG</t>
        </is>
      </c>
      <c r="D533" s="6" t="inlineStr">
        <is>
          <t>Porridge oats, 2kg</t>
        </is>
      </c>
      <c r="E533" s="6" t="inlineStr">
        <is>
          <t>Orvalis</t>
        </is>
      </c>
      <c r="F533" s="6" t="inlineStr">
        <is>
          <t>Grocery</t>
        </is>
      </c>
      <c r="G533" s="6" t="inlineStr">
        <is>
          <t>Rice &amp; Grains</t>
        </is>
      </c>
      <c r="H533" s="6" t="inlineStr">
        <is>
          <t>yes</t>
        </is>
      </c>
      <c r="I533" s="6" t="inlineStr">
        <is>
          <t>Plant-based non-core</t>
        </is>
      </c>
      <c r="J533" s="6" t="inlineStr">
        <is>
          <t>A</t>
        </is>
      </c>
      <c r="K533" s="6" t="inlineStr">
        <is>
          <t>All ingredients on one side</t>
        </is>
      </c>
      <c r="L533" s="6" t="n">
        <v>10.8</v>
      </c>
      <c r="M533" s="6" t="inlineStr">
        <is>
          <t>Median of the family</t>
        </is>
      </c>
      <c r="N533" s="6" t="n">
        <v>10.8</v>
      </c>
      <c r="O533" s="6" t="n">
        <v>0</v>
      </c>
      <c r="P533" s="6" t="inlineStr">
        <is>
          <t>yes</t>
        </is>
      </c>
      <c r="Q533" s="6" t="inlineStr">
        <is>
          <t>whole</t>
        </is>
      </c>
      <c r="R533" s="6" t="inlineStr">
        <is>
          <t>FG5</t>
        </is>
      </c>
      <c r="S533" s="6" t="inlineStr">
        <is>
          <t>whole grain</t>
        </is>
      </c>
      <c r="T533" s="6" t="inlineStr">
        <is>
          <t>plant</t>
        </is>
      </c>
      <c r="U533" s="6" t="n"/>
      <c r="V533" s="6" t="n"/>
      <c r="W533" s="6" t="n">
        <v>1</v>
      </c>
      <c r="X533" s="6" t="n">
        <v>2</v>
      </c>
      <c r="Y533" s="6" t="inlineStr">
        <is>
          <t>declared</t>
        </is>
      </c>
      <c r="Z533" s="8" t="n">
        <v>29435</v>
      </c>
      <c r="AA533" s="9">
        <f>IF(H533="yes",Z533*X533,0)</f>
        <v/>
      </c>
      <c r="AB533" s="9">
        <f>IF(H533="yes",AA533*N(L533)/100,0)</f>
        <v/>
      </c>
      <c r="AC533" s="9">
        <f>IF(H533="yes",AA533*N(N533)/100,0)</f>
        <v/>
      </c>
      <c r="AD533" s="9">
        <f>IF(H533="yes",AA533*N(O533)/100,0)</f>
        <v/>
      </c>
      <c r="AE533" s="10">
        <f>IF(P533="yes",AA533/1000,0)</f>
        <v/>
      </c>
      <c r="AF533" s="10">
        <f>IF(R533="FG2",AE533*W533,AE533)</f>
        <v/>
      </c>
    </row>
    <row r="534">
      <c r="A534" s="6" t="inlineStr">
        <is>
          <t>HM00532</t>
        </is>
      </c>
      <c r="B534" s="7" t="inlineStr">
        <is>
          <t>8712345926991</t>
        </is>
      </c>
      <c r="C534" s="6" t="inlineStr">
        <is>
          <t>HM LAGER 12X440ML</t>
        </is>
      </c>
      <c r="D534" s="6" t="inlineStr">
        <is>
          <t>Lager, 12x440ml</t>
        </is>
      </c>
      <c r="E534" s="6" t="inlineStr">
        <is>
          <t>Harbour Market</t>
        </is>
      </c>
      <c r="F534" s="6" t="inlineStr">
        <is>
          <t>Beer, Wine &amp; Spirits</t>
        </is>
      </c>
      <c r="G534" s="6" t="inlineStr">
        <is>
          <t>Beer &amp; Cider</t>
        </is>
      </c>
      <c r="H534" s="6" t="inlineStr">
        <is>
          <t>yes</t>
        </is>
      </c>
      <c r="I534" s="6" t="inlineStr">
        <is>
          <t>Plant-based non-core</t>
        </is>
      </c>
      <c r="J534" s="6" t="inlineStr">
        <is>
          <t>A</t>
        </is>
      </c>
      <c r="K534" s="6" t="inlineStr">
        <is>
          <t>All ingredients on one side</t>
        </is>
      </c>
      <c r="L534" s="6" t="n">
        <v>0.42</v>
      </c>
      <c r="M534" s="6" t="inlineStr">
        <is>
          <t>Name match (CIQUAL / NEVO)</t>
        </is>
      </c>
      <c r="N534" s="6" t="n">
        <v>0.42</v>
      </c>
      <c r="O534" s="6" t="n">
        <v>0</v>
      </c>
      <c r="P534" s="6" t="inlineStr">
        <is>
          <t>no</t>
        </is>
      </c>
      <c r="Q534" s="6" t="n"/>
      <c r="R534" s="6" t="n"/>
      <c r="S534" s="6" t="n"/>
      <c r="T534" s="6" t="n"/>
      <c r="U534" s="6" t="n"/>
      <c r="V534" s="6" t="inlineStr">
        <is>
          <t>alcohol</t>
        </is>
      </c>
      <c r="W534" s="6" t="n">
        <v>1</v>
      </c>
      <c r="X534" s="6" t="n">
        <v>5.28</v>
      </c>
      <c r="Y534" s="6" t="inlineStr">
        <is>
          <t>declared</t>
        </is>
      </c>
      <c r="Z534" s="8" t="n">
        <v>59885</v>
      </c>
      <c r="AA534" s="9">
        <f>IF(H534="yes",Z534*X534,0)</f>
        <v/>
      </c>
      <c r="AB534" s="9">
        <f>IF(H534="yes",AA534*N(L534)/100,0)</f>
        <v/>
      </c>
      <c r="AC534" s="9">
        <f>IF(H534="yes",AA534*N(N534)/100,0)</f>
        <v/>
      </c>
      <c r="AD534" s="9">
        <f>IF(H534="yes",AA534*N(O534)/100,0)</f>
        <v/>
      </c>
      <c r="AE534" s="10">
        <f>IF(P534="yes",AA534/1000,0)</f>
        <v/>
      </c>
      <c r="AF534" s="10">
        <f>IF(R534="FG2",AE534*W534,AE534)</f>
        <v/>
      </c>
    </row>
    <row r="535">
      <c r="A535" s="6" t="inlineStr">
        <is>
          <t>HM00533</t>
        </is>
      </c>
      <c r="B535" s="7" t="inlineStr">
        <is>
          <t>4012345914429</t>
        </is>
      </c>
      <c r="C535" s="6" t="inlineStr">
        <is>
          <t>WHEAT BEER 4X440ML PENWARD</t>
        </is>
      </c>
      <c r="D535" s="6" t="inlineStr">
        <is>
          <t>Wheat beer, 4x440ml</t>
        </is>
      </c>
      <c r="E535" s="6" t="inlineStr">
        <is>
          <t>Penward</t>
        </is>
      </c>
      <c r="F535" s="6" t="inlineStr">
        <is>
          <t>Beer, Wine &amp; Spirits</t>
        </is>
      </c>
      <c r="G535" s="6" t="inlineStr">
        <is>
          <t>Beer &amp; Cider</t>
        </is>
      </c>
      <c r="H535" s="6" t="inlineStr">
        <is>
          <t>yes</t>
        </is>
      </c>
      <c r="I535" s="6" t="inlineStr">
        <is>
          <t>Plant-based non-core</t>
        </is>
      </c>
      <c r="J535" s="6" t="inlineStr">
        <is>
          <t>A</t>
        </is>
      </c>
      <c r="K535" s="6" t="inlineStr">
        <is>
          <t>All ingredients on one side</t>
        </is>
      </c>
      <c r="L535" s="6" t="n">
        <v>0.5</v>
      </c>
      <c r="M535" s="6" t="inlineStr">
        <is>
          <t>Declared by the retailer</t>
        </is>
      </c>
      <c r="N535" s="6" t="n">
        <v>0.5</v>
      </c>
      <c r="O535" s="6" t="n">
        <v>0</v>
      </c>
      <c r="P535" s="6" t="inlineStr">
        <is>
          <t>no</t>
        </is>
      </c>
      <c r="Q535" s="6" t="n"/>
      <c r="R535" s="6" t="n"/>
      <c r="S535" s="6" t="n"/>
      <c r="T535" s="6" t="n"/>
      <c r="U535" s="6" t="n"/>
      <c r="V535" s="6" t="inlineStr">
        <is>
          <t>alcohol</t>
        </is>
      </c>
      <c r="W535" s="6" t="n">
        <v>1</v>
      </c>
      <c r="X535" s="6" t="n">
        <v>1.76</v>
      </c>
      <c r="Y535" s="6" t="inlineStr">
        <is>
          <t>declared</t>
        </is>
      </c>
      <c r="Z535" s="8" t="n">
        <v>18339</v>
      </c>
      <c r="AA535" s="9">
        <f>IF(H535="yes",Z535*X535,0)</f>
        <v/>
      </c>
      <c r="AB535" s="9">
        <f>IF(H535="yes",AA535*N(L535)/100,0)</f>
        <v/>
      </c>
      <c r="AC535" s="9">
        <f>IF(H535="yes",AA535*N(N535)/100,0)</f>
        <v/>
      </c>
      <c r="AD535" s="9">
        <f>IF(H535="yes",AA535*N(O535)/100,0)</f>
        <v/>
      </c>
      <c r="AE535" s="10">
        <f>IF(P535="yes",AA535/1000,0)</f>
        <v/>
      </c>
      <c r="AF535" s="10">
        <f>IF(R535="FG2",AE535*W535,AE535)</f>
        <v/>
      </c>
    </row>
    <row r="536">
      <c r="A536" s="6" t="inlineStr">
        <is>
          <t>HM00534</t>
        </is>
      </c>
      <c r="B536" s="7" t="inlineStr">
        <is>
          <t>8712345180911</t>
        </is>
      </c>
      <c r="C536" s="6" t="inlineStr">
        <is>
          <t>CAMEMBERT 250G ALDERWICK</t>
        </is>
      </c>
      <c r="D536" s="6" t="inlineStr">
        <is>
          <t>Camembert, 250g</t>
        </is>
      </c>
      <c r="E536" s="6" t="inlineStr">
        <is>
          <t>Alderwick</t>
        </is>
      </c>
      <c r="F536" s="6" t="inlineStr">
        <is>
          <t>Cheese</t>
        </is>
      </c>
      <c r="G536" s="6" t="inlineStr">
        <is>
          <t>Soft Cheese</t>
        </is>
      </c>
      <c r="H536" s="6" t="inlineStr">
        <is>
          <t>yes</t>
        </is>
      </c>
      <c r="I536" s="6" t="inlineStr">
        <is>
          <t>Animal core</t>
        </is>
      </c>
      <c r="J536" s="6" t="inlineStr">
        <is>
          <t>A</t>
        </is>
      </c>
      <c r="K536" s="6" t="inlineStr">
        <is>
          <t>All ingredients on one side</t>
        </is>
      </c>
      <c r="L536" s="6" t="n">
        <v>21.1</v>
      </c>
      <c r="M536" s="6" t="inlineStr">
        <is>
          <t>Name match (CIQUAL / NEVO)</t>
        </is>
      </c>
      <c r="N536" s="6" t="n">
        <v>0</v>
      </c>
      <c r="O536" s="6" t="n">
        <v>21.1</v>
      </c>
      <c r="P536" s="6" t="inlineStr">
        <is>
          <t>yes</t>
        </is>
      </c>
      <c r="Q536" s="6" t="inlineStr">
        <is>
          <t>whole</t>
        </is>
      </c>
      <c r="R536" s="6" t="inlineStr">
        <is>
          <t>FG2</t>
        </is>
      </c>
      <c r="S536" s="6" t="inlineStr">
        <is>
          <t>dairy</t>
        </is>
      </c>
      <c r="T536" s="6" t="inlineStr">
        <is>
          <t>animal</t>
        </is>
      </c>
      <c r="U536" s="6" t="n"/>
      <c r="V536" s="6" t="n"/>
      <c r="W536" s="6" t="n">
        <v>10</v>
      </c>
      <c r="X536" s="6" t="n">
        <v>0.25</v>
      </c>
      <c r="Y536" s="6" t="inlineStr">
        <is>
          <t>declared</t>
        </is>
      </c>
      <c r="Z536" s="8" t="n">
        <v>21827</v>
      </c>
      <c r="AA536" s="9">
        <f>IF(H536="yes",Z536*X536,0)</f>
        <v/>
      </c>
      <c r="AB536" s="9">
        <f>IF(H536="yes",AA536*N(L536)/100,0)</f>
        <v/>
      </c>
      <c r="AC536" s="9">
        <f>IF(H536="yes",AA536*N(N536)/100,0)</f>
        <v/>
      </c>
      <c r="AD536" s="9">
        <f>IF(H536="yes",AA536*N(O536)/100,0)</f>
        <v/>
      </c>
      <c r="AE536" s="10">
        <f>IF(P536="yes",AA536/1000,0)</f>
        <v/>
      </c>
      <c r="AF536" s="10">
        <f>IF(R536="FG2",AE536*W536,AE536)</f>
        <v/>
      </c>
    </row>
    <row r="537">
      <c r="A537" s="6" t="inlineStr">
        <is>
          <t>HM00535</t>
        </is>
      </c>
      <c r="B537" s="7" t="inlineStr">
        <is>
          <t>8712345869571</t>
        </is>
      </c>
      <c r="C537" s="6" t="inlineStr">
        <is>
          <t>HM COUSCOUS 1KG</t>
        </is>
      </c>
      <c r="D537" s="6" t="inlineStr">
        <is>
          <t>Couscous, 1kg</t>
        </is>
      </c>
      <c r="E537" s="6" t="inlineStr">
        <is>
          <t>Harbour Market</t>
        </is>
      </c>
      <c r="F537" s="6" t="inlineStr">
        <is>
          <t>Grocery</t>
        </is>
      </c>
      <c r="G537" s="6" t="inlineStr">
        <is>
          <t>Rice &amp; Grains</t>
        </is>
      </c>
      <c r="H537" s="6" t="inlineStr">
        <is>
          <t>yes</t>
        </is>
      </c>
      <c r="I537" s="6" t="inlineStr">
        <is>
          <t>Plant-based non-core</t>
        </is>
      </c>
      <c r="J537" s="6" t="inlineStr">
        <is>
          <t>B</t>
        </is>
      </c>
      <c r="K537" s="6" t="inlineStr">
        <is>
          <t>Follows the class</t>
        </is>
      </c>
      <c r="L537" s="6" t="n">
        <v>7.6</v>
      </c>
      <c r="M537" s="6" t="inlineStr">
        <is>
          <t>Altera reference base</t>
        </is>
      </c>
      <c r="N537" s="6" t="n">
        <v>7.6</v>
      </c>
      <c r="O537" s="6" t="n">
        <v>0</v>
      </c>
      <c r="P537" s="6" t="inlineStr">
        <is>
          <t>yes</t>
        </is>
      </c>
      <c r="Q537" s="6" t="inlineStr">
        <is>
          <t>whole</t>
        </is>
      </c>
      <c r="R537" s="6" t="inlineStr">
        <is>
          <t>FG5</t>
        </is>
      </c>
      <c r="S537" s="6" t="inlineStr">
        <is>
          <t>refined grain</t>
        </is>
      </c>
      <c r="T537" s="6" t="inlineStr">
        <is>
          <t>plant</t>
        </is>
      </c>
      <c r="U537" s="6" t="n"/>
      <c r="V537" s="6" t="n"/>
      <c r="W537" s="6" t="n">
        <v>1</v>
      </c>
      <c r="X537" s="6" t="n">
        <v>1</v>
      </c>
      <c r="Y537" s="6" t="inlineStr">
        <is>
          <t>declared</t>
        </is>
      </c>
      <c r="Z537" s="8" t="n">
        <v>94691</v>
      </c>
      <c r="AA537" s="9">
        <f>IF(H537="yes",Z537*X537,0)</f>
        <v/>
      </c>
      <c r="AB537" s="9">
        <f>IF(H537="yes",AA537*N(L537)/100,0)</f>
        <v/>
      </c>
      <c r="AC537" s="9">
        <f>IF(H537="yes",AA537*N(N537)/100,0)</f>
        <v/>
      </c>
      <c r="AD537" s="9">
        <f>IF(H537="yes",AA537*N(O537)/100,0)</f>
        <v/>
      </c>
      <c r="AE537" s="10">
        <f>IF(P537="yes",AA537/1000,0)</f>
        <v/>
      </c>
      <c r="AF537" s="10">
        <f>IF(R537="FG2",AE537*W537,AE537)</f>
        <v/>
      </c>
    </row>
    <row r="538">
      <c r="A538" s="6" t="inlineStr">
        <is>
          <t>HM00536</t>
        </is>
      </c>
      <c r="B538" s="7" t="inlineStr">
        <is>
          <t>2385470341100</t>
        </is>
      </c>
      <c r="C538" s="6" t="inlineStr">
        <is>
          <t>HM KIWI LOOSE</t>
        </is>
      </c>
      <c r="D538" s="6" t="inlineStr">
        <is>
          <t>Kiwi fruit</t>
        </is>
      </c>
      <c r="E538" s="6" t="inlineStr">
        <is>
          <t>Harbour Market</t>
        </is>
      </c>
      <c r="F538" s="6" t="inlineStr">
        <is>
          <t>Fruit &amp; Vegetables</t>
        </is>
      </c>
      <c r="G538" s="6" t="inlineStr">
        <is>
          <t>Fruit</t>
        </is>
      </c>
      <c r="H538" s="6" t="inlineStr">
        <is>
          <t>yes</t>
        </is>
      </c>
      <c r="I538" s="6" t="inlineStr">
        <is>
          <t>Plant-based non-core</t>
        </is>
      </c>
      <c r="J538" s="6" t="inlineStr">
        <is>
          <t>B</t>
        </is>
      </c>
      <c r="K538" s="6" t="inlineStr">
        <is>
          <t>Follows the class</t>
        </is>
      </c>
      <c r="L538" s="6" t="n">
        <v>1.1</v>
      </c>
      <c r="M538" s="6" t="inlineStr">
        <is>
          <t>Declared by the retailer</t>
        </is>
      </c>
      <c r="N538" s="6" t="n">
        <v>1.1</v>
      </c>
      <c r="O538" s="6" t="n">
        <v>0</v>
      </c>
      <c r="P538" s="6" t="inlineStr">
        <is>
          <t>yes</t>
        </is>
      </c>
      <c r="Q538" s="6" t="inlineStr">
        <is>
          <t>whole</t>
        </is>
      </c>
      <c r="R538" s="6" t="inlineStr">
        <is>
          <t>FG4</t>
        </is>
      </c>
      <c r="S538" s="6" t="n"/>
      <c r="T538" s="6" t="inlineStr">
        <is>
          <t>plant</t>
        </is>
      </c>
      <c r="U538" s="6" t="n"/>
      <c r="V538" s="6" t="n"/>
      <c r="W538" s="6" t="n">
        <v>1</v>
      </c>
      <c r="X538" s="6" t="n">
        <v>1</v>
      </c>
      <c r="Y538" s="6" t="inlineStr">
        <is>
          <t>variable</t>
        </is>
      </c>
      <c r="Z538" s="8" t="n">
        <v>35141</v>
      </c>
      <c r="AA538" s="9">
        <f>IF(H538="yes",Z538*X538,0)</f>
        <v/>
      </c>
      <c r="AB538" s="9">
        <f>IF(H538="yes",AA538*N(L538)/100,0)</f>
        <v/>
      </c>
      <c r="AC538" s="9">
        <f>IF(H538="yes",AA538*N(N538)/100,0)</f>
        <v/>
      </c>
      <c r="AD538" s="9">
        <f>IF(H538="yes",AA538*N(O538)/100,0)</f>
        <v/>
      </c>
      <c r="AE538" s="10">
        <f>IF(P538="yes",AA538/1000,0)</f>
        <v/>
      </c>
      <c r="AF538" s="10">
        <f>IF(R538="FG2",AE538*W538,AE538)</f>
        <v/>
      </c>
    </row>
    <row r="539">
      <c r="A539" s="6" t="inlineStr">
        <is>
          <t>HM00537</t>
        </is>
      </c>
      <c r="B539" s="7" t="inlineStr">
        <is>
          <t>8712345956523</t>
        </is>
      </c>
      <c r="C539" s="6" t="inlineStr">
        <is>
          <t>HM SPAG BOLOGNESE 450G</t>
        </is>
      </c>
      <c r="D539" s="6" t="inlineStr">
        <is>
          <t>Spaghetti bolognese, 450g</t>
        </is>
      </c>
      <c r="E539" s="6" t="inlineStr">
        <is>
          <t>Harbour Market</t>
        </is>
      </c>
      <c r="F539" s="6" t="inlineStr">
        <is>
          <t>Ready Meals</t>
        </is>
      </c>
      <c r="G539" s="6" t="inlineStr">
        <is>
          <t>Ready Meals</t>
        </is>
      </c>
      <c r="H539" s="6" t="inlineStr">
        <is>
          <t>yes</t>
        </is>
      </c>
      <c r="I539" s="6" t="inlineStr">
        <is>
          <t>Animal &amp; plant composite</t>
        </is>
      </c>
      <c r="J539" s="6" t="inlineStr">
        <is>
          <t>A</t>
        </is>
      </c>
      <c r="K539" s="6" t="inlineStr">
        <is>
          <t>NEVO food table (ratio only)</t>
        </is>
      </c>
      <c r="L539" s="6" t="n">
        <v>6.9</v>
      </c>
      <c r="M539" s="6" t="inlineStr">
        <is>
          <t>Declared by the retailer</t>
        </is>
      </c>
      <c r="N539" s="6" t="n">
        <v>2.42</v>
      </c>
      <c r="O539" s="6" t="n">
        <v>4.48</v>
      </c>
      <c r="P539" s="6" t="inlineStr">
        <is>
          <t>yes</t>
        </is>
      </c>
      <c r="Q539" s="6" t="inlineStr">
        <is>
          <t>composite</t>
        </is>
      </c>
      <c r="R539" s="6" t="n"/>
      <c r="S539" s="6" t="n"/>
      <c r="T539" s="6" t="n"/>
      <c r="U539" s="6" t="inlineStr">
        <is>
          <t>meat-based</t>
        </is>
      </c>
      <c r="V539" s="6" t="n"/>
      <c r="W539" s="6" t="n">
        <v>1</v>
      </c>
      <c r="X539" s="6" t="n">
        <v>0.45</v>
      </c>
      <c r="Y539" s="6" t="inlineStr">
        <is>
          <t>declared</t>
        </is>
      </c>
      <c r="Z539" s="8" t="n">
        <v>22352</v>
      </c>
      <c r="AA539" s="9">
        <f>IF(H539="yes",Z539*X539,0)</f>
        <v/>
      </c>
      <c r="AB539" s="9">
        <f>IF(H539="yes",AA539*N(L539)/100,0)</f>
        <v/>
      </c>
      <c r="AC539" s="9">
        <f>IF(H539="yes",AA539*N(N539)/100,0)</f>
        <v/>
      </c>
      <c r="AD539" s="9">
        <f>IF(H539="yes",AA539*N(O539)/100,0)</f>
        <v/>
      </c>
      <c r="AE539" s="10">
        <f>IF(P539="yes",AA539/1000,0)</f>
        <v/>
      </c>
      <c r="AF539" s="10">
        <f>IF(R539="FG2",AE539*W539,AE539)</f>
        <v/>
      </c>
    </row>
    <row r="540">
      <c r="A540" s="6" t="inlineStr">
        <is>
          <t>HM00538</t>
        </is>
      </c>
      <c r="B540" s="7" t="inlineStr">
        <is>
          <t>5012345820675</t>
        </is>
      </c>
      <c r="C540" s="6" t="inlineStr">
        <is>
          <t>HM PLANT BURGERS 400G</t>
        </is>
      </c>
      <c r="D540" s="6" t="inlineStr">
        <is>
          <t>Plant-based burgers, 400g</t>
        </is>
      </c>
      <c r="E540" s="6" t="inlineStr">
        <is>
          <t>Harbour Market</t>
        </is>
      </c>
      <c r="F540" s="6" t="inlineStr">
        <is>
          <t>Plant-Based</t>
        </is>
      </c>
      <c r="G540" s="6" t="inlineStr">
        <is>
          <t>Meat Alternatives</t>
        </is>
      </c>
      <c r="H540" s="6" t="inlineStr">
        <is>
          <t>yes</t>
        </is>
      </c>
      <c r="I540" s="6" t="inlineStr">
        <is>
          <t>Plant-based core</t>
        </is>
      </c>
      <c r="J540" s="6" t="inlineStr">
        <is>
          <t>A</t>
        </is>
      </c>
      <c r="K540" s="6" t="inlineStr">
        <is>
          <t>All ingredients on one side</t>
        </is>
      </c>
      <c r="L540" s="6" t="n">
        <v>15.5</v>
      </c>
      <c r="M540" s="6" t="inlineStr">
        <is>
          <t>Declared by the retailer</t>
        </is>
      </c>
      <c r="N540" s="6" t="n">
        <v>15.5</v>
      </c>
      <c r="O540" s="6" t="n">
        <v>0</v>
      </c>
      <c r="P540" s="6" t="inlineStr">
        <is>
          <t>yes</t>
        </is>
      </c>
      <c r="Q540" s="6" t="inlineStr">
        <is>
          <t>whole</t>
        </is>
      </c>
      <c r="R540" s="6" t="inlineStr">
        <is>
          <t>FG1</t>
        </is>
      </c>
      <c r="S540" s="6" t="inlineStr">
        <is>
          <t>alternative products</t>
        </is>
      </c>
      <c r="T540" s="6" t="inlineStr">
        <is>
          <t>plant</t>
        </is>
      </c>
      <c r="U540" s="6" t="n"/>
      <c r="V540" s="6" t="n"/>
      <c r="W540" s="6" t="n">
        <v>1</v>
      </c>
      <c r="X540" s="6" t="n">
        <v>0.4</v>
      </c>
      <c r="Y540" s="6" t="inlineStr">
        <is>
          <t>declared</t>
        </is>
      </c>
      <c r="Z540" s="8" t="n">
        <v>11313</v>
      </c>
      <c r="AA540" s="9">
        <f>IF(H540="yes",Z540*X540,0)</f>
        <v/>
      </c>
      <c r="AB540" s="9">
        <f>IF(H540="yes",AA540*N(L540)/100,0)</f>
        <v/>
      </c>
      <c r="AC540" s="9">
        <f>IF(H540="yes",AA540*N(N540)/100,0)</f>
        <v/>
      </c>
      <c r="AD540" s="9">
        <f>IF(H540="yes",AA540*N(O540)/100,0)</f>
        <v/>
      </c>
      <c r="AE540" s="10">
        <f>IF(P540="yes",AA540/1000,0)</f>
        <v/>
      </c>
      <c r="AF540" s="10">
        <f>IF(R540="FG2",AE540*W540,AE540)</f>
        <v/>
      </c>
    </row>
    <row r="541">
      <c r="A541" s="6" t="inlineStr">
        <is>
          <t>HM00539</t>
        </is>
      </c>
      <c r="B541" s="7" t="inlineStr">
        <is>
          <t>8712345935467</t>
        </is>
      </c>
      <c r="C541" s="6" t="inlineStr">
        <is>
          <t>HM BROWN BASMATI 1KG</t>
        </is>
      </c>
      <c r="D541" s="6" t="inlineStr">
        <is>
          <t>Brown basmati rice, 1kg</t>
        </is>
      </c>
      <c r="E541" s="6" t="inlineStr">
        <is>
          <t>Harbour Market</t>
        </is>
      </c>
      <c r="F541" s="6" t="inlineStr">
        <is>
          <t>Grocery</t>
        </is>
      </c>
      <c r="G541" s="6" t="inlineStr">
        <is>
          <t>Rice &amp; Grains</t>
        </is>
      </c>
      <c r="H541" s="6" t="inlineStr">
        <is>
          <t>yes</t>
        </is>
      </c>
      <c r="I541" s="6" t="inlineStr">
        <is>
          <t>Plant-based non-core</t>
        </is>
      </c>
      <c r="J541" s="6" t="inlineStr">
        <is>
          <t>A</t>
        </is>
      </c>
      <c r="K541" s="6" t="inlineStr">
        <is>
          <t>All ingredients on one side</t>
        </is>
      </c>
      <c r="L541" s="6" t="n">
        <v>7.9</v>
      </c>
      <c r="M541" s="6" t="inlineStr">
        <is>
          <t>Declared by the retailer</t>
        </is>
      </c>
      <c r="N541" s="6" t="n">
        <v>7.9</v>
      </c>
      <c r="O541" s="6" t="n">
        <v>0</v>
      </c>
      <c r="P541" s="6" t="inlineStr">
        <is>
          <t>yes</t>
        </is>
      </c>
      <c r="Q541" s="6" t="inlineStr">
        <is>
          <t>whole</t>
        </is>
      </c>
      <c r="R541" s="6" t="inlineStr">
        <is>
          <t>FG5</t>
        </is>
      </c>
      <c r="S541" s="6" t="inlineStr">
        <is>
          <t>whole grain</t>
        </is>
      </c>
      <c r="T541" s="6" t="inlineStr">
        <is>
          <t>plant</t>
        </is>
      </c>
      <c r="U541" s="6" t="n"/>
      <c r="V541" s="6" t="n"/>
      <c r="W541" s="6" t="n">
        <v>1</v>
      </c>
      <c r="X541" s="6" t="n">
        <v>1</v>
      </c>
      <c r="Y541" s="6" t="inlineStr">
        <is>
          <t>declared</t>
        </is>
      </c>
      <c r="Z541" s="8" t="n">
        <v>65208</v>
      </c>
      <c r="AA541" s="9">
        <f>IF(H541="yes",Z541*X541,0)</f>
        <v/>
      </c>
      <c r="AB541" s="9">
        <f>IF(H541="yes",AA541*N(L541)/100,0)</f>
        <v/>
      </c>
      <c r="AC541" s="9">
        <f>IF(H541="yes",AA541*N(N541)/100,0)</f>
        <v/>
      </c>
      <c r="AD541" s="9">
        <f>IF(H541="yes",AA541*N(O541)/100,0)</f>
        <v/>
      </c>
      <c r="AE541" s="10">
        <f>IF(P541="yes",AA541/1000,0)</f>
        <v/>
      </c>
      <c r="AF541" s="10">
        <f>IF(R541="FG2",AE541*W541,AE541)</f>
        <v/>
      </c>
    </row>
    <row r="542">
      <c r="A542" s="6" t="inlineStr">
        <is>
          <t>HM00540</t>
        </is>
      </c>
      <c r="B542" s="7" t="inlineStr">
        <is>
          <t>3012345339551</t>
        </is>
      </c>
      <c r="C542" s="6" t="inlineStr">
        <is>
          <t>QUILLAN VEG CHILLI RICE 350G</t>
        </is>
      </c>
      <c r="D542" s="6" t="inlineStr">
        <is>
          <t>Vegetable chilli with rice, 350g</t>
        </is>
      </c>
      <c r="E542" s="6" t="inlineStr">
        <is>
          <t>Quillan</t>
        </is>
      </c>
      <c r="F542" s="6" t="inlineStr">
        <is>
          <t>Ready Meals</t>
        </is>
      </c>
      <c r="G542" s="6" t="inlineStr">
        <is>
          <t>Ready Meals</t>
        </is>
      </c>
      <c r="H542" s="6" t="inlineStr">
        <is>
          <t>yes</t>
        </is>
      </c>
      <c r="I542" s="6" t="inlineStr">
        <is>
          <t>Plant-based non-core</t>
        </is>
      </c>
      <c r="J542" s="6" t="inlineStr">
        <is>
          <t>B</t>
        </is>
      </c>
      <c r="K542" s="6" t="inlineStr">
        <is>
          <t>Follows the class</t>
        </is>
      </c>
      <c r="L542" s="6" t="n">
        <v>4.2</v>
      </c>
      <c r="M542" s="6" t="inlineStr">
        <is>
          <t>Altera reference base</t>
        </is>
      </c>
      <c r="N542" s="6" t="n">
        <v>4.2</v>
      </c>
      <c r="O542" s="6" t="n">
        <v>0</v>
      </c>
      <c r="P542" s="6" t="inlineStr">
        <is>
          <t>yes</t>
        </is>
      </c>
      <c r="Q542" s="6" t="inlineStr">
        <is>
          <t>composite</t>
        </is>
      </c>
      <c r="R542" s="6" t="n"/>
      <c r="S542" s="6" t="n"/>
      <c r="T542" s="6" t="n"/>
      <c r="U542" s="6" t="inlineStr">
        <is>
          <t>vegan</t>
        </is>
      </c>
      <c r="V542" s="6" t="n"/>
      <c r="W542" s="6" t="n">
        <v>1</v>
      </c>
      <c r="X542" s="6" t="n">
        <v>0.35</v>
      </c>
      <c r="Y542" s="6" t="inlineStr">
        <is>
          <t>declared</t>
        </is>
      </c>
      <c r="Z542" s="8" t="n">
        <v>19969</v>
      </c>
      <c r="AA542" s="9">
        <f>IF(H542="yes",Z542*X542,0)</f>
        <v/>
      </c>
      <c r="AB542" s="9">
        <f>IF(H542="yes",AA542*N(L542)/100,0)</f>
        <v/>
      </c>
      <c r="AC542" s="9">
        <f>IF(H542="yes",AA542*N(N542)/100,0)</f>
        <v/>
      </c>
      <c r="AD542" s="9">
        <f>IF(H542="yes",AA542*N(O542)/100,0)</f>
        <v/>
      </c>
      <c r="AE542" s="10">
        <f>IF(P542="yes",AA542/1000,0)</f>
        <v/>
      </c>
      <c r="AF542" s="10">
        <f>IF(R542="FG2",AE542*W542,AE542)</f>
        <v/>
      </c>
    </row>
    <row r="543">
      <c r="A543" s="6" t="inlineStr">
        <is>
          <t>HM00541</t>
        </is>
      </c>
      <c r="B543" s="7" t="inlineStr">
        <is>
          <t>5012345890739</t>
        </is>
      </c>
      <c r="C543" s="6" t="inlineStr">
        <is>
          <t>HM CAULIFLOWER 1KG</t>
        </is>
      </c>
      <c r="D543" s="6" t="inlineStr">
        <is>
          <t>Cauliflower, 1kg</t>
        </is>
      </c>
      <c r="E543" s="6" t="inlineStr">
        <is>
          <t>Harbour Market</t>
        </is>
      </c>
      <c r="F543" s="6" t="inlineStr">
        <is>
          <t>Fruit &amp; Vegetables</t>
        </is>
      </c>
      <c r="G543" s="6" t="inlineStr">
        <is>
          <t>Vegetables</t>
        </is>
      </c>
      <c r="H543" s="6" t="inlineStr">
        <is>
          <t>yes</t>
        </is>
      </c>
      <c r="I543" s="6" t="inlineStr">
        <is>
          <t>Plant-based non-core</t>
        </is>
      </c>
      <c r="J543" s="6" t="inlineStr">
        <is>
          <t>B</t>
        </is>
      </c>
      <c r="K543" s="6" t="inlineStr">
        <is>
          <t>Follows the class</t>
        </is>
      </c>
      <c r="L543" s="6" t="n">
        <v>1.9</v>
      </c>
      <c r="M543" s="6" t="inlineStr">
        <is>
          <t>Median of the family</t>
        </is>
      </c>
      <c r="N543" s="6" t="n">
        <v>1.9</v>
      </c>
      <c r="O543" s="6" t="n">
        <v>0</v>
      </c>
      <c r="P543" s="6" t="inlineStr">
        <is>
          <t>yes</t>
        </is>
      </c>
      <c r="Q543" s="6" t="inlineStr">
        <is>
          <t>whole</t>
        </is>
      </c>
      <c r="R543" s="6" t="inlineStr">
        <is>
          <t>FG4</t>
        </is>
      </c>
      <c r="S543" s="6" t="n"/>
      <c r="T543" s="6" t="inlineStr">
        <is>
          <t>plant</t>
        </is>
      </c>
      <c r="U543" s="6" t="n"/>
      <c r="V543" s="6" t="n"/>
      <c r="W543" s="6" t="n">
        <v>1</v>
      </c>
      <c r="X543" s="6" t="n">
        <v>1</v>
      </c>
      <c r="Y543" s="6" t="inlineStr">
        <is>
          <t>declared</t>
        </is>
      </c>
      <c r="Z543" s="8" t="n">
        <v>58133</v>
      </c>
      <c r="AA543" s="9">
        <f>IF(H543="yes",Z543*X543,0)</f>
        <v/>
      </c>
      <c r="AB543" s="9">
        <f>IF(H543="yes",AA543*N(L543)/100,0)</f>
        <v/>
      </c>
      <c r="AC543" s="9">
        <f>IF(H543="yes",AA543*N(N543)/100,0)</f>
        <v/>
      </c>
      <c r="AD543" s="9">
        <f>IF(H543="yes",AA543*N(O543)/100,0)</f>
        <v/>
      </c>
      <c r="AE543" s="10">
        <f>IF(P543="yes",AA543/1000,0)</f>
        <v/>
      </c>
      <c r="AF543" s="10">
        <f>IF(R543="FG2",AE543*W543,AE543)</f>
        <v/>
      </c>
    </row>
    <row r="544">
      <c r="A544" s="6" t="inlineStr">
        <is>
          <t>HM00542</t>
        </is>
      </c>
      <c r="B544" s="7" t="inlineStr">
        <is>
          <t>4012345438659</t>
        </is>
      </c>
      <c r="C544" s="6" t="inlineStr">
        <is>
          <t>HM SMKD SALMON 100G</t>
        </is>
      </c>
      <c r="D544" s="6" t="inlineStr">
        <is>
          <t>Smoked salmon, 100g</t>
        </is>
      </c>
      <c r="E544" s="6" t="inlineStr">
        <is>
          <t>Harbour Market</t>
        </is>
      </c>
      <c r="F544" s="6" t="inlineStr">
        <is>
          <t>Fish &amp; Seafood</t>
        </is>
      </c>
      <c r="G544" s="6" t="inlineStr">
        <is>
          <t>Smoked Fish</t>
        </is>
      </c>
      <c r="H544" s="6" t="inlineStr">
        <is>
          <t>yes</t>
        </is>
      </c>
      <c r="I544" s="6" t="inlineStr">
        <is>
          <t>Animal core</t>
        </is>
      </c>
      <c r="J544" s="6" t="inlineStr">
        <is>
          <t>B</t>
        </is>
      </c>
      <c r="K544" s="6" t="inlineStr">
        <is>
          <t>Follows the class</t>
        </is>
      </c>
      <c r="L544" s="6" t="n">
        <v>22.9</v>
      </c>
      <c r="M544" s="6" t="inlineStr">
        <is>
          <t>Declared by the retailer</t>
        </is>
      </c>
      <c r="N544" s="6" t="n">
        <v>0</v>
      </c>
      <c r="O544" s="6" t="n">
        <v>22.9</v>
      </c>
      <c r="P544" s="6" t="inlineStr">
        <is>
          <t>yes</t>
        </is>
      </c>
      <c r="Q544" s="6" t="inlineStr">
        <is>
          <t>whole</t>
        </is>
      </c>
      <c r="R544" s="6" t="inlineStr">
        <is>
          <t>FG1</t>
        </is>
      </c>
      <c r="S544" s="6" t="inlineStr">
        <is>
          <t>fish shellfish</t>
        </is>
      </c>
      <c r="T544" s="6" t="inlineStr">
        <is>
          <t>animal</t>
        </is>
      </c>
      <c r="U544" s="6" t="n"/>
      <c r="V544" s="6" t="n"/>
      <c r="W544" s="6" t="n">
        <v>1</v>
      </c>
      <c r="X544" s="6" t="n">
        <v>0.1</v>
      </c>
      <c r="Y544" s="6" t="inlineStr">
        <is>
          <t>declared</t>
        </is>
      </c>
      <c r="Z544" s="8" t="n">
        <v>36197</v>
      </c>
      <c r="AA544" s="9">
        <f>IF(H544="yes",Z544*X544,0)</f>
        <v/>
      </c>
      <c r="AB544" s="9">
        <f>IF(H544="yes",AA544*N(L544)/100,0)</f>
        <v/>
      </c>
      <c r="AC544" s="9">
        <f>IF(H544="yes",AA544*N(N544)/100,0)</f>
        <v/>
      </c>
      <c r="AD544" s="9">
        <f>IF(H544="yes",AA544*N(O544)/100,0)</f>
        <v/>
      </c>
      <c r="AE544" s="10">
        <f>IF(P544="yes",AA544/1000,0)</f>
        <v/>
      </c>
      <c r="AF544" s="10">
        <f>IF(R544="FG2",AE544*W544,AE544)</f>
        <v/>
      </c>
    </row>
    <row r="545">
      <c r="A545" s="6" t="inlineStr">
        <is>
          <t>HM00543</t>
        </is>
      </c>
      <c r="B545" s="7" t="inlineStr">
        <is>
          <t>3012345141727</t>
        </is>
      </c>
      <c r="C545" s="6" t="inlineStr">
        <is>
          <t>HM SALMON SUSHI BOX 200G</t>
        </is>
      </c>
      <c r="D545" s="6" t="inlineStr">
        <is>
          <t>Salmon sushi selection, 200g</t>
        </is>
      </c>
      <c r="E545" s="6" t="inlineStr">
        <is>
          <t>Harbour Market</t>
        </is>
      </c>
      <c r="F545" s="6" t="inlineStr">
        <is>
          <t>Ready Meals</t>
        </is>
      </c>
      <c r="G545" s="6" t="inlineStr">
        <is>
          <t>Sushi</t>
        </is>
      </c>
      <c r="H545" s="6" t="inlineStr">
        <is>
          <t>yes</t>
        </is>
      </c>
      <c r="I545" s="6" t="inlineStr">
        <is>
          <t>Animal &amp; plant composite</t>
        </is>
      </c>
      <c r="J545" s="6" t="inlineStr">
        <is>
          <t>A</t>
        </is>
      </c>
      <c r="K545" s="6" t="inlineStr">
        <is>
          <t>NEVO food table (ratio only)</t>
        </is>
      </c>
      <c r="L545" s="6" t="n">
        <v>7.4</v>
      </c>
      <c r="M545" s="6" t="inlineStr">
        <is>
          <t>Declared by the retailer</t>
        </is>
      </c>
      <c r="N545" s="6" t="n">
        <v>3.33</v>
      </c>
      <c r="O545" s="6" t="n">
        <v>4.07</v>
      </c>
      <c r="P545" s="6" t="inlineStr">
        <is>
          <t>yes</t>
        </is>
      </c>
      <c r="Q545" s="6" t="inlineStr">
        <is>
          <t>composite</t>
        </is>
      </c>
      <c r="R545" s="6" t="n"/>
      <c r="S545" s="6" t="n"/>
      <c r="T545" s="6" t="n"/>
      <c r="U545" s="6" t="inlineStr">
        <is>
          <t>seafood-based</t>
        </is>
      </c>
      <c r="V545" s="6" t="n"/>
      <c r="W545" s="6" t="n">
        <v>1</v>
      </c>
      <c r="X545" s="6" t="n">
        <v>0.2</v>
      </c>
      <c r="Y545" s="6" t="inlineStr">
        <is>
          <t>declared</t>
        </is>
      </c>
      <c r="Z545" s="8" t="n">
        <v>6749</v>
      </c>
      <c r="AA545" s="9">
        <f>IF(H545="yes",Z545*X545,0)</f>
        <v/>
      </c>
      <c r="AB545" s="9">
        <f>IF(H545="yes",AA545*N(L545)/100,0)</f>
        <v/>
      </c>
      <c r="AC545" s="9">
        <f>IF(H545="yes",AA545*N(N545)/100,0)</f>
        <v/>
      </c>
      <c r="AD545" s="9">
        <f>IF(H545="yes",AA545*N(O545)/100,0)</f>
        <v/>
      </c>
      <c r="AE545" s="10">
        <f>IF(P545="yes",AA545/1000,0)</f>
        <v/>
      </c>
      <c r="AF545" s="10">
        <f>IF(R545="FG2",AE545*W545,AE545)</f>
        <v/>
      </c>
    </row>
    <row r="546">
      <c r="A546" s="6" t="inlineStr">
        <is>
          <t>HM00544</t>
        </is>
      </c>
      <c r="B546" s="7" t="inlineStr">
        <is>
          <t>4012345149890</t>
        </is>
      </c>
      <c r="C546" s="6" t="inlineStr">
        <is>
          <t>HM BROCCOLI 300G</t>
        </is>
      </c>
      <c r="D546" s="6" t="inlineStr">
        <is>
          <t>Broccoli, 300g</t>
        </is>
      </c>
      <c r="E546" s="6" t="inlineStr">
        <is>
          <t>Harbour Market</t>
        </is>
      </c>
      <c r="F546" s="6" t="inlineStr">
        <is>
          <t>Fruit &amp; Vegetables</t>
        </is>
      </c>
      <c r="G546" s="6" t="inlineStr">
        <is>
          <t>Vegetables</t>
        </is>
      </c>
      <c r="H546" s="6" t="inlineStr">
        <is>
          <t>yes</t>
        </is>
      </c>
      <c r="I546" s="6" t="inlineStr">
        <is>
          <t>Plant-based non-core</t>
        </is>
      </c>
      <c r="J546" s="6" t="inlineStr">
        <is>
          <t>B</t>
        </is>
      </c>
      <c r="K546" s="6" t="inlineStr">
        <is>
          <t>Follows the class</t>
        </is>
      </c>
      <c r="L546" s="6" t="n">
        <v>2.9</v>
      </c>
      <c r="M546" s="6" t="inlineStr">
        <is>
          <t>Median of the family</t>
        </is>
      </c>
      <c r="N546" s="6" t="n">
        <v>2.9</v>
      </c>
      <c r="O546" s="6" t="n">
        <v>0</v>
      </c>
      <c r="P546" s="6" t="inlineStr">
        <is>
          <t>yes</t>
        </is>
      </c>
      <c r="Q546" s="6" t="inlineStr">
        <is>
          <t>whole</t>
        </is>
      </c>
      <c r="R546" s="6" t="inlineStr">
        <is>
          <t>FG4</t>
        </is>
      </c>
      <c r="S546" s="6" t="n"/>
      <c r="T546" s="6" t="inlineStr">
        <is>
          <t>plant</t>
        </is>
      </c>
      <c r="U546" s="6" t="n"/>
      <c r="V546" s="6" t="n"/>
      <c r="W546" s="6" t="n">
        <v>1</v>
      </c>
      <c r="X546" s="6" t="n">
        <v>0.3</v>
      </c>
      <c r="Y546" s="6" t="inlineStr">
        <is>
          <t>declared</t>
        </is>
      </c>
      <c r="Z546" s="8" t="n">
        <v>60898</v>
      </c>
      <c r="AA546" s="9">
        <f>IF(H546="yes",Z546*X546,0)</f>
        <v/>
      </c>
      <c r="AB546" s="9">
        <f>IF(H546="yes",AA546*N(L546)/100,0)</f>
        <v/>
      </c>
      <c r="AC546" s="9">
        <f>IF(H546="yes",AA546*N(N546)/100,0)</f>
        <v/>
      </c>
      <c r="AD546" s="9">
        <f>IF(H546="yes",AA546*N(O546)/100,0)</f>
        <v/>
      </c>
      <c r="AE546" s="10">
        <f>IF(P546="yes",AA546/1000,0)</f>
        <v/>
      </c>
      <c r="AF546" s="10">
        <f>IF(R546="FG2",AE546*W546,AE546)</f>
        <v/>
      </c>
    </row>
    <row r="547">
      <c r="A547" s="6" t="inlineStr">
        <is>
          <t>HM00545</t>
        </is>
      </c>
      <c r="B547" s="7" t="inlineStr">
        <is>
          <t>3012345927987</t>
        </is>
      </c>
      <c r="C547" s="6" t="inlineStr">
        <is>
          <t>HM APPLES PINK LADY 500G</t>
        </is>
      </c>
      <c r="D547" s="6" t="inlineStr">
        <is>
          <t>Pink Lady apples, 500g</t>
        </is>
      </c>
      <c r="E547" s="6" t="inlineStr">
        <is>
          <t>Harbour Market</t>
        </is>
      </c>
      <c r="F547" s="6" t="inlineStr">
        <is>
          <t>Fruit &amp; Vegetables</t>
        </is>
      </c>
      <c r="G547" s="6" t="inlineStr">
        <is>
          <t>Fruit</t>
        </is>
      </c>
      <c r="H547" s="6" t="inlineStr">
        <is>
          <t>yes</t>
        </is>
      </c>
      <c r="I547" s="6" t="inlineStr">
        <is>
          <t>Plant-based non-core</t>
        </is>
      </c>
      <c r="J547" s="6" t="inlineStr">
        <is>
          <t>B</t>
        </is>
      </c>
      <c r="K547" s="6" t="inlineStr">
        <is>
          <t>Follows the class</t>
        </is>
      </c>
      <c r="L547" s="6" t="n">
        <v>0.29</v>
      </c>
      <c r="M547" s="6" t="inlineStr">
        <is>
          <t>Declared by the retailer</t>
        </is>
      </c>
      <c r="N547" s="6" t="n">
        <v>0.29</v>
      </c>
      <c r="O547" s="6" t="n">
        <v>0</v>
      </c>
      <c r="P547" s="6" t="inlineStr">
        <is>
          <t>yes</t>
        </is>
      </c>
      <c r="Q547" s="6" t="inlineStr">
        <is>
          <t>whole</t>
        </is>
      </c>
      <c r="R547" s="6" t="inlineStr">
        <is>
          <t>FG4</t>
        </is>
      </c>
      <c r="S547" s="6" t="n"/>
      <c r="T547" s="6" t="inlineStr">
        <is>
          <t>plant</t>
        </is>
      </c>
      <c r="U547" s="6" t="n"/>
      <c r="V547" s="6" t="n"/>
      <c r="W547" s="6" t="n">
        <v>1</v>
      </c>
      <c r="X547" s="6" t="n">
        <v>0.5</v>
      </c>
      <c r="Y547" s="6" t="inlineStr">
        <is>
          <t>declared</t>
        </is>
      </c>
      <c r="Z547" s="8" t="n">
        <v>58934</v>
      </c>
      <c r="AA547" s="9">
        <f>IF(H547="yes",Z547*X547,0)</f>
        <v/>
      </c>
      <c r="AB547" s="9">
        <f>IF(H547="yes",AA547*N(L547)/100,0)</f>
        <v/>
      </c>
      <c r="AC547" s="9">
        <f>IF(H547="yes",AA547*N(N547)/100,0)</f>
        <v/>
      </c>
      <c r="AD547" s="9">
        <f>IF(H547="yes",AA547*N(O547)/100,0)</f>
        <v/>
      </c>
      <c r="AE547" s="10">
        <f>IF(P547="yes",AA547/1000,0)</f>
        <v/>
      </c>
      <c r="AF547" s="10">
        <f>IF(R547="FG2",AE547*W547,AE547)</f>
        <v/>
      </c>
    </row>
    <row r="548">
      <c r="A548" s="6" t="inlineStr">
        <is>
          <t>HM00546</t>
        </is>
      </c>
      <c r="B548" s="7" t="inlineStr">
        <is>
          <t>3012345006033</t>
        </is>
      </c>
      <c r="C548" s="6" t="inlineStr">
        <is>
          <t>HM BF MINCE 5% 1KG</t>
        </is>
      </c>
      <c r="D548" s="6" t="inlineStr">
        <is>
          <t>Beef mince, 5% fat, 1kg</t>
        </is>
      </c>
      <c r="E548" s="6" t="inlineStr">
        <is>
          <t>Harbour Market</t>
        </is>
      </c>
      <c r="F548" s="6" t="inlineStr">
        <is>
          <t>Fresh Meat &amp; Poultry</t>
        </is>
      </c>
      <c r="G548" s="6" t="inlineStr">
        <is>
          <t>Beef</t>
        </is>
      </c>
      <c r="H548" s="6" t="inlineStr">
        <is>
          <t>no</t>
        </is>
      </c>
      <c r="I548" s="6" t="n"/>
      <c r="J548" s="6" t="n"/>
      <c r="K548" s="6" t="n"/>
      <c r="L548" s="6" t="n"/>
      <c r="M548" s="6" t="n"/>
      <c r="N548" s="6" t="n"/>
      <c r="O548" s="6" t="n"/>
      <c r="P548" s="6" t="inlineStr">
        <is>
          <t>no</t>
        </is>
      </c>
      <c r="Q548" s="6" t="n"/>
      <c r="R548" s="6" t="n"/>
      <c r="S548" s="6" t="n"/>
      <c r="T548" s="6" t="n"/>
      <c r="U548" s="6" t="n"/>
      <c r="V548" s="6" t="n"/>
      <c r="W548" s="6" t="n">
        <v>1</v>
      </c>
      <c r="X548" s="6" t="n">
        <v>1</v>
      </c>
      <c r="Y548" s="6" t="inlineStr">
        <is>
          <t>declared</t>
        </is>
      </c>
      <c r="Z548" s="8" t="n">
        <v>0</v>
      </c>
      <c r="AA548" s="9">
        <f>IF(H548="yes",Z548*X548,0)</f>
        <v/>
      </c>
      <c r="AB548" s="9">
        <f>IF(H548="yes",AA548*N(L548)/100,0)</f>
        <v/>
      </c>
      <c r="AC548" s="9">
        <f>IF(H548="yes",AA548*N(N548)/100,0)</f>
        <v/>
      </c>
      <c r="AD548" s="9">
        <f>IF(H548="yes",AA548*N(O548)/100,0)</f>
        <v/>
      </c>
      <c r="AE548" s="10">
        <f>IF(P548="yes",AA548/1000,0)</f>
        <v/>
      </c>
      <c r="AF548" s="10">
        <f>IF(R548="FG2",AE548*W548,AE548)</f>
        <v/>
      </c>
    </row>
    <row r="549">
      <c r="A549" s="6" t="inlineStr">
        <is>
          <t>HM00547</t>
        </is>
      </c>
      <c r="B549" s="7" t="inlineStr">
        <is>
          <t>4012345017243</t>
        </is>
      </c>
      <c r="C549" s="6" t="inlineStr">
        <is>
          <t>HM SMKD SALMON TRIM 100G</t>
        </is>
      </c>
      <c r="D549" s="6" t="inlineStr">
        <is>
          <t>Smoked salmon trimmings, 100g</t>
        </is>
      </c>
      <c r="E549" s="6" t="inlineStr">
        <is>
          <t>Harbour Market</t>
        </is>
      </c>
      <c r="F549" s="6" t="inlineStr">
        <is>
          <t>Fish &amp; Seafood</t>
        </is>
      </c>
      <c r="G549" s="6" t="inlineStr">
        <is>
          <t>Smoked Fish</t>
        </is>
      </c>
      <c r="H549" s="6" t="inlineStr">
        <is>
          <t>yes</t>
        </is>
      </c>
      <c r="I549" s="6" t="inlineStr">
        <is>
          <t>Animal core</t>
        </is>
      </c>
      <c r="J549" s="6" t="inlineStr">
        <is>
          <t>A</t>
        </is>
      </c>
      <c r="K549" s="6" t="inlineStr">
        <is>
          <t>All ingredients on one side</t>
        </is>
      </c>
      <c r="L549" s="6" t="n">
        <v>21.6</v>
      </c>
      <c r="M549" s="6" t="inlineStr">
        <is>
          <t>Open Food Facts, by EAN</t>
        </is>
      </c>
      <c r="N549" s="6" t="n">
        <v>0</v>
      </c>
      <c r="O549" s="6" t="n">
        <v>21.6</v>
      </c>
      <c r="P549" s="6" t="inlineStr">
        <is>
          <t>yes</t>
        </is>
      </c>
      <c r="Q549" s="6" t="inlineStr">
        <is>
          <t>whole</t>
        </is>
      </c>
      <c r="R549" s="6" t="inlineStr">
        <is>
          <t>FG1</t>
        </is>
      </c>
      <c r="S549" s="6" t="inlineStr">
        <is>
          <t>fish shellfish</t>
        </is>
      </c>
      <c r="T549" s="6" t="inlineStr">
        <is>
          <t>animal</t>
        </is>
      </c>
      <c r="U549" s="6" t="n"/>
      <c r="V549" s="6" t="n"/>
      <c r="W549" s="6" t="n">
        <v>1</v>
      </c>
      <c r="X549" s="6" t="n">
        <v>0.1</v>
      </c>
      <c r="Y549" s="6" t="inlineStr">
        <is>
          <t>declared</t>
        </is>
      </c>
      <c r="Z549" s="8" t="n">
        <v>14458</v>
      </c>
      <c r="AA549" s="9">
        <f>IF(H549="yes",Z549*X549,0)</f>
        <v/>
      </c>
      <c r="AB549" s="9">
        <f>IF(H549="yes",AA549*N(L549)/100,0)</f>
        <v/>
      </c>
      <c r="AC549" s="9">
        <f>IF(H549="yes",AA549*N(N549)/100,0)</f>
        <v/>
      </c>
      <c r="AD549" s="9">
        <f>IF(H549="yes",AA549*N(O549)/100,0)</f>
        <v/>
      </c>
      <c r="AE549" s="10">
        <f>IF(P549="yes",AA549/1000,0)</f>
        <v/>
      </c>
      <c r="AF549" s="10">
        <f>IF(R549="FG2",AE549*W549,AE549)</f>
        <v/>
      </c>
    </row>
    <row r="550">
      <c r="A550" s="6" t="inlineStr">
        <is>
          <t>HM00548</t>
        </is>
      </c>
      <c r="B550" s="7" t="inlineStr">
        <is>
          <t>2495822423450</t>
        </is>
      </c>
      <c r="C550" s="6" t="inlineStr">
        <is>
          <t>HM RED GRAPES SEEDLESS LOOSE</t>
        </is>
      </c>
      <c r="D550" s="6" t="inlineStr">
        <is>
          <t>Seedless red grapes</t>
        </is>
      </c>
      <c r="E550" s="6" t="inlineStr">
        <is>
          <t>Harbour Market</t>
        </is>
      </c>
      <c r="F550" s="6" t="inlineStr">
        <is>
          <t>Fruit &amp; Vegetables</t>
        </is>
      </c>
      <c r="G550" s="6" t="inlineStr">
        <is>
          <t>Fruit</t>
        </is>
      </c>
      <c r="H550" s="6" t="inlineStr">
        <is>
          <t>yes</t>
        </is>
      </c>
      <c r="I550" s="6" t="inlineStr">
        <is>
          <t>Plant-based non-core</t>
        </is>
      </c>
      <c r="J550" s="6" t="inlineStr">
        <is>
          <t>B</t>
        </is>
      </c>
      <c r="K550" s="6" t="inlineStr">
        <is>
          <t>Follows the class</t>
        </is>
      </c>
      <c r="L550" s="6" t="n">
        <v>0.6</v>
      </c>
      <c r="M550" s="6" t="inlineStr">
        <is>
          <t>Declared by the retailer</t>
        </is>
      </c>
      <c r="N550" s="6" t="n">
        <v>0.6</v>
      </c>
      <c r="O550" s="6" t="n">
        <v>0</v>
      </c>
      <c r="P550" s="6" t="inlineStr">
        <is>
          <t>yes</t>
        </is>
      </c>
      <c r="Q550" s="6" t="inlineStr">
        <is>
          <t>whole</t>
        </is>
      </c>
      <c r="R550" s="6" t="inlineStr">
        <is>
          <t>FG4</t>
        </is>
      </c>
      <c r="S550" s="6" t="n"/>
      <c r="T550" s="6" t="inlineStr">
        <is>
          <t>plant</t>
        </is>
      </c>
      <c r="U550" s="6" t="n"/>
      <c r="V550" s="6" t="n"/>
      <c r="W550" s="6" t="n">
        <v>1</v>
      </c>
      <c r="X550" s="6" t="n">
        <v>1</v>
      </c>
      <c r="Y550" s="6" t="inlineStr">
        <is>
          <t>variable</t>
        </is>
      </c>
      <c r="Z550" s="8" t="n">
        <v>40302</v>
      </c>
      <c r="AA550" s="9">
        <f>IF(H550="yes",Z550*X550,0)</f>
        <v/>
      </c>
      <c r="AB550" s="9">
        <f>IF(H550="yes",AA550*N(L550)/100,0)</f>
        <v/>
      </c>
      <c r="AC550" s="9">
        <f>IF(H550="yes",AA550*N(N550)/100,0)</f>
        <v/>
      </c>
      <c r="AD550" s="9">
        <f>IF(H550="yes",AA550*N(O550)/100,0)</f>
        <v/>
      </c>
      <c r="AE550" s="10">
        <f>IF(P550="yes",AA550/1000,0)</f>
        <v/>
      </c>
      <c r="AF550" s="10">
        <f>IF(R550="FG2",AE550*W550,AE550)</f>
        <v/>
      </c>
    </row>
    <row r="551">
      <c r="A551" s="6" t="inlineStr">
        <is>
          <t>HM00549</t>
        </is>
      </c>
      <c r="B551" s="7" t="inlineStr">
        <is>
          <t>5012345090108</t>
        </is>
      </c>
      <c r="C551" s="6" t="inlineStr">
        <is>
          <t>BF RUMP STK 300G TARROW</t>
        </is>
      </c>
      <c r="D551" s="6" t="inlineStr">
        <is>
          <t>Beef rump steak, 300g</t>
        </is>
      </c>
      <c r="E551" s="6" t="inlineStr">
        <is>
          <t>Tarrow Farm</t>
        </is>
      </c>
      <c r="F551" s="6" t="inlineStr">
        <is>
          <t>Fresh Meat &amp; Poultry</t>
        </is>
      </c>
      <c r="G551" s="6" t="inlineStr">
        <is>
          <t>Beef</t>
        </is>
      </c>
      <c r="H551" s="6" t="inlineStr">
        <is>
          <t>yes</t>
        </is>
      </c>
      <c r="I551" s="6" t="inlineStr">
        <is>
          <t>Animal core</t>
        </is>
      </c>
      <c r="J551" s="6" t="inlineStr">
        <is>
          <t>B</t>
        </is>
      </c>
      <c r="K551" s="6" t="inlineStr">
        <is>
          <t>Follows the class</t>
        </is>
      </c>
      <c r="L551" s="6" t="n">
        <v>20.9</v>
      </c>
      <c r="M551" s="6" t="inlineStr">
        <is>
          <t>Declared by the retailer</t>
        </is>
      </c>
      <c r="N551" s="6" t="n">
        <v>0</v>
      </c>
      <c r="O551" s="6" t="n">
        <v>20.9</v>
      </c>
      <c r="P551" s="6" t="inlineStr">
        <is>
          <t>yes</t>
        </is>
      </c>
      <c r="Q551" s="6" t="inlineStr">
        <is>
          <t>whole</t>
        </is>
      </c>
      <c r="R551" s="6" t="inlineStr">
        <is>
          <t>FG1</t>
        </is>
      </c>
      <c r="S551" s="6" t="inlineStr">
        <is>
          <t>red meat</t>
        </is>
      </c>
      <c r="T551" s="6" t="inlineStr">
        <is>
          <t>animal</t>
        </is>
      </c>
      <c r="U551" s="6" t="n"/>
      <c r="V551" s="6" t="n"/>
      <c r="W551" s="6" t="n">
        <v>1</v>
      </c>
      <c r="X551" s="6" t="n">
        <v>0.3</v>
      </c>
      <c r="Y551" s="6" t="inlineStr">
        <is>
          <t>declared</t>
        </is>
      </c>
      <c r="Z551" s="8" t="n">
        <v>122743</v>
      </c>
      <c r="AA551" s="9">
        <f>IF(H551="yes",Z551*X551,0)</f>
        <v/>
      </c>
      <c r="AB551" s="9">
        <f>IF(H551="yes",AA551*N(L551)/100,0)</f>
        <v/>
      </c>
      <c r="AC551" s="9">
        <f>IF(H551="yes",AA551*N(N551)/100,0)</f>
        <v/>
      </c>
      <c r="AD551" s="9">
        <f>IF(H551="yes",AA551*N(O551)/100,0)</f>
        <v/>
      </c>
      <c r="AE551" s="10">
        <f>IF(P551="yes",AA551/1000,0)</f>
        <v/>
      </c>
      <c r="AF551" s="10">
        <f>IF(R551="FG2",AE551*W551,AE551)</f>
        <v/>
      </c>
    </row>
    <row r="552">
      <c r="A552" s="6" t="inlineStr">
        <is>
          <t>HM00550</t>
        </is>
      </c>
      <c r="B552" s="7" t="inlineStr">
        <is>
          <t>3012345264709</t>
        </is>
      </c>
      <c r="C552" s="6" t="inlineStr">
        <is>
          <t>ORVALIS BASMATI RICE 500G</t>
        </is>
      </c>
      <c r="D552" s="6" t="inlineStr">
        <is>
          <t>Basmati rice, 500g</t>
        </is>
      </c>
      <c r="E552" s="6" t="inlineStr">
        <is>
          <t>Orvalis</t>
        </is>
      </c>
      <c r="F552" s="6" t="inlineStr">
        <is>
          <t>Grocery</t>
        </is>
      </c>
      <c r="G552" s="6" t="inlineStr">
        <is>
          <t>Rice &amp; Grains</t>
        </is>
      </c>
      <c r="H552" s="6" t="inlineStr">
        <is>
          <t>yes</t>
        </is>
      </c>
      <c r="I552" s="6" t="inlineStr">
        <is>
          <t>Plant-based non-core</t>
        </is>
      </c>
      <c r="J552" s="6" t="inlineStr">
        <is>
          <t>A</t>
        </is>
      </c>
      <c r="K552" s="6" t="inlineStr">
        <is>
          <t>All ingredients on one side</t>
        </is>
      </c>
      <c r="L552" s="6" t="n">
        <v>7.3</v>
      </c>
      <c r="M552" s="6" t="inlineStr">
        <is>
          <t>Declared by the retailer</t>
        </is>
      </c>
      <c r="N552" s="6" t="n">
        <v>7.3</v>
      </c>
      <c r="O552" s="6" t="n">
        <v>0</v>
      </c>
      <c r="P552" s="6" t="inlineStr">
        <is>
          <t>yes</t>
        </is>
      </c>
      <c r="Q552" s="6" t="inlineStr">
        <is>
          <t>whole</t>
        </is>
      </c>
      <c r="R552" s="6" t="inlineStr">
        <is>
          <t>FG5</t>
        </is>
      </c>
      <c r="S552" s="6" t="inlineStr">
        <is>
          <t>refined grain</t>
        </is>
      </c>
      <c r="T552" s="6" t="inlineStr">
        <is>
          <t>plant</t>
        </is>
      </c>
      <c r="U552" s="6" t="n"/>
      <c r="V552" s="6" t="n"/>
      <c r="W552" s="6" t="n">
        <v>1</v>
      </c>
      <c r="X552" s="6" t="n">
        <v>0.5</v>
      </c>
      <c r="Y552" s="6" t="inlineStr">
        <is>
          <t>declared</t>
        </is>
      </c>
      <c r="Z552" s="8" t="n">
        <v>19396</v>
      </c>
      <c r="AA552" s="9">
        <f>IF(H552="yes",Z552*X552,0)</f>
        <v/>
      </c>
      <c r="AB552" s="9">
        <f>IF(H552="yes",AA552*N(L552)/100,0)</f>
        <v/>
      </c>
      <c r="AC552" s="9">
        <f>IF(H552="yes",AA552*N(N552)/100,0)</f>
        <v/>
      </c>
      <c r="AD552" s="9">
        <f>IF(H552="yes",AA552*N(O552)/100,0)</f>
        <v/>
      </c>
      <c r="AE552" s="10">
        <f>IF(P552="yes",AA552/1000,0)</f>
        <v/>
      </c>
      <c r="AF552" s="10">
        <f>IF(R552="FG2",AE552*W552,AE552)</f>
        <v/>
      </c>
    </row>
    <row r="553">
      <c r="A553" s="6" t="inlineStr">
        <is>
          <t>HM00551</t>
        </is>
      </c>
      <c r="B553" s="7" t="inlineStr">
        <is>
          <t>2209820707930</t>
        </is>
      </c>
      <c r="C553" s="6" t="inlineStr">
        <is>
          <t>HM APPLES GALA LOOSE</t>
        </is>
      </c>
      <c r="D553" s="6" t="inlineStr">
        <is>
          <t>Gala apples</t>
        </is>
      </c>
      <c r="E553" s="6" t="inlineStr">
        <is>
          <t>Harbour Market</t>
        </is>
      </c>
      <c r="F553" s="6" t="inlineStr">
        <is>
          <t>Fruit &amp; Vegetables</t>
        </is>
      </c>
      <c r="G553" s="6" t="inlineStr">
        <is>
          <t>Fruit</t>
        </is>
      </c>
      <c r="H553" s="6" t="inlineStr">
        <is>
          <t>yes</t>
        </is>
      </c>
      <c r="I553" s="6" t="inlineStr">
        <is>
          <t>Plant-based non-core</t>
        </is>
      </c>
      <c r="J553" s="6" t="inlineStr">
        <is>
          <t>B</t>
        </is>
      </c>
      <c r="K553" s="6" t="inlineStr">
        <is>
          <t>Follows the class</t>
        </is>
      </c>
      <c r="L553" s="6" t="n">
        <v>0.29</v>
      </c>
      <c r="M553" s="6" t="inlineStr">
        <is>
          <t>Declared by the retailer</t>
        </is>
      </c>
      <c r="N553" s="6" t="n">
        <v>0.29</v>
      </c>
      <c r="O553" s="6" t="n">
        <v>0</v>
      </c>
      <c r="P553" s="6" t="inlineStr">
        <is>
          <t>yes</t>
        </is>
      </c>
      <c r="Q553" s="6" t="inlineStr">
        <is>
          <t>whole</t>
        </is>
      </c>
      <c r="R553" s="6" t="inlineStr">
        <is>
          <t>FG4</t>
        </is>
      </c>
      <c r="S553" s="6" t="n"/>
      <c r="T553" s="6" t="inlineStr">
        <is>
          <t>plant</t>
        </is>
      </c>
      <c r="U553" s="6" t="n"/>
      <c r="V553" s="6" t="n"/>
      <c r="W553" s="6" t="n">
        <v>1</v>
      </c>
      <c r="X553" s="6" t="n">
        <v>1</v>
      </c>
      <c r="Y553" s="6" t="inlineStr">
        <is>
          <t>variable</t>
        </is>
      </c>
      <c r="Z553" s="8" t="n">
        <v>63435</v>
      </c>
      <c r="AA553" s="9">
        <f>IF(H553="yes",Z553*X553,0)</f>
        <v/>
      </c>
      <c r="AB553" s="9">
        <f>IF(H553="yes",AA553*N(L553)/100,0)</f>
        <v/>
      </c>
      <c r="AC553" s="9">
        <f>IF(H553="yes",AA553*N(N553)/100,0)</f>
        <v/>
      </c>
      <c r="AD553" s="9">
        <f>IF(H553="yes",AA553*N(O553)/100,0)</f>
        <v/>
      </c>
      <c r="AE553" s="10">
        <f>IF(P553="yes",AA553/1000,0)</f>
        <v/>
      </c>
      <c r="AF553" s="10">
        <f>IF(R553="FG2",AE553*W553,AE553)</f>
        <v/>
      </c>
    </row>
    <row r="554">
      <c r="A554" s="6" t="inlineStr">
        <is>
          <t>HM00552</t>
        </is>
      </c>
      <c r="B554" s="7" t="inlineStr">
        <is>
          <t>3012345781374</t>
        </is>
      </c>
      <c r="C554" s="6" t="inlineStr">
        <is>
          <t>HM PORK CHIPOLATAS 6PK</t>
        </is>
      </c>
      <c r="D554" s="6" t="inlineStr">
        <is>
          <t>Pork chipolatas, 6pk</t>
        </is>
      </c>
      <c r="E554" s="6" t="inlineStr">
        <is>
          <t>Harbour Market</t>
        </is>
      </c>
      <c r="F554" s="6" t="inlineStr">
        <is>
          <t>Fresh Meat &amp; Poultry</t>
        </is>
      </c>
      <c r="G554" s="6" t="inlineStr">
        <is>
          <t>Sausages &amp; Burgers</t>
        </is>
      </c>
      <c r="H554" s="6" t="inlineStr">
        <is>
          <t>yes</t>
        </is>
      </c>
      <c r="I554" s="6" t="inlineStr">
        <is>
          <t>Animal core</t>
        </is>
      </c>
      <c r="J554" s="6" t="inlineStr">
        <is>
          <t>B</t>
        </is>
      </c>
      <c r="K554" s="6" t="inlineStr">
        <is>
          <t>First ingredient (step 4a)</t>
        </is>
      </c>
      <c r="L554" s="6" t="n">
        <v>14.8</v>
      </c>
      <c r="M554" s="6" t="inlineStr">
        <is>
          <t>Declared by the retailer</t>
        </is>
      </c>
      <c r="N554" s="6" t="n">
        <v>0</v>
      </c>
      <c r="O554" s="6" t="n">
        <v>14.8</v>
      </c>
      <c r="P554" s="6" t="inlineStr">
        <is>
          <t>yes</t>
        </is>
      </c>
      <c r="Q554" s="6" t="inlineStr">
        <is>
          <t>whole</t>
        </is>
      </c>
      <c r="R554" s="6" t="inlineStr">
        <is>
          <t>FG1</t>
        </is>
      </c>
      <c r="S554" s="6" t="inlineStr">
        <is>
          <t>red meat</t>
        </is>
      </c>
      <c r="T554" s="6" t="inlineStr">
        <is>
          <t>animal</t>
        </is>
      </c>
      <c r="U554" s="6" t="n"/>
      <c r="V554" s="6" t="n"/>
      <c r="W554" s="6" t="n">
        <v>1</v>
      </c>
      <c r="X554" s="6" t="n">
        <v>0.4</v>
      </c>
      <c r="Y554" s="6" t="inlineStr">
        <is>
          <t>declared</t>
        </is>
      </c>
      <c r="Z554" s="8" t="n">
        <v>18501</v>
      </c>
      <c r="AA554" s="9">
        <f>IF(H554="yes",Z554*X554,0)</f>
        <v/>
      </c>
      <c r="AB554" s="9">
        <f>IF(H554="yes",AA554*N(L554)/100,0)</f>
        <v/>
      </c>
      <c r="AC554" s="9">
        <f>IF(H554="yes",AA554*N(N554)/100,0)</f>
        <v/>
      </c>
      <c r="AD554" s="9">
        <f>IF(H554="yes",AA554*N(O554)/100,0)</f>
        <v/>
      </c>
      <c r="AE554" s="10">
        <f>IF(P554="yes",AA554/1000,0)</f>
        <v/>
      </c>
      <c r="AF554" s="10">
        <f>IF(R554="FG2",AE554*W554,AE554)</f>
        <v/>
      </c>
    </row>
    <row r="555">
      <c r="A555" s="6" t="inlineStr">
        <is>
          <t>HM00553</t>
        </is>
      </c>
      <c r="B555" s="7" t="inlineStr">
        <is>
          <t>8712345619947</t>
        </is>
      </c>
      <c r="C555" s="6" t="inlineStr">
        <is>
          <t>TARROW BF FILLET STK 300G</t>
        </is>
      </c>
      <c r="D555" s="6" t="inlineStr">
        <is>
          <t>Beef fillet steak, 300g</t>
        </is>
      </c>
      <c r="E555" s="6" t="inlineStr">
        <is>
          <t>Tarrow Farm</t>
        </is>
      </c>
      <c r="F555" s="6" t="inlineStr">
        <is>
          <t>Fresh Meat &amp; Poultry</t>
        </is>
      </c>
      <c r="G555" s="6" t="inlineStr">
        <is>
          <t>Beef</t>
        </is>
      </c>
      <c r="H555" s="6" t="inlineStr">
        <is>
          <t>yes</t>
        </is>
      </c>
      <c r="I555" s="6" t="inlineStr">
        <is>
          <t>Animal core</t>
        </is>
      </c>
      <c r="J555" s="6" t="inlineStr">
        <is>
          <t>B</t>
        </is>
      </c>
      <c r="K555" s="6" t="inlineStr">
        <is>
          <t>Follows the class</t>
        </is>
      </c>
      <c r="L555" s="6" t="n">
        <v>21.4</v>
      </c>
      <c r="M555" s="6" t="inlineStr">
        <is>
          <t>Name match (CIQUAL / NEVO)</t>
        </is>
      </c>
      <c r="N555" s="6" t="n">
        <v>0</v>
      </c>
      <c r="O555" s="6" t="n">
        <v>21.4</v>
      </c>
      <c r="P555" s="6" t="inlineStr">
        <is>
          <t>yes</t>
        </is>
      </c>
      <c r="Q555" s="6" t="inlineStr">
        <is>
          <t>whole</t>
        </is>
      </c>
      <c r="R555" s="6" t="inlineStr">
        <is>
          <t>FG1</t>
        </is>
      </c>
      <c r="S555" s="6" t="inlineStr">
        <is>
          <t>red meat</t>
        </is>
      </c>
      <c r="T555" s="6" t="inlineStr">
        <is>
          <t>animal</t>
        </is>
      </c>
      <c r="U555" s="6" t="n"/>
      <c r="V555" s="6" t="n"/>
      <c r="W555" s="6" t="n">
        <v>1</v>
      </c>
      <c r="X555" s="6" t="n">
        <v>0.3</v>
      </c>
      <c r="Y555" s="6" t="inlineStr">
        <is>
          <t>declared</t>
        </is>
      </c>
      <c r="Z555" s="8" t="n">
        <v>61238</v>
      </c>
      <c r="AA555" s="9">
        <f>IF(H555="yes",Z555*X555,0)</f>
        <v/>
      </c>
      <c r="AB555" s="9">
        <f>IF(H555="yes",AA555*N(L555)/100,0)</f>
        <v/>
      </c>
      <c r="AC555" s="9">
        <f>IF(H555="yes",AA555*N(N555)/100,0)</f>
        <v/>
      </c>
      <c r="AD555" s="9">
        <f>IF(H555="yes",AA555*N(O555)/100,0)</f>
        <v/>
      </c>
      <c r="AE555" s="10">
        <f>IF(P555="yes",AA555/1000,0)</f>
        <v/>
      </c>
      <c r="AF555" s="10">
        <f>IF(R555="FG2",AE555*W555,AE555)</f>
        <v/>
      </c>
    </row>
    <row r="556">
      <c r="A556" s="6" t="inlineStr">
        <is>
          <t>HM00554</t>
        </is>
      </c>
      <c r="B556" s="7" t="inlineStr">
        <is>
          <t>4012345203301</t>
        </is>
      </c>
      <c r="C556" s="6" t="inlineStr">
        <is>
          <t>CASTELNA DIJON MUSTARD 200G</t>
        </is>
      </c>
      <c r="D556" s="6" t="inlineStr">
        <is>
          <t>Dijon mustard, 200g</t>
        </is>
      </c>
      <c r="E556" s="6" t="inlineStr">
        <is>
          <t>Castelna</t>
        </is>
      </c>
      <c r="F556" s="6" t="inlineStr">
        <is>
          <t>Grocery</t>
        </is>
      </c>
      <c r="G556" s="6" t="inlineStr">
        <is>
          <t>Condiments</t>
        </is>
      </c>
      <c r="H556" s="6" t="inlineStr">
        <is>
          <t>yes</t>
        </is>
      </c>
      <c r="I556" s="6" t="inlineStr">
        <is>
          <t>Plant-based non-core</t>
        </is>
      </c>
      <c r="J556" s="6" t="inlineStr">
        <is>
          <t>A</t>
        </is>
      </c>
      <c r="K556" s="6" t="inlineStr">
        <is>
          <t>All ingredients on one side</t>
        </is>
      </c>
      <c r="L556" s="6" t="n">
        <v>5.7</v>
      </c>
      <c r="M556" s="6" t="inlineStr">
        <is>
          <t>Declared by the retailer</t>
        </is>
      </c>
      <c r="N556" s="6" t="n">
        <v>5.7</v>
      </c>
      <c r="O556" s="6" t="n">
        <v>0</v>
      </c>
      <c r="P556" s="6" t="inlineStr">
        <is>
          <t>no</t>
        </is>
      </c>
      <c r="Q556" s="6" t="n"/>
      <c r="R556" s="6" t="n"/>
      <c r="S556" s="6" t="n"/>
      <c r="T556" s="6" t="n"/>
      <c r="U556" s="6" t="n"/>
      <c r="V556" s="6" t="inlineStr">
        <is>
          <t>condiment</t>
        </is>
      </c>
      <c r="W556" s="6" t="n">
        <v>1</v>
      </c>
      <c r="X556" s="6" t="n">
        <v>0.2</v>
      </c>
      <c r="Y556" s="6" t="inlineStr">
        <is>
          <t>declared</t>
        </is>
      </c>
      <c r="Z556" s="8" t="n">
        <v>30769</v>
      </c>
      <c r="AA556" s="9">
        <f>IF(H556="yes",Z556*X556,0)</f>
        <v/>
      </c>
      <c r="AB556" s="9">
        <f>IF(H556="yes",AA556*N(L556)/100,0)</f>
        <v/>
      </c>
      <c r="AC556" s="9">
        <f>IF(H556="yes",AA556*N(N556)/100,0)</f>
        <v/>
      </c>
      <c r="AD556" s="9">
        <f>IF(H556="yes",AA556*N(O556)/100,0)</f>
        <v/>
      </c>
      <c r="AE556" s="10">
        <f>IF(P556="yes",AA556/1000,0)</f>
        <v/>
      </c>
      <c r="AF556" s="10">
        <f>IF(R556="FG2",AE556*W556,AE556)</f>
        <v/>
      </c>
    </row>
    <row r="557">
      <c r="A557" s="6" t="inlineStr">
        <is>
          <t>HM00555</t>
        </is>
      </c>
      <c r="B557" s="7" t="inlineStr">
        <is>
          <t>3012345155106</t>
        </is>
      </c>
      <c r="C557" s="6" t="inlineStr">
        <is>
          <t>TEST ITEM DO NOT USE</t>
        </is>
      </c>
      <c r="D557" s="6" t="inlineStr">
        <is>
          <t>Test item</t>
        </is>
      </c>
      <c r="E557" s="6" t="inlineStr">
        <is>
          <t>Harbour Market</t>
        </is>
      </c>
      <c r="F557" s="6" t="inlineStr">
        <is>
          <t>Household</t>
        </is>
      </c>
      <c r="G557" s="6" t="inlineStr">
        <is>
          <t>Household</t>
        </is>
      </c>
      <c r="H557" s="6" t="inlineStr">
        <is>
          <t>no</t>
        </is>
      </c>
      <c r="I557" s="6" t="n"/>
      <c r="J557" s="6" t="n"/>
      <c r="K557" s="6" t="n"/>
      <c r="L557" s="6" t="n"/>
      <c r="M557" s="6" t="n"/>
      <c r="N557" s="6" t="n"/>
      <c r="O557" s="6" t="n"/>
      <c r="P557" s="6" t="inlineStr">
        <is>
          <t>no</t>
        </is>
      </c>
      <c r="Q557" s="6" t="n"/>
      <c r="R557" s="6" t="n"/>
      <c r="S557" s="6" t="n"/>
      <c r="T557" s="6" t="n"/>
      <c r="U557" s="6" t="n"/>
      <c r="V557" s="6" t="n"/>
      <c r="W557" s="6" t="n">
        <v>1</v>
      </c>
      <c r="X557" s="6" t="n">
        <v>0.3</v>
      </c>
      <c r="Y557" s="6" t="inlineStr">
        <is>
          <t>declared</t>
        </is>
      </c>
      <c r="Z557" s="8" t="n">
        <v>20114</v>
      </c>
      <c r="AA557" s="9">
        <f>IF(H557="yes",Z557*X557,0)</f>
        <v/>
      </c>
      <c r="AB557" s="9">
        <f>IF(H557="yes",AA557*N(L557)/100,0)</f>
        <v/>
      </c>
      <c r="AC557" s="9">
        <f>IF(H557="yes",AA557*N(N557)/100,0)</f>
        <v/>
      </c>
      <c r="AD557" s="9">
        <f>IF(H557="yes",AA557*N(O557)/100,0)</f>
        <v/>
      </c>
      <c r="AE557" s="10">
        <f>IF(P557="yes",AA557/1000,0)</f>
        <v/>
      </c>
      <c r="AF557" s="10">
        <f>IF(R557="FG2",AE557*W557,AE557)</f>
        <v/>
      </c>
    </row>
    <row r="558">
      <c r="A558" s="6" t="inlineStr">
        <is>
          <t>HM00556</t>
        </is>
      </c>
      <c r="B558" s="7" t="inlineStr">
        <is>
          <t>3012345355216</t>
        </is>
      </c>
      <c r="C558" s="6" t="inlineStr">
        <is>
          <t>CHKN TIKKA MASALA RICE 450G QUILLAN</t>
        </is>
      </c>
      <c r="D558" s="6" t="inlineStr">
        <is>
          <t>Chicken tikka masala with rice, 450g</t>
        </is>
      </c>
      <c r="E558" s="6" t="inlineStr">
        <is>
          <t>Quillan</t>
        </is>
      </c>
      <c r="F558" s="6" t="inlineStr">
        <is>
          <t>Ready Meals</t>
        </is>
      </c>
      <c r="G558" s="6" t="inlineStr">
        <is>
          <t>Ready Meals</t>
        </is>
      </c>
      <c r="H558" s="6" t="inlineStr">
        <is>
          <t>yes</t>
        </is>
      </c>
      <c r="I558" s="6" t="inlineStr">
        <is>
          <t>Animal &amp; plant composite</t>
        </is>
      </c>
      <c r="J558" s="6" t="inlineStr">
        <is>
          <t>B</t>
        </is>
      </c>
      <c r="K558" s="6" t="inlineStr">
        <is>
          <t>50/50 convention</t>
        </is>
      </c>
      <c r="L558" s="6" t="n">
        <v>6.8</v>
      </c>
      <c r="M558" s="6" t="inlineStr">
        <is>
          <t>Open Food Facts, by EAN</t>
        </is>
      </c>
      <c r="N558" s="6" t="n">
        <v>3.4</v>
      </c>
      <c r="O558" s="6" t="n">
        <v>3.4</v>
      </c>
      <c r="P558" s="6" t="inlineStr">
        <is>
          <t>yes</t>
        </is>
      </c>
      <c r="Q558" s="6" t="inlineStr">
        <is>
          <t>composite</t>
        </is>
      </c>
      <c r="R558" s="6" t="n"/>
      <c r="S558" s="6" t="n"/>
      <c r="T558" s="6" t="n"/>
      <c r="U558" s="6" t="inlineStr">
        <is>
          <t>meat-based</t>
        </is>
      </c>
      <c r="V558" s="6" t="n"/>
      <c r="W558" s="6" t="n">
        <v>1</v>
      </c>
      <c r="X558" s="6" t="n">
        <v>0.45</v>
      </c>
      <c r="Y558" s="6" t="inlineStr">
        <is>
          <t>declared</t>
        </is>
      </c>
      <c r="Z558" s="8" t="n">
        <v>23098</v>
      </c>
      <c r="AA558" s="9">
        <f>IF(H558="yes",Z558*X558,0)</f>
        <v/>
      </c>
      <c r="AB558" s="9">
        <f>IF(H558="yes",AA558*N(L558)/100,0)</f>
        <v/>
      </c>
      <c r="AC558" s="9">
        <f>IF(H558="yes",AA558*N(N558)/100,0)</f>
        <v/>
      </c>
      <c r="AD558" s="9">
        <f>IF(H558="yes",AA558*N(O558)/100,0)</f>
        <v/>
      </c>
      <c r="AE558" s="10">
        <f>IF(P558="yes",AA558/1000,0)</f>
        <v/>
      </c>
      <c r="AF558" s="10">
        <f>IF(R558="FG2",AE558*W558,AE558)</f>
        <v/>
      </c>
    </row>
    <row r="559">
      <c r="A559" s="6" t="inlineStr">
        <is>
          <t>HM00557</t>
        </is>
      </c>
      <c r="B559" s="7" t="inlineStr">
        <is>
          <t>4012345139419</t>
        </is>
      </c>
      <c r="C559" s="6" t="inlineStr">
        <is>
          <t>HM BROCCOLI 500G</t>
        </is>
      </c>
      <c r="D559" s="6" t="inlineStr">
        <is>
          <t>Broccoli, 500g</t>
        </is>
      </c>
      <c r="E559" s="6" t="inlineStr">
        <is>
          <t>Harbour Market</t>
        </is>
      </c>
      <c r="F559" s="6" t="inlineStr">
        <is>
          <t>Fruit &amp; Vegetables</t>
        </is>
      </c>
      <c r="G559" s="6" t="inlineStr">
        <is>
          <t>Vegetables</t>
        </is>
      </c>
      <c r="H559" s="6" t="inlineStr">
        <is>
          <t>yes</t>
        </is>
      </c>
      <c r="I559" s="6" t="inlineStr">
        <is>
          <t>Plant-based non-core</t>
        </is>
      </c>
      <c r="J559" s="6" t="inlineStr">
        <is>
          <t>B</t>
        </is>
      </c>
      <c r="K559" s="6" t="inlineStr">
        <is>
          <t>Follows the class</t>
        </is>
      </c>
      <c r="L559" s="6" t="n">
        <v>2.9</v>
      </c>
      <c r="M559" s="6" t="inlineStr">
        <is>
          <t>Declared by the retailer</t>
        </is>
      </c>
      <c r="N559" s="6" t="n">
        <v>2.9</v>
      </c>
      <c r="O559" s="6" t="n">
        <v>0</v>
      </c>
      <c r="P559" s="6" t="inlineStr">
        <is>
          <t>yes</t>
        </is>
      </c>
      <c r="Q559" s="6" t="inlineStr">
        <is>
          <t>whole</t>
        </is>
      </c>
      <c r="R559" s="6" t="inlineStr">
        <is>
          <t>FG4</t>
        </is>
      </c>
      <c r="S559" s="6" t="n"/>
      <c r="T559" s="6" t="inlineStr">
        <is>
          <t>plant</t>
        </is>
      </c>
      <c r="U559" s="6" t="n"/>
      <c r="V559" s="6" t="n"/>
      <c r="W559" s="6" t="n">
        <v>1</v>
      </c>
      <c r="X559" s="6" t="n">
        <v>0.5</v>
      </c>
      <c r="Y559" s="6" t="inlineStr">
        <is>
          <t>declared</t>
        </is>
      </c>
      <c r="Z559" s="8" t="n">
        <v>31965</v>
      </c>
      <c r="AA559" s="9">
        <f>IF(H559="yes",Z559*X559,0)</f>
        <v/>
      </c>
      <c r="AB559" s="9">
        <f>IF(H559="yes",AA559*N(L559)/100,0)</f>
        <v/>
      </c>
      <c r="AC559" s="9">
        <f>IF(H559="yes",AA559*N(N559)/100,0)</f>
        <v/>
      </c>
      <c r="AD559" s="9">
        <f>IF(H559="yes",AA559*N(O559)/100,0)</f>
        <v/>
      </c>
      <c r="AE559" s="10">
        <f>IF(P559="yes",AA559/1000,0)</f>
        <v/>
      </c>
      <c r="AF559" s="10">
        <f>IF(R559="FG2",AE559*W559,AE559)</f>
        <v/>
      </c>
    </row>
    <row r="560">
      <c r="A560" s="6" t="inlineStr">
        <is>
          <t>HM00558</t>
        </is>
      </c>
      <c r="B560" s="7" t="inlineStr">
        <is>
          <t>4012345286496</t>
        </is>
      </c>
      <c r="C560" s="6" t="inlineStr">
        <is>
          <t>HM CHEESE ONION QUICHE 2X400G</t>
        </is>
      </c>
      <c r="D560" s="6" t="inlineStr">
        <is>
          <t>Cheese &amp; onion quiche, 2x400g</t>
        </is>
      </c>
      <c r="E560" s="6" t="inlineStr">
        <is>
          <t>Harbour Market</t>
        </is>
      </c>
      <c r="F560" s="6" t="inlineStr">
        <is>
          <t>Ready Meals</t>
        </is>
      </c>
      <c r="G560" s="6" t="inlineStr">
        <is>
          <t>Ready Meals</t>
        </is>
      </c>
      <c r="H560" s="6" t="inlineStr">
        <is>
          <t>yes</t>
        </is>
      </c>
      <c r="I560" s="6" t="inlineStr">
        <is>
          <t>Animal &amp; plant composite</t>
        </is>
      </c>
      <c r="J560" s="6" t="inlineStr">
        <is>
          <t>B</t>
        </is>
      </c>
      <c r="K560" s="6" t="inlineStr">
        <is>
          <t>50/50 convention</t>
        </is>
      </c>
      <c r="L560" s="6" t="n">
        <v>7.8</v>
      </c>
      <c r="M560" s="6" t="inlineStr">
        <is>
          <t>Declared by the retailer</t>
        </is>
      </c>
      <c r="N560" s="6" t="n">
        <v>3.9</v>
      </c>
      <c r="O560" s="6" t="n">
        <v>3.9</v>
      </c>
      <c r="P560" s="6" t="inlineStr">
        <is>
          <t>yes</t>
        </is>
      </c>
      <c r="Q560" s="6" t="inlineStr">
        <is>
          <t>composite</t>
        </is>
      </c>
      <c r="R560" s="6" t="n"/>
      <c r="S560" s="6" t="n"/>
      <c r="T560" s="6" t="n"/>
      <c r="U560" s="6" t="inlineStr">
        <is>
          <t>vegetarian</t>
        </is>
      </c>
      <c r="V560" s="6" t="n"/>
      <c r="W560" s="6" t="n">
        <v>1</v>
      </c>
      <c r="X560" s="6" t="n">
        <v>0.8</v>
      </c>
      <c r="Y560" s="6" t="inlineStr">
        <is>
          <t>declared</t>
        </is>
      </c>
      <c r="Z560" s="8" t="n">
        <v>7226</v>
      </c>
      <c r="AA560" s="9">
        <f>IF(H560="yes",Z560*X560,0)</f>
        <v/>
      </c>
      <c r="AB560" s="9">
        <f>IF(H560="yes",AA560*N(L560)/100,0)</f>
        <v/>
      </c>
      <c r="AC560" s="9">
        <f>IF(H560="yes",AA560*N(N560)/100,0)</f>
        <v/>
      </c>
      <c r="AD560" s="9">
        <f>IF(H560="yes",AA560*N(O560)/100,0)</f>
        <v/>
      </c>
      <c r="AE560" s="10">
        <f>IF(P560="yes",AA560/1000,0)</f>
        <v/>
      </c>
      <c r="AF560" s="10">
        <f>IF(R560="FG2",AE560*W560,AE560)</f>
        <v/>
      </c>
    </row>
    <row r="561">
      <c r="A561" s="6" t="inlineStr">
        <is>
          <t>HM00559</t>
        </is>
      </c>
      <c r="B561" s="7" t="inlineStr">
        <is>
          <t>8712345372811</t>
        </is>
      </c>
      <c r="C561" s="6" t="inlineStr">
        <is>
          <t>HM BLENDED WHISKY 1L</t>
        </is>
      </c>
      <c r="D561" s="6" t="inlineStr">
        <is>
          <t>Blended whisky, 1l</t>
        </is>
      </c>
      <c r="E561" s="6" t="inlineStr">
        <is>
          <t>Harbour Market</t>
        </is>
      </c>
      <c r="F561" s="6" t="inlineStr">
        <is>
          <t>Beer, Wine &amp; Spirits</t>
        </is>
      </c>
      <c r="G561" s="6" t="inlineStr">
        <is>
          <t>Spirits</t>
        </is>
      </c>
      <c r="H561" s="6" t="inlineStr">
        <is>
          <t>yes</t>
        </is>
      </c>
      <c r="I561" s="6" t="inlineStr">
        <is>
          <t>Plant-based non-core</t>
        </is>
      </c>
      <c r="J561" s="6" t="inlineStr">
        <is>
          <t>B</t>
        </is>
      </c>
      <c r="K561" s="6" t="inlineStr">
        <is>
          <t>Follows the class</t>
        </is>
      </c>
      <c r="L561" s="6" t="n">
        <v>0</v>
      </c>
      <c r="M561" s="6" t="inlineStr">
        <is>
          <t>Declared by the retailer</t>
        </is>
      </c>
      <c r="N561" s="6" t="n">
        <v>0</v>
      </c>
      <c r="O561" s="6" t="n">
        <v>0</v>
      </c>
      <c r="P561" s="6" t="inlineStr">
        <is>
          <t>no</t>
        </is>
      </c>
      <c r="Q561" s="6" t="n"/>
      <c r="R561" s="6" t="n"/>
      <c r="S561" s="6" t="n"/>
      <c r="T561" s="6" t="n"/>
      <c r="U561" s="6" t="n"/>
      <c r="V561" s="6" t="inlineStr">
        <is>
          <t>alcohol</t>
        </is>
      </c>
      <c r="W561" s="6" t="n">
        <v>1</v>
      </c>
      <c r="X561" s="6" t="n">
        <v>1</v>
      </c>
      <c r="Y561" s="6" t="inlineStr">
        <is>
          <t>declared</t>
        </is>
      </c>
      <c r="Z561" s="8" t="n">
        <v>2429</v>
      </c>
      <c r="AA561" s="9">
        <f>IF(H561="yes",Z561*X561,0)</f>
        <v/>
      </c>
      <c r="AB561" s="9">
        <f>IF(H561="yes",AA561*N(L561)/100,0)</f>
        <v/>
      </c>
      <c r="AC561" s="9">
        <f>IF(H561="yes",AA561*N(N561)/100,0)</f>
        <v/>
      </c>
      <c r="AD561" s="9">
        <f>IF(H561="yes",AA561*N(O561)/100,0)</f>
        <v/>
      </c>
      <c r="AE561" s="10">
        <f>IF(P561="yes",AA561/1000,0)</f>
        <v/>
      </c>
      <c r="AF561" s="10">
        <f>IF(R561="FG2",AE561*W561,AE561)</f>
        <v/>
      </c>
    </row>
    <row r="562">
      <c r="A562" s="6" t="inlineStr">
        <is>
          <t>HM00560</t>
        </is>
      </c>
      <c r="B562" s="7" t="inlineStr">
        <is>
          <t>3012345212458</t>
        </is>
      </c>
      <c r="C562" s="6" t="inlineStr">
        <is>
          <t>TARROW BF MINCE 5% 750G</t>
        </is>
      </c>
      <c r="D562" s="6" t="inlineStr">
        <is>
          <t>Beef mince, 5% fat, 750g</t>
        </is>
      </c>
      <c r="E562" s="6" t="inlineStr">
        <is>
          <t>Tarrow Farm</t>
        </is>
      </c>
      <c r="F562" s="6" t="inlineStr">
        <is>
          <t>Fresh Meat &amp; Poultry</t>
        </is>
      </c>
      <c r="G562" s="6" t="inlineStr">
        <is>
          <t>Beef</t>
        </is>
      </c>
      <c r="H562" s="6" t="inlineStr">
        <is>
          <t>yes</t>
        </is>
      </c>
      <c r="I562" s="6" t="inlineStr">
        <is>
          <t>Animal core</t>
        </is>
      </c>
      <c r="J562" s="6" t="inlineStr">
        <is>
          <t>A</t>
        </is>
      </c>
      <c r="K562" s="6" t="inlineStr">
        <is>
          <t>All ingredients on one side</t>
        </is>
      </c>
      <c r="L562" s="6" t="n">
        <v>21.1</v>
      </c>
      <c r="M562" s="6" t="inlineStr">
        <is>
          <t>Name match (CIQUAL / NEVO)</t>
        </is>
      </c>
      <c r="N562" s="6" t="n">
        <v>0</v>
      </c>
      <c r="O562" s="6" t="n">
        <v>21.1</v>
      </c>
      <c r="P562" s="6" t="inlineStr">
        <is>
          <t>yes</t>
        </is>
      </c>
      <c r="Q562" s="6" t="inlineStr">
        <is>
          <t>whole</t>
        </is>
      </c>
      <c r="R562" s="6" t="inlineStr">
        <is>
          <t>FG1</t>
        </is>
      </c>
      <c r="S562" s="6" t="inlineStr">
        <is>
          <t>red meat</t>
        </is>
      </c>
      <c r="T562" s="6" t="inlineStr">
        <is>
          <t>animal</t>
        </is>
      </c>
      <c r="U562" s="6" t="n"/>
      <c r="V562" s="6" t="n"/>
      <c r="W562" s="6" t="n">
        <v>1</v>
      </c>
      <c r="X562" s="6" t="n">
        <v>0.75</v>
      </c>
      <c r="Y562" s="6" t="inlineStr">
        <is>
          <t>declared</t>
        </is>
      </c>
      <c r="Z562" s="8" t="n">
        <v>19496</v>
      </c>
      <c r="AA562" s="9">
        <f>IF(H562="yes",Z562*X562,0)</f>
        <v/>
      </c>
      <c r="AB562" s="9">
        <f>IF(H562="yes",AA562*N(L562)/100,0)</f>
        <v/>
      </c>
      <c r="AC562" s="9">
        <f>IF(H562="yes",AA562*N(N562)/100,0)</f>
        <v/>
      </c>
      <c r="AD562" s="9">
        <f>IF(H562="yes",AA562*N(O562)/100,0)</f>
        <v/>
      </c>
      <c r="AE562" s="10">
        <f>IF(P562="yes",AA562/1000,0)</f>
        <v/>
      </c>
      <c r="AF562" s="10">
        <f>IF(R562="FG2",AE562*W562,AE562)</f>
        <v/>
      </c>
    </row>
    <row r="563">
      <c r="A563" s="6" t="inlineStr">
        <is>
          <t>HM00561</t>
        </is>
      </c>
      <c r="B563" s="7" t="inlineStr">
        <is>
          <t>4012345424133</t>
        </is>
      </c>
      <c r="C563" s="6" t="inlineStr">
        <is>
          <t>CHEESE ONION CRISPS 6PK 150G PENROCK</t>
        </is>
      </c>
      <c r="D563" s="6" t="inlineStr">
        <is>
          <t>Cheese &amp; onion crisps, 6pk 150g</t>
        </is>
      </c>
      <c r="E563" s="6" t="inlineStr">
        <is>
          <t>Penrock</t>
        </is>
      </c>
      <c r="F563" s="6" t="inlineStr">
        <is>
          <t>Breakfast &amp; Snacks</t>
        </is>
      </c>
      <c r="G563" s="6" t="inlineStr">
        <is>
          <t>Crisps</t>
        </is>
      </c>
      <c r="H563" s="6" t="inlineStr">
        <is>
          <t>yes</t>
        </is>
      </c>
      <c r="I563" s="6" t="inlineStr">
        <is>
          <t>Animal &amp; plant composite</t>
        </is>
      </c>
      <c r="J563" s="6" t="inlineStr">
        <is>
          <t>A</t>
        </is>
      </c>
      <c r="K563" s="6" t="inlineStr">
        <is>
          <t>NEVO food table (ratio only)</t>
        </is>
      </c>
      <c r="L563" s="6" t="n">
        <v>5.8</v>
      </c>
      <c r="M563" s="6" t="inlineStr">
        <is>
          <t>Declared by the retailer</t>
        </is>
      </c>
      <c r="N563" s="6" t="n">
        <v>5.39</v>
      </c>
      <c r="O563" s="6" t="n">
        <v>0.41</v>
      </c>
      <c r="P563" s="6" t="inlineStr">
        <is>
          <t>yes</t>
        </is>
      </c>
      <c r="Q563" s="6" t="inlineStr">
        <is>
          <t>whole</t>
        </is>
      </c>
      <c r="R563" s="6" t="inlineStr">
        <is>
          <t>FG7</t>
        </is>
      </c>
      <c r="S563" s="6" t="n"/>
      <c r="T563" s="6" t="inlineStr">
        <is>
          <t>animal</t>
        </is>
      </c>
      <c r="U563" s="6" t="n"/>
      <c r="V563" s="6" t="n"/>
      <c r="W563" s="6" t="n">
        <v>1</v>
      </c>
      <c r="X563" s="6" t="n">
        <v>0.15</v>
      </c>
      <c r="Y563" s="6" t="inlineStr">
        <is>
          <t>declared</t>
        </is>
      </c>
      <c r="Z563" s="8" t="n">
        <v>10073</v>
      </c>
      <c r="AA563" s="9">
        <f>IF(H563="yes",Z563*X563,0)</f>
        <v/>
      </c>
      <c r="AB563" s="9">
        <f>IF(H563="yes",AA563*N(L563)/100,0)</f>
        <v/>
      </c>
      <c r="AC563" s="9">
        <f>IF(H563="yes",AA563*N(N563)/100,0)</f>
        <v/>
      </c>
      <c r="AD563" s="9">
        <f>IF(H563="yes",AA563*N(O563)/100,0)</f>
        <v/>
      </c>
      <c r="AE563" s="10">
        <f>IF(P563="yes",AA563/1000,0)</f>
        <v/>
      </c>
      <c r="AF563" s="10">
        <f>IF(R563="FG2",AE563*W563,AE563)</f>
        <v/>
      </c>
    </row>
    <row r="564">
      <c r="A564" s="6" t="inlineStr">
        <is>
          <t>HM00562</t>
        </is>
      </c>
      <c r="B564" s="7" t="inlineStr">
        <is>
          <t>4012345519990</t>
        </is>
      </c>
      <c r="C564" s="6" t="inlineStr">
        <is>
          <t>FJELDA STRAWB MILKSHAKE 1L</t>
        </is>
      </c>
      <c r="D564" s="6" t="inlineStr">
        <is>
          <t>Strawberry milkshake, 1l</t>
        </is>
      </c>
      <c r="E564" s="6" t="inlineStr">
        <is>
          <t>Fjelda</t>
        </is>
      </c>
      <c r="F564" s="6" t="inlineStr">
        <is>
          <t>Dairy &amp; Eggs</t>
        </is>
      </c>
      <c r="G564" s="6" t="inlineStr">
        <is>
          <t>Milk Drinks</t>
        </is>
      </c>
      <c r="H564" s="6" t="inlineStr">
        <is>
          <t>yes</t>
        </is>
      </c>
      <c r="I564" s="6" t="inlineStr">
        <is>
          <t>Animal core</t>
        </is>
      </c>
      <c r="J564" s="6" t="inlineStr">
        <is>
          <t>B</t>
        </is>
      </c>
      <c r="K564" s="6" t="inlineStr">
        <is>
          <t>First ingredient (step 4a)</t>
        </is>
      </c>
      <c r="L564" s="6" t="n">
        <v>3.4</v>
      </c>
      <c r="M564" s="6" t="inlineStr">
        <is>
          <t>Name match (CIQUAL / NEVO)</t>
        </is>
      </c>
      <c r="N564" s="6" t="n">
        <v>0</v>
      </c>
      <c r="O564" s="6" t="n">
        <v>3.4</v>
      </c>
      <c r="P564" s="6" t="inlineStr">
        <is>
          <t>yes</t>
        </is>
      </c>
      <c r="Q564" s="6" t="inlineStr">
        <is>
          <t>whole</t>
        </is>
      </c>
      <c r="R564" s="6" t="inlineStr">
        <is>
          <t>FG2</t>
        </is>
      </c>
      <c r="S564" s="6" t="inlineStr">
        <is>
          <t>dairy</t>
        </is>
      </c>
      <c r="T564" s="6" t="inlineStr">
        <is>
          <t>animal</t>
        </is>
      </c>
      <c r="U564" s="6" t="n"/>
      <c r="V564" s="6" t="n"/>
      <c r="W564" s="6" t="n">
        <v>1</v>
      </c>
      <c r="X564" s="6" t="n">
        <v>1.03</v>
      </c>
      <c r="Y564" s="6" t="inlineStr">
        <is>
          <t>declared</t>
        </is>
      </c>
      <c r="Z564" s="8" t="n">
        <v>14725</v>
      </c>
      <c r="AA564" s="9">
        <f>IF(H564="yes",Z564*X564,0)</f>
        <v/>
      </c>
      <c r="AB564" s="9">
        <f>IF(H564="yes",AA564*N(L564)/100,0)</f>
        <v/>
      </c>
      <c r="AC564" s="9">
        <f>IF(H564="yes",AA564*N(N564)/100,0)</f>
        <v/>
      </c>
      <c r="AD564" s="9">
        <f>IF(H564="yes",AA564*N(O564)/100,0)</f>
        <v/>
      </c>
      <c r="AE564" s="10">
        <f>IF(P564="yes",AA564/1000,0)</f>
        <v/>
      </c>
      <c r="AF564" s="10">
        <f>IF(R564="FG2",AE564*W564,AE564)</f>
        <v/>
      </c>
    </row>
    <row r="565">
      <c r="A565" s="6" t="inlineStr">
        <is>
          <t>HM00563</t>
        </is>
      </c>
      <c r="B565" s="7" t="inlineStr">
        <is>
          <t>3012345213028</t>
        </is>
      </c>
      <c r="C565" s="6" t="inlineStr">
        <is>
          <t>HM SARDINES OLV OIL 4X110G</t>
        </is>
      </c>
      <c r="D565" s="6" t="inlineStr">
        <is>
          <t>Sardines in olive oil, 4x110g</t>
        </is>
      </c>
      <c r="E565" s="6" t="inlineStr">
        <is>
          <t>Harbour Market</t>
        </is>
      </c>
      <c r="F565" s="6" t="inlineStr">
        <is>
          <t>Fish &amp; Seafood</t>
        </is>
      </c>
      <c r="G565" s="6" t="inlineStr">
        <is>
          <t>Canned Fish</t>
        </is>
      </c>
      <c r="H565" s="6" t="inlineStr">
        <is>
          <t>yes</t>
        </is>
      </c>
      <c r="I565" s="6" t="inlineStr">
        <is>
          <t>Animal core</t>
        </is>
      </c>
      <c r="J565" s="6" t="inlineStr">
        <is>
          <t>A</t>
        </is>
      </c>
      <c r="K565" s="6" t="inlineStr">
        <is>
          <t>All ingredients on one side</t>
        </is>
      </c>
      <c r="L565" s="6" t="n">
        <v>22.7</v>
      </c>
      <c r="M565" s="6" t="inlineStr">
        <is>
          <t>Declared by the retailer</t>
        </is>
      </c>
      <c r="N565" s="6" t="n">
        <v>0</v>
      </c>
      <c r="O565" s="6" t="n">
        <v>22.7</v>
      </c>
      <c r="P565" s="6" t="inlineStr">
        <is>
          <t>yes</t>
        </is>
      </c>
      <c r="Q565" s="6" t="inlineStr">
        <is>
          <t>whole</t>
        </is>
      </c>
      <c r="R565" s="6" t="inlineStr">
        <is>
          <t>FG1</t>
        </is>
      </c>
      <c r="S565" s="6" t="inlineStr">
        <is>
          <t>fish shellfish</t>
        </is>
      </c>
      <c r="T565" s="6" t="inlineStr">
        <is>
          <t>animal</t>
        </is>
      </c>
      <c r="U565" s="6" t="n"/>
      <c r="V565" s="6" t="n"/>
      <c r="W565" s="6" t="n">
        <v>1</v>
      </c>
      <c r="X565" s="6" t="n">
        <v>0.44</v>
      </c>
      <c r="Y565" s="6" t="inlineStr">
        <is>
          <t>declared</t>
        </is>
      </c>
      <c r="Z565" s="8" t="n">
        <v>21555</v>
      </c>
      <c r="AA565" s="9">
        <f>IF(H565="yes",Z565*X565,0)</f>
        <v/>
      </c>
      <c r="AB565" s="9">
        <f>IF(H565="yes",AA565*N(L565)/100,0)</f>
        <v/>
      </c>
      <c r="AC565" s="9">
        <f>IF(H565="yes",AA565*N(N565)/100,0)</f>
        <v/>
      </c>
      <c r="AD565" s="9">
        <f>IF(H565="yes",AA565*N(O565)/100,0)</f>
        <v/>
      </c>
      <c r="AE565" s="10">
        <f>IF(P565="yes",AA565/1000,0)</f>
        <v/>
      </c>
      <c r="AF565" s="10">
        <f>IF(R565="FG2",AE565*W565,AE565)</f>
        <v/>
      </c>
    </row>
    <row r="566">
      <c r="A566" s="6" t="inlineStr">
        <is>
          <t>HM00564</t>
        </is>
      </c>
      <c r="B566" s="7" t="inlineStr">
        <is>
          <t>8712345971250</t>
        </is>
      </c>
      <c r="C566" s="6" t="inlineStr">
        <is>
          <t>VEGAN SLICES 10SL 180G SOLVANE</t>
        </is>
      </c>
      <c r="D566" s="6" t="inlineStr">
        <is>
          <t>Vegan cheese-style slices, 10sl 180g</t>
        </is>
      </c>
      <c r="E566" s="6" t="inlineStr">
        <is>
          <t>Solvane</t>
        </is>
      </c>
      <c r="F566" s="6" t="inlineStr">
        <is>
          <t>Plant-Based</t>
        </is>
      </c>
      <c r="G566" s="6" t="inlineStr">
        <is>
          <t>Dairy Alternatives</t>
        </is>
      </c>
      <c r="H566" s="6" t="inlineStr">
        <is>
          <t>yes</t>
        </is>
      </c>
      <c r="I566" s="6" t="inlineStr">
        <is>
          <t>Plant-based core</t>
        </is>
      </c>
      <c r="J566" s="6" t="inlineStr">
        <is>
          <t>B</t>
        </is>
      </c>
      <c r="K566" s="6" t="inlineStr">
        <is>
          <t>Follows the class</t>
        </is>
      </c>
      <c r="L566" s="6" t="n">
        <v>1</v>
      </c>
      <c r="M566" s="6" t="inlineStr">
        <is>
          <t>Declared by the retailer</t>
        </is>
      </c>
      <c r="N566" s="6" t="n">
        <v>1</v>
      </c>
      <c r="O566" s="6" t="n">
        <v>0</v>
      </c>
      <c r="P566" s="6" t="inlineStr">
        <is>
          <t>yes</t>
        </is>
      </c>
      <c r="Q566" s="6" t="inlineStr">
        <is>
          <t>whole</t>
        </is>
      </c>
      <c r="R566" s="6" t="inlineStr">
        <is>
          <t>FG2</t>
        </is>
      </c>
      <c r="S566" s="6" t="inlineStr">
        <is>
          <t>dairy alternatives</t>
        </is>
      </c>
      <c r="T566" s="6" t="inlineStr">
        <is>
          <t>plant</t>
        </is>
      </c>
      <c r="U566" s="6" t="n"/>
      <c r="V566" s="6" t="n"/>
      <c r="W566" s="6" t="n">
        <v>1</v>
      </c>
      <c r="X566" s="6" t="n">
        <v>0.18</v>
      </c>
      <c r="Y566" s="6" t="inlineStr">
        <is>
          <t>declared</t>
        </is>
      </c>
      <c r="Z566" s="8" t="n">
        <v>5303</v>
      </c>
      <c r="AA566" s="9">
        <f>IF(H566="yes",Z566*X566,0)</f>
        <v/>
      </c>
      <c r="AB566" s="9">
        <f>IF(H566="yes",AA566*N(L566)/100,0)</f>
        <v/>
      </c>
      <c r="AC566" s="9">
        <f>IF(H566="yes",AA566*N(N566)/100,0)</f>
        <v/>
      </c>
      <c r="AD566" s="9">
        <f>IF(H566="yes",AA566*N(O566)/100,0)</f>
        <v/>
      </c>
      <c r="AE566" s="10">
        <f>IF(P566="yes",AA566/1000,0)</f>
        <v/>
      </c>
      <c r="AF566" s="10">
        <f>IF(R566="FG2",AE566*W566,AE566)</f>
        <v/>
      </c>
    </row>
    <row r="567">
      <c r="A567" s="6" t="inlineStr">
        <is>
          <t>HM00565</t>
        </is>
      </c>
      <c r="B567" s="7" t="inlineStr">
        <is>
          <t>5012345723525</t>
        </is>
      </c>
      <c r="C567" s="6" t="inlineStr">
        <is>
          <t>HM ICE CREAM CONES 4PK 4X110ML</t>
        </is>
      </c>
      <c r="D567" s="6" t="inlineStr">
        <is>
          <t>Vanilla ice cream cones, 4x110ml</t>
        </is>
      </c>
      <c r="E567" s="6" t="inlineStr">
        <is>
          <t>Harbour Market</t>
        </is>
      </c>
      <c r="F567" s="6" t="inlineStr">
        <is>
          <t>Frozen</t>
        </is>
      </c>
      <c r="G567" s="6" t="inlineStr">
        <is>
          <t>Ice Cream</t>
        </is>
      </c>
      <c r="H567" s="6" t="inlineStr">
        <is>
          <t>yes</t>
        </is>
      </c>
      <c r="I567" s="6" t="inlineStr">
        <is>
          <t>Animal core</t>
        </is>
      </c>
      <c r="J567" s="6" t="inlineStr">
        <is>
          <t>B</t>
        </is>
      </c>
      <c r="K567" s="6" t="inlineStr">
        <is>
          <t>First ingredient (step 4a)</t>
        </is>
      </c>
      <c r="L567" s="6" t="n">
        <v>3.4</v>
      </c>
      <c r="M567" s="6" t="inlineStr">
        <is>
          <t>Declared by the retailer</t>
        </is>
      </c>
      <c r="N567" s="6" t="n">
        <v>0</v>
      </c>
      <c r="O567" s="6" t="n">
        <v>3.4</v>
      </c>
      <c r="P567" s="6" t="inlineStr">
        <is>
          <t>yes</t>
        </is>
      </c>
      <c r="Q567" s="6" t="inlineStr">
        <is>
          <t>whole</t>
        </is>
      </c>
      <c r="R567" s="6" t="inlineStr">
        <is>
          <t>FG7</t>
        </is>
      </c>
      <c r="S567" s="6" t="n"/>
      <c r="T567" s="6" t="inlineStr">
        <is>
          <t>animal</t>
        </is>
      </c>
      <c r="U567" s="6" t="n"/>
      <c r="V567" s="6" t="n"/>
      <c r="W567" s="6" t="n">
        <v>1</v>
      </c>
      <c r="X567" s="6" t="n">
        <v>0.28</v>
      </c>
      <c r="Y567" s="6" t="inlineStr">
        <is>
          <t>declared</t>
        </is>
      </c>
      <c r="Z567" s="8" t="n">
        <v>122508</v>
      </c>
      <c r="AA567" s="9">
        <f>IF(H567="yes",Z567*X567,0)</f>
        <v/>
      </c>
      <c r="AB567" s="9">
        <f>IF(H567="yes",AA567*N(L567)/100,0)</f>
        <v/>
      </c>
      <c r="AC567" s="9">
        <f>IF(H567="yes",AA567*N(N567)/100,0)</f>
        <v/>
      </c>
      <c r="AD567" s="9">
        <f>IF(H567="yes",AA567*N(O567)/100,0)</f>
        <v/>
      </c>
      <c r="AE567" s="10">
        <f>IF(P567="yes",AA567/1000,0)</f>
        <v/>
      </c>
      <c r="AF567" s="10">
        <f>IF(R567="FG2",AE567*W567,AE567)</f>
        <v/>
      </c>
    </row>
    <row r="568">
      <c r="A568" s="6" t="inlineStr">
        <is>
          <t>HM00566</t>
        </is>
      </c>
      <c r="B568" s="7" t="inlineStr">
        <is>
          <t>8712345945572</t>
        </is>
      </c>
      <c r="C568" s="6" t="inlineStr">
        <is>
          <t>CHOC CHIP COOKIES 200G MARLOWE</t>
        </is>
      </c>
      <c r="D568" s="6" t="inlineStr">
        <is>
          <t>Chocolate chip cookies, 200g</t>
        </is>
      </c>
      <c r="E568" s="6" t="inlineStr">
        <is>
          <t>Marlowe</t>
        </is>
      </c>
      <c r="F568" s="6" t="inlineStr">
        <is>
          <t>Breakfast &amp; Snacks</t>
        </is>
      </c>
      <c r="G568" s="6" t="inlineStr">
        <is>
          <t>Biscuits</t>
        </is>
      </c>
      <c r="H568" s="6" t="inlineStr">
        <is>
          <t>yes</t>
        </is>
      </c>
      <c r="I568" s="6" t="inlineStr">
        <is>
          <t>Animal &amp; plant composite</t>
        </is>
      </c>
      <c r="J568" s="6" t="inlineStr">
        <is>
          <t>B</t>
        </is>
      </c>
      <c r="K568" s="6" t="inlineStr">
        <is>
          <t>50/50 convention</t>
        </is>
      </c>
      <c r="L568" s="6" t="n">
        <v>6.6</v>
      </c>
      <c r="M568" s="6" t="inlineStr">
        <is>
          <t>Median of the family</t>
        </is>
      </c>
      <c r="N568" s="6" t="n">
        <v>3.3</v>
      </c>
      <c r="O568" s="6" t="n">
        <v>3.3</v>
      </c>
      <c r="P568" s="6" t="inlineStr">
        <is>
          <t>yes</t>
        </is>
      </c>
      <c r="Q568" s="6" t="inlineStr">
        <is>
          <t>whole</t>
        </is>
      </c>
      <c r="R568" s="6" t="inlineStr">
        <is>
          <t>FG7</t>
        </is>
      </c>
      <c r="S568" s="6" t="n"/>
      <c r="T568" s="6" t="inlineStr">
        <is>
          <t>plant</t>
        </is>
      </c>
      <c r="U568" s="6" t="n"/>
      <c r="V568" s="6" t="n"/>
      <c r="W568" s="6" t="n">
        <v>1</v>
      </c>
      <c r="X568" s="6" t="n">
        <v>0.2</v>
      </c>
      <c r="Y568" s="6" t="inlineStr">
        <is>
          <t>label</t>
        </is>
      </c>
      <c r="Z568" s="8" t="n">
        <v>15882</v>
      </c>
      <c r="AA568" s="9">
        <f>IF(H568="yes",Z568*X568,0)</f>
        <v/>
      </c>
      <c r="AB568" s="9">
        <f>IF(H568="yes",AA568*N(L568)/100,0)</f>
        <v/>
      </c>
      <c r="AC568" s="9">
        <f>IF(H568="yes",AA568*N(N568)/100,0)</f>
        <v/>
      </c>
      <c r="AD568" s="9">
        <f>IF(H568="yes",AA568*N(O568)/100,0)</f>
        <v/>
      </c>
      <c r="AE568" s="10">
        <f>IF(P568="yes",AA568/1000,0)</f>
        <v/>
      </c>
      <c r="AF568" s="10">
        <f>IF(R568="FG2",AE568*W568,AE568)</f>
        <v/>
      </c>
    </row>
    <row r="569">
      <c r="A569" s="6" t="inlineStr">
        <is>
          <t>HM00567</t>
        </is>
      </c>
      <c r="B569" s="7" t="inlineStr">
        <is>
          <t>5012345784151</t>
        </is>
      </c>
      <c r="C569" s="6" t="inlineStr">
        <is>
          <t>HM PALE ALE 500ML</t>
        </is>
      </c>
      <c r="D569" s="6" t="inlineStr">
        <is>
          <t>Pale ale, 500ml</t>
        </is>
      </c>
      <c r="E569" s="6" t="inlineStr">
        <is>
          <t>Harbour Market</t>
        </is>
      </c>
      <c r="F569" s="6" t="inlineStr">
        <is>
          <t>Beer, Wine &amp; Spirits</t>
        </is>
      </c>
      <c r="G569" s="6" t="inlineStr">
        <is>
          <t>Beer &amp; Cider</t>
        </is>
      </c>
      <c r="H569" s="6" t="inlineStr">
        <is>
          <t>yes</t>
        </is>
      </c>
      <c r="I569" s="6" t="inlineStr">
        <is>
          <t>Plant-based non-core</t>
        </is>
      </c>
      <c r="J569" s="6" t="inlineStr">
        <is>
          <t>A</t>
        </is>
      </c>
      <c r="K569" s="6" t="inlineStr">
        <is>
          <t>All ingredients on one side</t>
        </is>
      </c>
      <c r="L569" s="6" t="n">
        <v>0.38</v>
      </c>
      <c r="M569" s="6" t="inlineStr">
        <is>
          <t>Declared by the retailer</t>
        </is>
      </c>
      <c r="N569" s="6" t="n">
        <v>0.38</v>
      </c>
      <c r="O569" s="6" t="n">
        <v>0</v>
      </c>
      <c r="P569" s="6" t="inlineStr">
        <is>
          <t>no</t>
        </is>
      </c>
      <c r="Q569" s="6" t="n"/>
      <c r="R569" s="6" t="n"/>
      <c r="S569" s="6" t="n"/>
      <c r="T569" s="6" t="n"/>
      <c r="U569" s="6" t="n"/>
      <c r="V569" s="6" t="inlineStr">
        <is>
          <t>alcohol</t>
        </is>
      </c>
      <c r="W569" s="6" t="n">
        <v>1</v>
      </c>
      <c r="X569" s="6" t="n">
        <v>0.5</v>
      </c>
      <c r="Y569" s="6" t="inlineStr">
        <is>
          <t>declared</t>
        </is>
      </c>
      <c r="Z569" s="8" t="n">
        <v>20565</v>
      </c>
      <c r="AA569" s="9">
        <f>IF(H569="yes",Z569*X569,0)</f>
        <v/>
      </c>
      <c r="AB569" s="9">
        <f>IF(H569="yes",AA569*N(L569)/100,0)</f>
        <v/>
      </c>
      <c r="AC569" s="9">
        <f>IF(H569="yes",AA569*N(N569)/100,0)</f>
        <v/>
      </c>
      <c r="AD569" s="9">
        <f>IF(H569="yes",AA569*N(O569)/100,0)</f>
        <v/>
      </c>
      <c r="AE569" s="10">
        <f>IF(P569="yes",AA569/1000,0)</f>
        <v/>
      </c>
      <c r="AF569" s="10">
        <f>IF(R569="FG2",AE569*W569,AE569)</f>
        <v/>
      </c>
    </row>
    <row r="570">
      <c r="A570" s="6" t="inlineStr">
        <is>
          <t>HM00568</t>
        </is>
      </c>
      <c r="B570" s="7" t="inlineStr">
        <is>
          <t>5012345682891</t>
        </is>
      </c>
      <c r="C570" s="6" t="inlineStr">
        <is>
          <t>HM SKMD MILK 4PT 2.27L</t>
        </is>
      </c>
      <c r="D570" s="6" t="inlineStr">
        <is>
          <t>Skimmed milk, 4pt 2.27l</t>
        </is>
      </c>
      <c r="E570" s="6" t="inlineStr">
        <is>
          <t>Harbour Market</t>
        </is>
      </c>
      <c r="F570" s="6" t="inlineStr">
        <is>
          <t>Dairy &amp; Eggs</t>
        </is>
      </c>
      <c r="G570" s="6" t="inlineStr">
        <is>
          <t>Milk</t>
        </is>
      </c>
      <c r="H570" s="6" t="inlineStr">
        <is>
          <t>yes</t>
        </is>
      </c>
      <c r="I570" s="6" t="inlineStr">
        <is>
          <t>Animal core</t>
        </is>
      </c>
      <c r="J570" s="6" t="inlineStr">
        <is>
          <t>A</t>
        </is>
      </c>
      <c r="K570" s="6" t="inlineStr">
        <is>
          <t>All ingredients on one side</t>
        </is>
      </c>
      <c r="L570" s="6" t="n">
        <v>3.4</v>
      </c>
      <c r="M570" s="6" t="inlineStr">
        <is>
          <t>Median of the family</t>
        </is>
      </c>
      <c r="N570" s="6" t="n">
        <v>0</v>
      </c>
      <c r="O570" s="6" t="n">
        <v>3.4</v>
      </c>
      <c r="P570" s="6" t="inlineStr">
        <is>
          <t>yes</t>
        </is>
      </c>
      <c r="Q570" s="6" t="inlineStr">
        <is>
          <t>whole</t>
        </is>
      </c>
      <c r="R570" s="6" t="inlineStr">
        <is>
          <t>FG2</t>
        </is>
      </c>
      <c r="S570" s="6" t="inlineStr">
        <is>
          <t>dairy</t>
        </is>
      </c>
      <c r="T570" s="6" t="inlineStr">
        <is>
          <t>animal</t>
        </is>
      </c>
      <c r="U570" s="6" t="n"/>
      <c r="V570" s="6" t="n"/>
      <c r="W570" s="6" t="n">
        <v>1</v>
      </c>
      <c r="X570" s="6" t="n">
        <v>2.34</v>
      </c>
      <c r="Y570" s="6" t="inlineStr">
        <is>
          <t>declared</t>
        </is>
      </c>
      <c r="Z570" s="8" t="n">
        <v>167393</v>
      </c>
      <c r="AA570" s="9">
        <f>IF(H570="yes",Z570*X570,0)</f>
        <v/>
      </c>
      <c r="AB570" s="9">
        <f>IF(H570="yes",AA570*N(L570)/100,0)</f>
        <v/>
      </c>
      <c r="AC570" s="9">
        <f>IF(H570="yes",AA570*N(N570)/100,0)</f>
        <v/>
      </c>
      <c r="AD570" s="9">
        <f>IF(H570="yes",AA570*N(O570)/100,0)</f>
        <v/>
      </c>
      <c r="AE570" s="10">
        <f>IF(P570="yes",AA570/1000,0)</f>
        <v/>
      </c>
      <c r="AF570" s="10">
        <f>IF(R570="FG2",AE570*W570,AE570)</f>
        <v/>
      </c>
    </row>
    <row r="571">
      <c r="A571" s="6" t="inlineStr">
        <is>
          <t>HM00569</t>
        </is>
      </c>
      <c r="B571" s="7" t="inlineStr">
        <is>
          <t>3012345391207</t>
        </is>
      </c>
      <c r="C571" s="6" t="inlineStr">
        <is>
          <t>KESTREL SCAMPI 4PK 440G</t>
        </is>
      </c>
      <c r="D571" s="6" t="inlineStr">
        <is>
          <t>Breaded scampi, 4pk 440g</t>
        </is>
      </c>
      <c r="E571" s="6" t="inlineStr">
        <is>
          <t>Kestrel Bay</t>
        </is>
      </c>
      <c r="F571" s="6" t="inlineStr">
        <is>
          <t>Frozen</t>
        </is>
      </c>
      <c r="G571" s="6" t="inlineStr">
        <is>
          <t>Frozen Fish</t>
        </is>
      </c>
      <c r="H571" s="6" t="inlineStr">
        <is>
          <t>yes</t>
        </is>
      </c>
      <c r="I571" s="6" t="inlineStr">
        <is>
          <t>Animal core</t>
        </is>
      </c>
      <c r="J571" s="6" t="inlineStr">
        <is>
          <t>B</t>
        </is>
      </c>
      <c r="K571" s="6" t="inlineStr">
        <is>
          <t>First ingredient (step 4a)</t>
        </is>
      </c>
      <c r="L571" s="6" t="n">
        <v>10.2</v>
      </c>
      <c r="M571" s="6" t="inlineStr">
        <is>
          <t>Name match (CIQUAL / NEVO)</t>
        </is>
      </c>
      <c r="N571" s="6" t="n">
        <v>0</v>
      </c>
      <c r="O571" s="6" t="n">
        <v>10.2</v>
      </c>
      <c r="P571" s="6" t="inlineStr">
        <is>
          <t>yes</t>
        </is>
      </c>
      <c r="Q571" s="6" t="inlineStr">
        <is>
          <t>whole</t>
        </is>
      </c>
      <c r="R571" s="6" t="inlineStr">
        <is>
          <t>FG1</t>
        </is>
      </c>
      <c r="S571" s="6" t="inlineStr">
        <is>
          <t>fish shellfish</t>
        </is>
      </c>
      <c r="T571" s="6" t="inlineStr">
        <is>
          <t>animal</t>
        </is>
      </c>
      <c r="U571" s="6" t="n"/>
      <c r="V571" s="6" t="n"/>
      <c r="W571" s="6" t="n">
        <v>1</v>
      </c>
      <c r="X571" s="6" t="n">
        <v>0.44</v>
      </c>
      <c r="Y571" s="6" t="inlineStr">
        <is>
          <t>declared</t>
        </is>
      </c>
      <c r="Z571" s="8" t="n">
        <v>57696</v>
      </c>
      <c r="AA571" s="9">
        <f>IF(H571="yes",Z571*X571,0)</f>
        <v/>
      </c>
      <c r="AB571" s="9">
        <f>IF(H571="yes",AA571*N(L571)/100,0)</f>
        <v/>
      </c>
      <c r="AC571" s="9">
        <f>IF(H571="yes",AA571*N(N571)/100,0)</f>
        <v/>
      </c>
      <c r="AD571" s="9">
        <f>IF(H571="yes",AA571*N(O571)/100,0)</f>
        <v/>
      </c>
      <c r="AE571" s="10">
        <f>IF(P571="yes",AA571/1000,0)</f>
        <v/>
      </c>
      <c r="AF571" s="10">
        <f>IF(R571="FG2",AE571*W571,AE571)</f>
        <v/>
      </c>
    </row>
    <row r="572">
      <c r="A572" s="6" t="inlineStr">
        <is>
          <t>HM00570</t>
        </is>
      </c>
      <c r="B572" s="7" t="inlineStr">
        <is>
          <t>5012345710051</t>
        </is>
      </c>
      <c r="C572" s="6" t="inlineStr">
        <is>
          <t>HM TOMATO KETCHUP 910G</t>
        </is>
      </c>
      <c r="D572" s="6" t="inlineStr">
        <is>
          <t>Tomato ketchup, 910g</t>
        </is>
      </c>
      <c r="E572" s="6" t="inlineStr">
        <is>
          <t>Harbour Market</t>
        </is>
      </c>
      <c r="F572" s="6" t="inlineStr">
        <is>
          <t>Grocery</t>
        </is>
      </c>
      <c r="G572" s="6" t="inlineStr">
        <is>
          <t>Condiments</t>
        </is>
      </c>
      <c r="H572" s="6" t="inlineStr">
        <is>
          <t>yes</t>
        </is>
      </c>
      <c r="I572" s="6" t="inlineStr">
        <is>
          <t>Plant-based non-core</t>
        </is>
      </c>
      <c r="J572" s="6" t="inlineStr">
        <is>
          <t>B</t>
        </is>
      </c>
      <c r="K572" s="6" t="inlineStr">
        <is>
          <t>Follows the class</t>
        </is>
      </c>
      <c r="L572" s="6" t="n">
        <v>1.2</v>
      </c>
      <c r="M572" s="6" t="inlineStr">
        <is>
          <t>Median of the family</t>
        </is>
      </c>
      <c r="N572" s="6" t="n">
        <v>1.2</v>
      </c>
      <c r="O572" s="6" t="n">
        <v>0</v>
      </c>
      <c r="P572" s="6" t="inlineStr">
        <is>
          <t>no</t>
        </is>
      </c>
      <c r="Q572" s="6" t="n"/>
      <c r="R572" s="6" t="n"/>
      <c r="S572" s="6" t="n"/>
      <c r="T572" s="6" t="n"/>
      <c r="U572" s="6" t="n"/>
      <c r="V572" s="6" t="inlineStr">
        <is>
          <t>condiment</t>
        </is>
      </c>
      <c r="W572" s="6" t="n">
        <v>1</v>
      </c>
      <c r="X572" s="6" t="n">
        <v>0.91</v>
      </c>
      <c r="Y572" s="6" t="inlineStr">
        <is>
          <t>declared</t>
        </is>
      </c>
      <c r="Z572" s="8" t="n">
        <v>7002</v>
      </c>
      <c r="AA572" s="9">
        <f>IF(H572="yes",Z572*X572,0)</f>
        <v/>
      </c>
      <c r="AB572" s="9">
        <f>IF(H572="yes",AA572*N(L572)/100,0)</f>
        <v/>
      </c>
      <c r="AC572" s="9">
        <f>IF(H572="yes",AA572*N(N572)/100,0)</f>
        <v/>
      </c>
      <c r="AD572" s="9">
        <f>IF(H572="yes",AA572*N(O572)/100,0)</f>
        <v/>
      </c>
      <c r="AE572" s="10">
        <f>IF(P572="yes",AA572/1000,0)</f>
        <v/>
      </c>
      <c r="AF572" s="10">
        <f>IF(R572="FG2",AE572*W572,AE572)</f>
        <v/>
      </c>
    </row>
    <row r="573">
      <c r="A573" s="6" t="inlineStr">
        <is>
          <t>HM00571</t>
        </is>
      </c>
      <c r="B573" s="7" t="inlineStr">
        <is>
          <t>3012345402194</t>
        </is>
      </c>
      <c r="C573" s="6" t="inlineStr">
        <is>
          <t>PLANT NUGGETS 226G SOLVANE</t>
        </is>
      </c>
      <c r="D573" s="6" t="inlineStr">
        <is>
          <t>Plant-based nuggets, 226g</t>
        </is>
      </c>
      <c r="E573" s="6" t="inlineStr">
        <is>
          <t>Solvane</t>
        </is>
      </c>
      <c r="F573" s="6" t="inlineStr">
        <is>
          <t>Plant-Based</t>
        </is>
      </c>
      <c r="G573" s="6" t="inlineStr">
        <is>
          <t>Meat Alternatives</t>
        </is>
      </c>
      <c r="H573" s="6" t="inlineStr">
        <is>
          <t>yes</t>
        </is>
      </c>
      <c r="I573" s="6" t="inlineStr">
        <is>
          <t>Plant-based core</t>
        </is>
      </c>
      <c r="J573" s="6" t="inlineStr">
        <is>
          <t>A</t>
        </is>
      </c>
      <c r="K573" s="6" t="inlineStr">
        <is>
          <t>All ingredients on one side</t>
        </is>
      </c>
      <c r="L573" s="6" t="n">
        <v>12.3</v>
      </c>
      <c r="M573" s="6" t="inlineStr">
        <is>
          <t>Open Food Facts, by EAN</t>
        </is>
      </c>
      <c r="N573" s="6" t="n">
        <v>12.3</v>
      </c>
      <c r="O573" s="6" t="n">
        <v>0</v>
      </c>
      <c r="P573" s="6" t="inlineStr">
        <is>
          <t>yes</t>
        </is>
      </c>
      <c r="Q573" s="6" t="inlineStr">
        <is>
          <t>whole</t>
        </is>
      </c>
      <c r="R573" s="6" t="inlineStr">
        <is>
          <t>FG1</t>
        </is>
      </c>
      <c r="S573" s="6" t="inlineStr">
        <is>
          <t>alternative products</t>
        </is>
      </c>
      <c r="T573" s="6" t="inlineStr">
        <is>
          <t>plant</t>
        </is>
      </c>
      <c r="U573" s="6" t="n"/>
      <c r="V573" s="6" t="n"/>
      <c r="W573" s="6" t="n">
        <v>1</v>
      </c>
      <c r="X573" s="6" t="n">
        <v>0.226</v>
      </c>
      <c r="Y573" s="6" t="inlineStr">
        <is>
          <t>declared</t>
        </is>
      </c>
      <c r="Z573" s="8" t="n">
        <v>15411</v>
      </c>
      <c r="AA573" s="9">
        <f>IF(H573="yes",Z573*X573,0)</f>
        <v/>
      </c>
      <c r="AB573" s="9">
        <f>IF(H573="yes",AA573*N(L573)/100,0)</f>
        <v/>
      </c>
      <c r="AC573" s="9">
        <f>IF(H573="yes",AA573*N(N573)/100,0)</f>
        <v/>
      </c>
      <c r="AD573" s="9">
        <f>IF(H573="yes",AA573*N(O573)/100,0)</f>
        <v/>
      </c>
      <c r="AE573" s="10">
        <f>IF(P573="yes",AA573/1000,0)</f>
        <v/>
      </c>
      <c r="AF573" s="10">
        <f>IF(R573="FG2",AE573*W573,AE573)</f>
        <v/>
      </c>
    </row>
    <row r="574">
      <c r="A574" s="6" t="inlineStr">
        <is>
          <t>HM00572</t>
        </is>
      </c>
      <c r="B574" s="7" t="inlineStr">
        <is>
          <t>5012345912462</t>
        </is>
      </c>
      <c r="C574" s="6" t="inlineStr">
        <is>
          <t>PENWARD LAGER 500ML</t>
        </is>
      </c>
      <c r="D574" s="6" t="inlineStr">
        <is>
          <t>Lager, 500ml</t>
        </is>
      </c>
      <c r="E574" s="6" t="inlineStr">
        <is>
          <t>Penward</t>
        </is>
      </c>
      <c r="F574" s="6" t="inlineStr">
        <is>
          <t>Beer, Wine &amp; Spirits</t>
        </is>
      </c>
      <c r="G574" s="6" t="inlineStr">
        <is>
          <t>Beer &amp; Cider</t>
        </is>
      </c>
      <c r="H574" s="6" t="inlineStr">
        <is>
          <t>yes</t>
        </is>
      </c>
      <c r="I574" s="6" t="inlineStr">
        <is>
          <t>Plant-based non-core</t>
        </is>
      </c>
      <c r="J574" s="6" t="inlineStr">
        <is>
          <t>A</t>
        </is>
      </c>
      <c r="K574" s="6" t="inlineStr">
        <is>
          <t>All ingredients on one side</t>
        </is>
      </c>
      <c r="L574" s="6" t="n">
        <v>0.41</v>
      </c>
      <c r="M574" s="6" t="inlineStr">
        <is>
          <t>Altera reference base</t>
        </is>
      </c>
      <c r="N574" s="6" t="n">
        <v>0.41</v>
      </c>
      <c r="O574" s="6" t="n">
        <v>0</v>
      </c>
      <c r="P574" s="6" t="inlineStr">
        <is>
          <t>no</t>
        </is>
      </c>
      <c r="Q574" s="6" t="n"/>
      <c r="R574" s="6" t="n"/>
      <c r="S574" s="6" t="n"/>
      <c r="T574" s="6" t="n"/>
      <c r="U574" s="6" t="n"/>
      <c r="V574" s="6" t="inlineStr">
        <is>
          <t>alcohol</t>
        </is>
      </c>
      <c r="W574" s="6" t="n">
        <v>1</v>
      </c>
      <c r="X574" s="6" t="n">
        <v>0.5</v>
      </c>
      <c r="Y574" s="6" t="inlineStr">
        <is>
          <t>label</t>
        </is>
      </c>
      <c r="Z574" s="8" t="n">
        <v>53306</v>
      </c>
      <c r="AA574" s="9">
        <f>IF(H574="yes",Z574*X574,0)</f>
        <v/>
      </c>
      <c r="AB574" s="9">
        <f>IF(H574="yes",AA574*N(L574)/100,0)</f>
        <v/>
      </c>
      <c r="AC574" s="9">
        <f>IF(H574="yes",AA574*N(N574)/100,0)</f>
        <v/>
      </c>
      <c r="AD574" s="9">
        <f>IF(H574="yes",AA574*N(O574)/100,0)</f>
        <v/>
      </c>
      <c r="AE574" s="10">
        <f>IF(P574="yes",AA574/1000,0)</f>
        <v/>
      </c>
      <c r="AF574" s="10">
        <f>IF(R574="FG2",AE574*W574,AE574)</f>
        <v/>
      </c>
    </row>
    <row r="575">
      <c r="A575" s="6" t="inlineStr">
        <is>
          <t>HM00573</t>
        </is>
      </c>
      <c r="B575" s="7" t="inlineStr">
        <is>
          <t>5012345364742</t>
        </is>
      </c>
      <c r="C575" s="6" t="inlineStr">
        <is>
          <t>PALE ALE 12X440ML PENWARD</t>
        </is>
      </c>
      <c r="D575" s="6" t="inlineStr">
        <is>
          <t>Pale ale, 12x440ml</t>
        </is>
      </c>
      <c r="E575" s="6" t="inlineStr">
        <is>
          <t>Penward</t>
        </is>
      </c>
      <c r="F575" s="6" t="inlineStr">
        <is>
          <t>Beer, Wine &amp; Spirits</t>
        </is>
      </c>
      <c r="G575" s="6" t="inlineStr">
        <is>
          <t>Beer &amp; Cider</t>
        </is>
      </c>
      <c r="H575" s="6" t="inlineStr">
        <is>
          <t>yes</t>
        </is>
      </c>
      <c r="I575" s="6" t="inlineStr">
        <is>
          <t>Plant-based non-core</t>
        </is>
      </c>
      <c r="J575" s="6" t="inlineStr">
        <is>
          <t>B</t>
        </is>
      </c>
      <c r="K575" s="6" t="inlineStr">
        <is>
          <t>Follows the class</t>
        </is>
      </c>
      <c r="L575" s="6" t="n">
        <v>0.4</v>
      </c>
      <c r="M575" s="6" t="inlineStr">
        <is>
          <t>Declared by the retailer</t>
        </is>
      </c>
      <c r="N575" s="6" t="n">
        <v>0.4</v>
      </c>
      <c r="O575" s="6" t="n">
        <v>0</v>
      </c>
      <c r="P575" s="6" t="inlineStr">
        <is>
          <t>no</t>
        </is>
      </c>
      <c r="Q575" s="6" t="n"/>
      <c r="R575" s="6" t="n"/>
      <c r="S575" s="6" t="n"/>
      <c r="T575" s="6" t="n"/>
      <c r="U575" s="6" t="n"/>
      <c r="V575" s="6" t="inlineStr">
        <is>
          <t>alcohol</t>
        </is>
      </c>
      <c r="W575" s="6" t="n">
        <v>1</v>
      </c>
      <c r="X575" s="6" t="n">
        <v>5.28</v>
      </c>
      <c r="Y575" s="6" t="inlineStr">
        <is>
          <t>declared</t>
        </is>
      </c>
      <c r="Z575" s="8" t="n">
        <v>8050</v>
      </c>
      <c r="AA575" s="9">
        <f>IF(H575="yes",Z575*X575,0)</f>
        <v/>
      </c>
      <c r="AB575" s="9">
        <f>IF(H575="yes",AA575*N(L575)/100,0)</f>
        <v/>
      </c>
      <c r="AC575" s="9">
        <f>IF(H575="yes",AA575*N(N575)/100,0)</f>
        <v/>
      </c>
      <c r="AD575" s="9">
        <f>IF(H575="yes",AA575*N(O575)/100,0)</f>
        <v/>
      </c>
      <c r="AE575" s="10">
        <f>IF(P575="yes",AA575/1000,0)</f>
        <v/>
      </c>
      <c r="AF575" s="10">
        <f>IF(R575="FG2",AE575*W575,AE575)</f>
        <v/>
      </c>
    </row>
    <row r="576">
      <c r="A576" s="6" t="inlineStr">
        <is>
          <t>HM00574</t>
        </is>
      </c>
      <c r="B576" s="7" t="inlineStr">
        <is>
          <t>3012345523387</t>
        </is>
      </c>
      <c r="C576" s="6" t="inlineStr">
        <is>
          <t>HM BANANAS 500G</t>
        </is>
      </c>
      <c r="D576" s="6" t="inlineStr">
        <is>
          <t>Bananas, 500g</t>
        </is>
      </c>
      <c r="E576" s="6" t="inlineStr">
        <is>
          <t>Harbour Market</t>
        </is>
      </c>
      <c r="F576" s="6" t="inlineStr">
        <is>
          <t>Fruit &amp; Vegetables</t>
        </is>
      </c>
      <c r="G576" s="6" t="inlineStr">
        <is>
          <t>Fruit</t>
        </is>
      </c>
      <c r="H576" s="6" t="inlineStr">
        <is>
          <t>yes</t>
        </is>
      </c>
      <c r="I576" s="6" t="inlineStr">
        <is>
          <t>Plant-based non-core</t>
        </is>
      </c>
      <c r="J576" s="6" t="inlineStr">
        <is>
          <t>B</t>
        </is>
      </c>
      <c r="K576" s="6" t="inlineStr">
        <is>
          <t>Follows the class</t>
        </is>
      </c>
      <c r="L576" s="6" t="n">
        <v>1.2</v>
      </c>
      <c r="M576" s="6" t="inlineStr">
        <is>
          <t>Declared by the retailer</t>
        </is>
      </c>
      <c r="N576" s="6" t="n">
        <v>1.2</v>
      </c>
      <c r="O576" s="6" t="n">
        <v>0</v>
      </c>
      <c r="P576" s="6" t="inlineStr">
        <is>
          <t>yes</t>
        </is>
      </c>
      <c r="Q576" s="6" t="inlineStr">
        <is>
          <t>whole</t>
        </is>
      </c>
      <c r="R576" s="6" t="inlineStr">
        <is>
          <t>FG4</t>
        </is>
      </c>
      <c r="S576" s="6" t="n"/>
      <c r="T576" s="6" t="inlineStr">
        <is>
          <t>plant</t>
        </is>
      </c>
      <c r="U576" s="6" t="n"/>
      <c r="V576" s="6" t="n"/>
      <c r="W576" s="6" t="n">
        <v>1</v>
      </c>
      <c r="X576" s="6" t="n">
        <v>0.5</v>
      </c>
      <c r="Y576" s="6" t="inlineStr">
        <is>
          <t>declared</t>
        </is>
      </c>
      <c r="Z576" s="8" t="n">
        <v>84438</v>
      </c>
      <c r="AA576" s="9">
        <f>IF(H576="yes",Z576*X576,0)</f>
        <v/>
      </c>
      <c r="AB576" s="9">
        <f>IF(H576="yes",AA576*N(L576)/100,0)</f>
        <v/>
      </c>
      <c r="AC576" s="9">
        <f>IF(H576="yes",AA576*N(N576)/100,0)</f>
        <v/>
      </c>
      <c r="AD576" s="9">
        <f>IF(H576="yes",AA576*N(O576)/100,0)</f>
        <v/>
      </c>
      <c r="AE576" s="10">
        <f>IF(P576="yes",AA576/1000,0)</f>
        <v/>
      </c>
      <c r="AF576" s="10">
        <f>IF(R576="FG2",AE576*W576,AE576)</f>
        <v/>
      </c>
    </row>
    <row r="577">
      <c r="A577" s="6" t="inlineStr">
        <is>
          <t>HM00575</t>
        </is>
      </c>
      <c r="B577" s="7" t="inlineStr">
        <is>
          <t>5012345933917</t>
        </is>
      </c>
      <c r="C577" s="6" t="inlineStr">
        <is>
          <t>FJELDA YOG GRANOLA POT 150G</t>
        </is>
      </c>
      <c r="D577" s="6" t="inlineStr">
        <is>
          <t>Yoghurt &amp; granola pot, 150g</t>
        </is>
      </c>
      <c r="E577" s="6" t="inlineStr">
        <is>
          <t>Fjelda</t>
        </is>
      </c>
      <c r="F577" s="6" t="inlineStr">
        <is>
          <t>Dairy &amp; Eggs</t>
        </is>
      </c>
      <c r="G577" s="6" t="inlineStr">
        <is>
          <t>Yoghurt</t>
        </is>
      </c>
      <c r="H577" s="6" t="inlineStr">
        <is>
          <t>yes</t>
        </is>
      </c>
      <c r="I577" s="6" t="inlineStr">
        <is>
          <t>Animal &amp; plant composite</t>
        </is>
      </c>
      <c r="J577" s="6" t="inlineStr">
        <is>
          <t>A</t>
        </is>
      </c>
      <c r="K577" s="6" t="inlineStr">
        <is>
          <t>Ingredient list</t>
        </is>
      </c>
      <c r="L577" s="6" t="n">
        <v>4.4</v>
      </c>
      <c r="M577" s="6" t="inlineStr">
        <is>
          <t>Declared by the retailer</t>
        </is>
      </c>
      <c r="N577" s="6" t="n">
        <v>0.48</v>
      </c>
      <c r="O577" s="6" t="n">
        <v>3.92</v>
      </c>
      <c r="P577" s="6" t="inlineStr">
        <is>
          <t>yes</t>
        </is>
      </c>
      <c r="Q577" s="6" t="inlineStr">
        <is>
          <t>composite</t>
        </is>
      </c>
      <c r="R577" s="6" t="n"/>
      <c r="S577" s="6" t="n"/>
      <c r="T577" s="6" t="n"/>
      <c r="U577" s="6" t="inlineStr">
        <is>
          <t>vegetarian</t>
        </is>
      </c>
      <c r="V577" s="6" t="n"/>
      <c r="W577" s="6" t="n">
        <v>1</v>
      </c>
      <c r="X577" s="6" t="n">
        <v>0.15</v>
      </c>
      <c r="Y577" s="6" t="inlineStr">
        <is>
          <t>declared</t>
        </is>
      </c>
      <c r="Z577" s="8" t="n">
        <v>29046</v>
      </c>
      <c r="AA577" s="9">
        <f>IF(H577="yes",Z577*X577,0)</f>
        <v/>
      </c>
      <c r="AB577" s="9">
        <f>IF(H577="yes",AA577*N(L577)/100,0)</f>
        <v/>
      </c>
      <c r="AC577" s="9">
        <f>IF(H577="yes",AA577*N(N577)/100,0)</f>
        <v/>
      </c>
      <c r="AD577" s="9">
        <f>IF(H577="yes",AA577*N(O577)/100,0)</f>
        <v/>
      </c>
      <c r="AE577" s="10">
        <f>IF(P577="yes",AA577/1000,0)</f>
        <v/>
      </c>
      <c r="AF577" s="10">
        <f>IF(R577="FG2",AE577*W577,AE577)</f>
        <v/>
      </c>
    </row>
    <row r="578">
      <c r="A578" s="6" t="inlineStr">
        <is>
          <t>HM00576</t>
        </is>
      </c>
      <c r="B578" s="7" t="inlineStr">
        <is>
          <t>3012345560900</t>
        </is>
      </c>
      <c r="C578" s="6" t="inlineStr">
        <is>
          <t>QUILLAN CHEESE ONION QUICHE 2X400G</t>
        </is>
      </c>
      <c r="D578" s="6" t="inlineStr">
        <is>
          <t>Cheese &amp; onion quiche, 2x400g</t>
        </is>
      </c>
      <c r="E578" s="6" t="inlineStr">
        <is>
          <t>Quillan</t>
        </is>
      </c>
      <c r="F578" s="6" t="inlineStr">
        <is>
          <t>Ready Meals</t>
        </is>
      </c>
      <c r="G578" s="6" t="inlineStr">
        <is>
          <t>Ready Meals</t>
        </is>
      </c>
      <c r="H578" s="6" t="inlineStr">
        <is>
          <t>yes</t>
        </is>
      </c>
      <c r="I578" s="6" t="inlineStr">
        <is>
          <t>Animal &amp; plant composite</t>
        </is>
      </c>
      <c r="J578" s="6" t="inlineStr">
        <is>
          <t>B</t>
        </is>
      </c>
      <c r="K578" s="6" t="inlineStr">
        <is>
          <t>50/50 convention</t>
        </is>
      </c>
      <c r="L578" s="6" t="n">
        <v>8</v>
      </c>
      <c r="M578" s="6" t="inlineStr">
        <is>
          <t>Declared by the retailer</t>
        </is>
      </c>
      <c r="N578" s="6" t="n">
        <v>4</v>
      </c>
      <c r="O578" s="6" t="n">
        <v>4</v>
      </c>
      <c r="P578" s="6" t="inlineStr">
        <is>
          <t>yes</t>
        </is>
      </c>
      <c r="Q578" s="6" t="inlineStr">
        <is>
          <t>composite</t>
        </is>
      </c>
      <c r="R578" s="6" t="n"/>
      <c r="S578" s="6" t="n"/>
      <c r="T578" s="6" t="n"/>
      <c r="U578" s="6" t="inlineStr">
        <is>
          <t>vegetarian</t>
        </is>
      </c>
      <c r="V578" s="6" t="n"/>
      <c r="W578" s="6" t="n">
        <v>1</v>
      </c>
      <c r="X578" s="6" t="n">
        <v>0.8</v>
      </c>
      <c r="Y578" s="6" t="inlineStr">
        <is>
          <t>declared</t>
        </is>
      </c>
      <c r="Z578" s="8" t="n">
        <v>10931</v>
      </c>
      <c r="AA578" s="9">
        <f>IF(H578="yes",Z578*X578,0)</f>
        <v/>
      </c>
      <c r="AB578" s="9">
        <f>IF(H578="yes",AA578*N(L578)/100,0)</f>
        <v/>
      </c>
      <c r="AC578" s="9">
        <f>IF(H578="yes",AA578*N(N578)/100,0)</f>
        <v/>
      </c>
      <c r="AD578" s="9">
        <f>IF(H578="yes",AA578*N(O578)/100,0)</f>
        <v/>
      </c>
      <c r="AE578" s="10">
        <f>IF(P578="yes",AA578/1000,0)</f>
        <v/>
      </c>
      <c r="AF578" s="10">
        <f>IF(R578="FG2",AE578*W578,AE578)</f>
        <v/>
      </c>
    </row>
    <row r="579">
      <c r="A579" s="6" t="inlineStr">
        <is>
          <t>HM00577</t>
        </is>
      </c>
      <c r="B579" s="7" t="inlineStr">
        <is>
          <t>3012345786478</t>
        </is>
      </c>
      <c r="C579" s="6" t="inlineStr">
        <is>
          <t>ORG FREE RANGE EGGS 6PK TARROW</t>
        </is>
      </c>
      <c r="D579" s="6" t="inlineStr">
        <is>
          <t>Organic free-range eggs, 6pk</t>
        </is>
      </c>
      <c r="E579" s="6" t="inlineStr">
        <is>
          <t>Tarrow Farm</t>
        </is>
      </c>
      <c r="F579" s="6" t="inlineStr">
        <is>
          <t>Dairy &amp; Eggs</t>
        </is>
      </c>
      <c r="G579" s="6" t="inlineStr">
        <is>
          <t>Eggs</t>
        </is>
      </c>
      <c r="H579" s="6" t="inlineStr">
        <is>
          <t>yes</t>
        </is>
      </c>
      <c r="I579" s="6" t="inlineStr">
        <is>
          <t>Animal core</t>
        </is>
      </c>
      <c r="J579" s="6" t="inlineStr">
        <is>
          <t>B</t>
        </is>
      </c>
      <c r="K579" s="6" t="inlineStr">
        <is>
          <t>Follows the class</t>
        </is>
      </c>
      <c r="L579" s="6" t="n">
        <v>12</v>
      </c>
      <c r="M579" s="6" t="inlineStr">
        <is>
          <t>Open Food Facts, by EAN</t>
        </is>
      </c>
      <c r="N579" s="6" t="n">
        <v>0</v>
      </c>
      <c r="O579" s="6" t="n">
        <v>12</v>
      </c>
      <c r="P579" s="6" t="inlineStr">
        <is>
          <t>yes</t>
        </is>
      </c>
      <c r="Q579" s="6" t="inlineStr">
        <is>
          <t>whole</t>
        </is>
      </c>
      <c r="R579" s="6" t="inlineStr">
        <is>
          <t>FG1</t>
        </is>
      </c>
      <c r="S579" s="6" t="inlineStr">
        <is>
          <t>eggs</t>
        </is>
      </c>
      <c r="T579" s="6" t="inlineStr">
        <is>
          <t>animal</t>
        </is>
      </c>
      <c r="U579" s="6" t="n"/>
      <c r="V579" s="6" t="n"/>
      <c r="W579" s="6" t="n">
        <v>1</v>
      </c>
      <c r="X579" s="6" t="n">
        <v>0.36</v>
      </c>
      <c r="Y579" s="6" t="inlineStr">
        <is>
          <t>declared</t>
        </is>
      </c>
      <c r="Z579" s="8" t="n">
        <v>77539</v>
      </c>
      <c r="AA579" s="9">
        <f>IF(H579="yes",Z579*X579,0)</f>
        <v/>
      </c>
      <c r="AB579" s="9">
        <f>IF(H579="yes",AA579*N(L579)/100,0)</f>
        <v/>
      </c>
      <c r="AC579" s="9">
        <f>IF(H579="yes",AA579*N(N579)/100,0)</f>
        <v/>
      </c>
      <c r="AD579" s="9">
        <f>IF(H579="yes",AA579*N(O579)/100,0)</f>
        <v/>
      </c>
      <c r="AE579" s="10">
        <f>IF(P579="yes",AA579/1000,0)</f>
        <v/>
      </c>
      <c r="AF579" s="10">
        <f>IF(R579="FG2",AE579*W579,AE579)</f>
        <v/>
      </c>
    </row>
    <row r="580">
      <c r="A580" s="6" t="inlineStr">
        <is>
          <t>HM00578</t>
        </is>
      </c>
      <c r="B580" s="7" t="inlineStr">
        <is>
          <t>3012345736305</t>
        </is>
      </c>
      <c r="C580" s="6" t="inlineStr">
        <is>
          <t>HM COCONUT YOG ALT 400G</t>
        </is>
      </c>
      <c r="D580" s="6" t="inlineStr">
        <is>
          <t>Coconut yoghurt alternative, 400g</t>
        </is>
      </c>
      <c r="E580" s="6" t="inlineStr">
        <is>
          <t>Harbour Market</t>
        </is>
      </c>
      <c r="F580" s="6" t="inlineStr">
        <is>
          <t>Plant-Based</t>
        </is>
      </c>
      <c r="G580" s="6" t="inlineStr">
        <is>
          <t>Plant Yoghurts</t>
        </is>
      </c>
      <c r="H580" s="6" t="inlineStr">
        <is>
          <t>yes</t>
        </is>
      </c>
      <c r="I580" s="6" t="inlineStr">
        <is>
          <t>Plant-based core</t>
        </is>
      </c>
      <c r="J580" s="6" t="inlineStr">
        <is>
          <t>A</t>
        </is>
      </c>
      <c r="K580" s="6" t="inlineStr">
        <is>
          <t>All ingredients on one side</t>
        </is>
      </c>
      <c r="L580" s="6" t="n">
        <v>0.8</v>
      </c>
      <c r="M580" s="6" t="inlineStr">
        <is>
          <t>Declared by the retailer</t>
        </is>
      </c>
      <c r="N580" s="6" t="n">
        <v>0.8</v>
      </c>
      <c r="O580" s="6" t="n">
        <v>0</v>
      </c>
      <c r="P580" s="6" t="inlineStr">
        <is>
          <t>yes</t>
        </is>
      </c>
      <c r="Q580" s="6" t="inlineStr">
        <is>
          <t>whole</t>
        </is>
      </c>
      <c r="R580" s="6" t="inlineStr">
        <is>
          <t>FG2</t>
        </is>
      </c>
      <c r="S580" s="6" t="inlineStr">
        <is>
          <t>dairy alternatives</t>
        </is>
      </c>
      <c r="T580" s="6" t="inlineStr">
        <is>
          <t>plant</t>
        </is>
      </c>
      <c r="U580" s="6" t="n"/>
      <c r="V580" s="6" t="n"/>
      <c r="W580" s="6" t="n">
        <v>1</v>
      </c>
      <c r="X580" s="6" t="n">
        <v>0.4</v>
      </c>
      <c r="Y580" s="6" t="inlineStr">
        <is>
          <t>declared</t>
        </is>
      </c>
      <c r="Z580" s="8" t="n">
        <v>67604</v>
      </c>
      <c r="AA580" s="9">
        <f>IF(H580="yes",Z580*X580,0)</f>
        <v/>
      </c>
      <c r="AB580" s="9">
        <f>IF(H580="yes",AA580*N(L580)/100,0)</f>
        <v/>
      </c>
      <c r="AC580" s="9">
        <f>IF(H580="yes",AA580*N(N580)/100,0)</f>
        <v/>
      </c>
      <c r="AD580" s="9">
        <f>IF(H580="yes",AA580*N(O580)/100,0)</f>
        <v/>
      </c>
      <c r="AE580" s="10">
        <f>IF(P580="yes",AA580/1000,0)</f>
        <v/>
      </c>
      <c r="AF580" s="10">
        <f>IF(R580="FG2",AE580*W580,AE580)</f>
        <v/>
      </c>
    </row>
    <row r="581">
      <c r="A581" s="6" t="inlineStr">
        <is>
          <t>HM00579</t>
        </is>
      </c>
      <c r="B581" s="7" t="inlineStr">
        <is>
          <t>3012345634915</t>
        </is>
      </c>
      <c r="C581" s="6" t="inlineStr">
        <is>
          <t>TARROW PORK CHIPOLATAS 12PK</t>
        </is>
      </c>
      <c r="D581" s="6" t="inlineStr">
        <is>
          <t>Pork chipolatas, 12pk</t>
        </is>
      </c>
      <c r="E581" s="6" t="inlineStr">
        <is>
          <t>Tarrow Farm</t>
        </is>
      </c>
      <c r="F581" s="6" t="inlineStr">
        <is>
          <t>Fresh Meat &amp; Poultry</t>
        </is>
      </c>
      <c r="G581" s="6" t="inlineStr">
        <is>
          <t>Sausages &amp; Burgers</t>
        </is>
      </c>
      <c r="H581" s="6" t="inlineStr">
        <is>
          <t>yes</t>
        </is>
      </c>
      <c r="I581" s="6" t="inlineStr">
        <is>
          <t>Animal core</t>
        </is>
      </c>
      <c r="J581" s="6" t="inlineStr">
        <is>
          <t>B</t>
        </is>
      </c>
      <c r="K581" s="6" t="inlineStr">
        <is>
          <t>First ingredient (step 4a)</t>
        </is>
      </c>
      <c r="L581" s="6" t="n">
        <v>13.5</v>
      </c>
      <c r="M581" s="6" t="inlineStr">
        <is>
          <t>Declared by the retailer</t>
        </is>
      </c>
      <c r="N581" s="6" t="n">
        <v>0</v>
      </c>
      <c r="O581" s="6" t="n">
        <v>13.5</v>
      </c>
      <c r="P581" s="6" t="inlineStr">
        <is>
          <t>yes</t>
        </is>
      </c>
      <c r="Q581" s="6" t="inlineStr">
        <is>
          <t>whole</t>
        </is>
      </c>
      <c r="R581" s="6" t="inlineStr">
        <is>
          <t>FG1</t>
        </is>
      </c>
      <c r="S581" s="6" t="inlineStr">
        <is>
          <t>red meat</t>
        </is>
      </c>
      <c r="T581" s="6" t="inlineStr">
        <is>
          <t>animal</t>
        </is>
      </c>
      <c r="U581" s="6" t="n"/>
      <c r="V581" s="6" t="n"/>
      <c r="W581" s="6" t="n">
        <v>1</v>
      </c>
      <c r="X581" s="6" t="n">
        <v>0.8</v>
      </c>
      <c r="Y581" s="6" t="inlineStr">
        <is>
          <t>declared</t>
        </is>
      </c>
      <c r="Z581" s="8" t="n">
        <v>8976</v>
      </c>
      <c r="AA581" s="9">
        <f>IF(H581="yes",Z581*X581,0)</f>
        <v/>
      </c>
      <c r="AB581" s="9">
        <f>IF(H581="yes",AA581*N(L581)/100,0)</f>
        <v/>
      </c>
      <c r="AC581" s="9">
        <f>IF(H581="yes",AA581*N(N581)/100,0)</f>
        <v/>
      </c>
      <c r="AD581" s="9">
        <f>IF(H581="yes",AA581*N(O581)/100,0)</f>
        <v/>
      </c>
      <c r="AE581" s="10">
        <f>IF(P581="yes",AA581/1000,0)</f>
        <v/>
      </c>
      <c r="AF581" s="10">
        <f>IF(R581="FG2",AE581*W581,AE581)</f>
        <v/>
      </c>
    </row>
    <row r="582">
      <c r="A582" s="6" t="inlineStr">
        <is>
          <t>HM00580</t>
        </is>
      </c>
      <c r="B582" s="7" t="inlineStr">
        <is>
          <t>3012345640213</t>
        </is>
      </c>
      <c r="C582" s="6" t="inlineStr">
        <is>
          <t>RED KIDNEY BEANS 410G ORVALIS</t>
        </is>
      </c>
      <c r="D582" s="6" t="inlineStr">
        <is>
          <t>Red kidney beans in water, 410g</t>
        </is>
      </c>
      <c r="E582" s="6" t="inlineStr">
        <is>
          <t>Orvalis</t>
        </is>
      </c>
      <c r="F582" s="6" t="inlineStr">
        <is>
          <t>Grocery</t>
        </is>
      </c>
      <c r="G582" s="6" t="inlineStr">
        <is>
          <t>Pulses</t>
        </is>
      </c>
      <c r="H582" s="6" t="inlineStr">
        <is>
          <t>yes</t>
        </is>
      </c>
      <c r="I582" s="6" t="inlineStr">
        <is>
          <t>Plant-based core</t>
        </is>
      </c>
      <c r="J582" s="6" t="inlineStr">
        <is>
          <t>B</t>
        </is>
      </c>
      <c r="K582" s="6" t="inlineStr">
        <is>
          <t>Follows the class</t>
        </is>
      </c>
      <c r="L582" s="6" t="n">
        <v>7.1</v>
      </c>
      <c r="M582" s="6" t="inlineStr">
        <is>
          <t>Altera reference base</t>
        </is>
      </c>
      <c r="N582" s="6" t="n">
        <v>7.1</v>
      </c>
      <c r="O582" s="6" t="n">
        <v>0</v>
      </c>
      <c r="P582" s="6" t="inlineStr">
        <is>
          <t>yes</t>
        </is>
      </c>
      <c r="Q582" s="6" t="inlineStr">
        <is>
          <t>whole</t>
        </is>
      </c>
      <c r="R582" s="6" t="inlineStr">
        <is>
          <t>FG1</t>
        </is>
      </c>
      <c r="S582" s="6" t="inlineStr">
        <is>
          <t>pulses</t>
        </is>
      </c>
      <c r="T582" s="6" t="inlineStr">
        <is>
          <t>plant</t>
        </is>
      </c>
      <c r="U582" s="6" t="n"/>
      <c r="V582" s="6" t="n"/>
      <c r="W582" s="6" t="n">
        <v>1</v>
      </c>
      <c r="X582" s="6" t="n">
        <v>0.41</v>
      </c>
      <c r="Y582" s="6" t="inlineStr">
        <is>
          <t>declared</t>
        </is>
      </c>
      <c r="Z582" s="8" t="n">
        <v>49569</v>
      </c>
      <c r="AA582" s="9">
        <f>IF(H582="yes",Z582*X582,0)</f>
        <v/>
      </c>
      <c r="AB582" s="9">
        <f>IF(H582="yes",AA582*N(L582)/100,0)</f>
        <v/>
      </c>
      <c r="AC582" s="9">
        <f>IF(H582="yes",AA582*N(N582)/100,0)</f>
        <v/>
      </c>
      <c r="AD582" s="9">
        <f>IF(H582="yes",AA582*N(O582)/100,0)</f>
        <v/>
      </c>
      <c r="AE582" s="10">
        <f>IF(P582="yes",AA582/1000,0)</f>
        <v/>
      </c>
      <c r="AF582" s="10">
        <f>IF(R582="FG2",AE582*W582,AE582)</f>
        <v/>
      </c>
    </row>
    <row r="583">
      <c r="A583" s="6" t="inlineStr">
        <is>
          <t>HM00581</t>
        </is>
      </c>
      <c r="B583" s="7" t="inlineStr">
        <is>
          <t>4012345957020</t>
        </is>
      </c>
      <c r="C583" s="6" t="inlineStr">
        <is>
          <t>HM SPARKLING WATER 1.5L</t>
        </is>
      </c>
      <c r="D583" s="6" t="inlineStr">
        <is>
          <t>Sparkling mineral water, 1.5l</t>
        </is>
      </c>
      <c r="E583" s="6" t="inlineStr">
        <is>
          <t>Harbour Market</t>
        </is>
      </c>
      <c r="F583" s="6" t="inlineStr">
        <is>
          <t>Soft Drinks &amp; Water</t>
        </is>
      </c>
      <c r="G583" s="6" t="inlineStr">
        <is>
          <t>Water</t>
        </is>
      </c>
      <c r="H583" s="6" t="inlineStr">
        <is>
          <t>yes</t>
        </is>
      </c>
      <c r="I583" s="6" t="inlineStr">
        <is>
          <t>Plant-based non-core</t>
        </is>
      </c>
      <c r="J583" s="6" t="inlineStr">
        <is>
          <t>A</t>
        </is>
      </c>
      <c r="K583" s="6" t="inlineStr">
        <is>
          <t>All ingredients on one side</t>
        </is>
      </c>
      <c r="L583" s="6" t="n">
        <v>0</v>
      </c>
      <c r="M583" s="6" t="inlineStr">
        <is>
          <t>Median of the family</t>
        </is>
      </c>
      <c r="N583" s="6" t="n">
        <v>0</v>
      </c>
      <c r="O583" s="6" t="n">
        <v>0</v>
      </c>
      <c r="P583" s="6" t="inlineStr">
        <is>
          <t>no</t>
        </is>
      </c>
      <c r="Q583" s="6" t="n"/>
      <c r="R583" s="6" t="n"/>
      <c r="S583" s="6" t="n"/>
      <c r="T583" s="6" t="n"/>
      <c r="U583" s="6" t="n"/>
      <c r="V583" s="6" t="inlineStr">
        <is>
          <t>beverage</t>
        </is>
      </c>
      <c r="W583" s="6" t="n">
        <v>1</v>
      </c>
      <c r="X583" s="6" t="n">
        <v>1.5</v>
      </c>
      <c r="Y583" s="6" t="inlineStr">
        <is>
          <t>declared</t>
        </is>
      </c>
      <c r="Z583" s="8" t="n">
        <v>40016</v>
      </c>
      <c r="AA583" s="9">
        <f>IF(H583="yes",Z583*X583,0)</f>
        <v/>
      </c>
      <c r="AB583" s="9">
        <f>IF(H583="yes",AA583*N(L583)/100,0)</f>
        <v/>
      </c>
      <c r="AC583" s="9">
        <f>IF(H583="yes",AA583*N(N583)/100,0)</f>
        <v/>
      </c>
      <c r="AD583" s="9">
        <f>IF(H583="yes",AA583*N(O583)/100,0)</f>
        <v/>
      </c>
      <c r="AE583" s="10">
        <f>IF(P583="yes",AA583/1000,0)</f>
        <v/>
      </c>
      <c r="AF583" s="10">
        <f>IF(R583="FG2",AE583*W583,AE583)</f>
        <v/>
      </c>
    </row>
    <row r="584">
      <c r="A584" s="6" t="inlineStr">
        <is>
          <t>HM00582</t>
        </is>
      </c>
      <c r="B584" s="7" t="inlineStr">
        <is>
          <t>3012345039864</t>
        </is>
      </c>
      <c r="C584" s="6" t="inlineStr">
        <is>
          <t>HM CLEMENTINES 500G</t>
        </is>
      </c>
      <c r="D584" s="6" t="inlineStr">
        <is>
          <t>Clementines, 500g</t>
        </is>
      </c>
      <c r="E584" s="6" t="inlineStr">
        <is>
          <t>Harbour Market</t>
        </is>
      </c>
      <c r="F584" s="6" t="inlineStr">
        <is>
          <t>Fruit &amp; Vegetables</t>
        </is>
      </c>
      <c r="G584" s="6" t="inlineStr">
        <is>
          <t>Fruit</t>
        </is>
      </c>
      <c r="H584" s="6" t="inlineStr">
        <is>
          <t>yes</t>
        </is>
      </c>
      <c r="I584" s="6" t="inlineStr">
        <is>
          <t>Plant-based non-core</t>
        </is>
      </c>
      <c r="J584" s="6" t="inlineStr">
        <is>
          <t>B</t>
        </is>
      </c>
      <c r="K584" s="6" t="inlineStr">
        <is>
          <t>Follows the class</t>
        </is>
      </c>
      <c r="L584" s="6" t="n">
        <v>0.76</v>
      </c>
      <c r="M584" s="6" t="inlineStr">
        <is>
          <t>Declared by the retailer</t>
        </is>
      </c>
      <c r="N584" s="6" t="n">
        <v>0.76</v>
      </c>
      <c r="O584" s="6" t="n">
        <v>0</v>
      </c>
      <c r="P584" s="6" t="inlineStr">
        <is>
          <t>yes</t>
        </is>
      </c>
      <c r="Q584" s="6" t="inlineStr">
        <is>
          <t>whole</t>
        </is>
      </c>
      <c r="R584" s="6" t="inlineStr">
        <is>
          <t>FG4</t>
        </is>
      </c>
      <c r="S584" s="6" t="n"/>
      <c r="T584" s="6" t="inlineStr">
        <is>
          <t>plant</t>
        </is>
      </c>
      <c r="U584" s="6" t="n"/>
      <c r="V584" s="6" t="n"/>
      <c r="W584" s="6" t="n">
        <v>1</v>
      </c>
      <c r="X584" s="6" t="n">
        <v>0.5</v>
      </c>
      <c r="Y584" s="6" t="inlineStr">
        <is>
          <t>declared</t>
        </is>
      </c>
      <c r="Z584" s="8" t="n">
        <v>103112</v>
      </c>
      <c r="AA584" s="9">
        <f>IF(H584="yes",Z584*X584,0)</f>
        <v/>
      </c>
      <c r="AB584" s="9">
        <f>IF(H584="yes",AA584*N(L584)/100,0)</f>
        <v/>
      </c>
      <c r="AC584" s="9">
        <f>IF(H584="yes",AA584*N(N584)/100,0)</f>
        <v/>
      </c>
      <c r="AD584" s="9">
        <f>IF(H584="yes",AA584*N(O584)/100,0)</f>
        <v/>
      </c>
      <c r="AE584" s="10">
        <f>IF(P584="yes",AA584/1000,0)</f>
        <v/>
      </c>
      <c r="AF584" s="10">
        <f>IF(R584="FG2",AE584*W584,AE584)</f>
        <v/>
      </c>
    </row>
    <row r="585">
      <c r="A585" s="6" t="inlineStr">
        <is>
          <t>HM00583</t>
        </is>
      </c>
      <c r="B585" s="7" t="inlineStr">
        <is>
          <t>3012345993951</t>
        </is>
      </c>
      <c r="C585" s="6" t="inlineStr">
        <is>
          <t>HM MACKEREL TOM SCE 4X110G</t>
        </is>
      </c>
      <c r="D585" s="6" t="inlineStr">
        <is>
          <t>Mackerel fillets in tomato sauce, 4x110g</t>
        </is>
      </c>
      <c r="E585" s="6" t="inlineStr">
        <is>
          <t>Harbour Market</t>
        </is>
      </c>
      <c r="F585" s="6" t="inlineStr">
        <is>
          <t>Fish &amp; Seafood</t>
        </is>
      </c>
      <c r="G585" s="6" t="inlineStr">
        <is>
          <t>Canned Fish</t>
        </is>
      </c>
      <c r="H585" s="6" t="inlineStr">
        <is>
          <t>yes</t>
        </is>
      </c>
      <c r="I585" s="6" t="inlineStr">
        <is>
          <t>Animal core</t>
        </is>
      </c>
      <c r="J585" s="6" t="inlineStr">
        <is>
          <t>A</t>
        </is>
      </c>
      <c r="K585" s="6" t="inlineStr">
        <is>
          <t>All ingredients on one side</t>
        </is>
      </c>
      <c r="L585" s="6" t="n">
        <v>14.1</v>
      </c>
      <c r="M585" s="6" t="inlineStr">
        <is>
          <t>Declared by the retailer</t>
        </is>
      </c>
      <c r="N585" s="6" t="n">
        <v>0</v>
      </c>
      <c r="O585" s="6" t="n">
        <v>14.1</v>
      </c>
      <c r="P585" s="6" t="inlineStr">
        <is>
          <t>yes</t>
        </is>
      </c>
      <c r="Q585" s="6" t="inlineStr">
        <is>
          <t>whole</t>
        </is>
      </c>
      <c r="R585" s="6" t="inlineStr">
        <is>
          <t>FG1</t>
        </is>
      </c>
      <c r="S585" s="6" t="inlineStr">
        <is>
          <t>fish shellfish</t>
        </is>
      </c>
      <c r="T585" s="6" t="inlineStr">
        <is>
          <t>animal</t>
        </is>
      </c>
      <c r="U585" s="6" t="n"/>
      <c r="V585" s="6" t="n"/>
      <c r="W585" s="6" t="n">
        <v>1</v>
      </c>
      <c r="X585" s="6" t="n">
        <v>0.44</v>
      </c>
      <c r="Y585" s="6" t="inlineStr">
        <is>
          <t>declared</t>
        </is>
      </c>
      <c r="Z585" s="8" t="n">
        <v>3555</v>
      </c>
      <c r="AA585" s="9">
        <f>IF(H585="yes",Z585*X585,0)</f>
        <v/>
      </c>
      <c r="AB585" s="9">
        <f>IF(H585="yes",AA585*N(L585)/100,0)</f>
        <v/>
      </c>
      <c r="AC585" s="9">
        <f>IF(H585="yes",AA585*N(N585)/100,0)</f>
        <v/>
      </c>
      <c r="AD585" s="9">
        <f>IF(H585="yes",AA585*N(O585)/100,0)</f>
        <v/>
      </c>
      <c r="AE585" s="10">
        <f>IF(P585="yes",AA585/1000,0)</f>
        <v/>
      </c>
      <c r="AF585" s="10">
        <f>IF(R585="FG2",AE585*W585,AE585)</f>
        <v/>
      </c>
    </row>
    <row r="586">
      <c r="A586" s="6" t="inlineStr">
        <is>
          <t>HM00584</t>
        </is>
      </c>
      <c r="B586" s="7" t="inlineStr">
        <is>
          <t>4012345989854</t>
        </is>
      </c>
      <c r="C586" s="6" t="inlineStr">
        <is>
          <t>HM WHOLEMEAL SLICED 400G</t>
        </is>
      </c>
      <c r="D586" s="6" t="inlineStr">
        <is>
          <t>Wholemeal sliced bread, 400g</t>
        </is>
      </c>
      <c r="E586" s="6" t="inlineStr">
        <is>
          <t>Harbour Market</t>
        </is>
      </c>
      <c r="F586" s="6" t="inlineStr">
        <is>
          <t>Bakery</t>
        </is>
      </c>
      <c r="G586" s="6" t="inlineStr">
        <is>
          <t>Bread</t>
        </is>
      </c>
      <c r="H586" s="6" t="inlineStr">
        <is>
          <t>yes</t>
        </is>
      </c>
      <c r="I586" s="6" t="inlineStr">
        <is>
          <t>Plant-based non-core</t>
        </is>
      </c>
      <c r="J586" s="6" t="inlineStr">
        <is>
          <t>A</t>
        </is>
      </c>
      <c r="K586" s="6" t="inlineStr">
        <is>
          <t>All ingredients on one side</t>
        </is>
      </c>
      <c r="L586" s="6" t="n">
        <v>10.6</v>
      </c>
      <c r="M586" s="6" t="inlineStr">
        <is>
          <t>Name match (CIQUAL / NEVO)</t>
        </is>
      </c>
      <c r="N586" s="6" t="n">
        <v>10.6</v>
      </c>
      <c r="O586" s="6" t="n">
        <v>0</v>
      </c>
      <c r="P586" s="6" t="inlineStr">
        <is>
          <t>yes</t>
        </is>
      </c>
      <c r="Q586" s="6" t="inlineStr">
        <is>
          <t>whole</t>
        </is>
      </c>
      <c r="R586" s="6" t="inlineStr">
        <is>
          <t>FG5</t>
        </is>
      </c>
      <c r="S586" s="6" t="inlineStr">
        <is>
          <t>whole grain</t>
        </is>
      </c>
      <c r="T586" s="6" t="inlineStr">
        <is>
          <t>plant</t>
        </is>
      </c>
      <c r="U586" s="6" t="n"/>
      <c r="V586" s="6" t="n"/>
      <c r="W586" s="6" t="n">
        <v>1</v>
      </c>
      <c r="X586" s="6" t="n">
        <v>0.4</v>
      </c>
      <c r="Y586" s="6" t="inlineStr">
        <is>
          <t>declared</t>
        </is>
      </c>
      <c r="Z586" s="8" t="n">
        <v>29455</v>
      </c>
      <c r="AA586" s="9">
        <f>IF(H586="yes",Z586*X586,0)</f>
        <v/>
      </c>
      <c r="AB586" s="9">
        <f>IF(H586="yes",AA586*N(L586)/100,0)</f>
        <v/>
      </c>
      <c r="AC586" s="9">
        <f>IF(H586="yes",AA586*N(N586)/100,0)</f>
        <v/>
      </c>
      <c r="AD586" s="9">
        <f>IF(H586="yes",AA586*N(O586)/100,0)</f>
        <v/>
      </c>
      <c r="AE586" s="10">
        <f>IF(P586="yes",AA586/1000,0)</f>
        <v/>
      </c>
      <c r="AF586" s="10">
        <f>IF(R586="FG2",AE586*W586,AE586)</f>
        <v/>
      </c>
    </row>
    <row r="587">
      <c r="A587" s="6" t="inlineStr">
        <is>
          <t>HM00585</t>
        </is>
      </c>
      <c r="B587" s="7" t="inlineStr">
        <is>
          <t>5012345606514</t>
        </is>
      </c>
      <c r="C587" s="6" t="inlineStr">
        <is>
          <t>BF SIRLOIN STK 2X200G TARROW</t>
        </is>
      </c>
      <c r="D587" s="6" t="inlineStr">
        <is>
          <t>Beef sirloin steak, 2x200g</t>
        </is>
      </c>
      <c r="E587" s="6" t="inlineStr">
        <is>
          <t>Tarrow Farm</t>
        </is>
      </c>
      <c r="F587" s="6" t="inlineStr">
        <is>
          <t>Fresh Meat &amp; Poultry</t>
        </is>
      </c>
      <c r="G587" s="6" t="inlineStr">
        <is>
          <t>Beef</t>
        </is>
      </c>
      <c r="H587" s="6" t="inlineStr">
        <is>
          <t>yes</t>
        </is>
      </c>
      <c r="I587" s="6" t="inlineStr">
        <is>
          <t>Animal core</t>
        </is>
      </c>
      <c r="J587" s="6" t="inlineStr">
        <is>
          <t>B</t>
        </is>
      </c>
      <c r="K587" s="6" t="inlineStr">
        <is>
          <t>Follows the class</t>
        </is>
      </c>
      <c r="L587" s="6" t="n">
        <v>20.8</v>
      </c>
      <c r="M587" s="6" t="inlineStr">
        <is>
          <t>Declared by the retailer</t>
        </is>
      </c>
      <c r="N587" s="6" t="n">
        <v>0</v>
      </c>
      <c r="O587" s="6" t="n">
        <v>20.8</v>
      </c>
      <c r="P587" s="6" t="inlineStr">
        <is>
          <t>yes</t>
        </is>
      </c>
      <c r="Q587" s="6" t="inlineStr">
        <is>
          <t>whole</t>
        </is>
      </c>
      <c r="R587" s="6" t="inlineStr">
        <is>
          <t>FG1</t>
        </is>
      </c>
      <c r="S587" s="6" t="inlineStr">
        <is>
          <t>red meat</t>
        </is>
      </c>
      <c r="T587" s="6" t="inlineStr">
        <is>
          <t>animal</t>
        </is>
      </c>
      <c r="U587" s="6" t="n"/>
      <c r="V587" s="6" t="n"/>
      <c r="W587" s="6" t="n">
        <v>1</v>
      </c>
      <c r="X587" s="6" t="n">
        <v>0.4</v>
      </c>
      <c r="Y587" s="6" t="inlineStr">
        <is>
          <t>declared</t>
        </is>
      </c>
      <c r="Z587" s="8" t="n">
        <v>50328</v>
      </c>
      <c r="AA587" s="9">
        <f>IF(H587="yes",Z587*X587,0)</f>
        <v/>
      </c>
      <c r="AB587" s="9">
        <f>IF(H587="yes",AA587*N(L587)/100,0)</f>
        <v/>
      </c>
      <c r="AC587" s="9">
        <f>IF(H587="yes",AA587*N(N587)/100,0)</f>
        <v/>
      </c>
      <c r="AD587" s="9">
        <f>IF(H587="yes",AA587*N(O587)/100,0)</f>
        <v/>
      </c>
      <c r="AE587" s="10">
        <f>IF(P587="yes",AA587/1000,0)</f>
        <v/>
      </c>
      <c r="AF587" s="10">
        <f>IF(R587="FG2",AE587*W587,AE587)</f>
        <v/>
      </c>
    </row>
    <row r="588">
      <c r="A588" s="6" t="inlineStr">
        <is>
          <t>HM00586</t>
        </is>
      </c>
      <c r="B588" s="7" t="inlineStr">
        <is>
          <t>4012345770476</t>
        </is>
      </c>
      <c r="C588" s="6" t="inlineStr">
        <is>
          <t>LARGE EGGS 15PK TARROW</t>
        </is>
      </c>
      <c r="D588" s="6" t="inlineStr">
        <is>
          <t>Large eggs, 15pk</t>
        </is>
      </c>
      <c r="E588" s="6" t="inlineStr">
        <is>
          <t>Tarrow Farm</t>
        </is>
      </c>
      <c r="F588" s="6" t="inlineStr">
        <is>
          <t>Dairy &amp; Eggs</t>
        </is>
      </c>
      <c r="G588" s="6" t="inlineStr">
        <is>
          <t>Eggs</t>
        </is>
      </c>
      <c r="H588" s="6" t="inlineStr">
        <is>
          <t>yes</t>
        </is>
      </c>
      <c r="I588" s="6" t="inlineStr">
        <is>
          <t>Animal core</t>
        </is>
      </c>
      <c r="J588" s="6" t="inlineStr">
        <is>
          <t>B</t>
        </is>
      </c>
      <c r="K588" s="6" t="inlineStr">
        <is>
          <t>Follows the class</t>
        </is>
      </c>
      <c r="L588" s="6" t="n">
        <v>12.1</v>
      </c>
      <c r="M588" s="6" t="inlineStr">
        <is>
          <t>Declared by the retailer</t>
        </is>
      </c>
      <c r="N588" s="6" t="n">
        <v>0</v>
      </c>
      <c r="O588" s="6" t="n">
        <v>12.1</v>
      </c>
      <c r="P588" s="6" t="inlineStr">
        <is>
          <t>yes</t>
        </is>
      </c>
      <c r="Q588" s="6" t="inlineStr">
        <is>
          <t>whole</t>
        </is>
      </c>
      <c r="R588" s="6" t="inlineStr">
        <is>
          <t>FG1</t>
        </is>
      </c>
      <c r="S588" s="6" t="inlineStr">
        <is>
          <t>eggs</t>
        </is>
      </c>
      <c r="T588" s="6" t="inlineStr">
        <is>
          <t>animal</t>
        </is>
      </c>
      <c r="U588" s="6" t="n"/>
      <c r="V588" s="6" t="n"/>
      <c r="W588" s="6" t="n">
        <v>1</v>
      </c>
      <c r="X588" s="6" t="n">
        <v>0.9</v>
      </c>
      <c r="Y588" s="6" t="inlineStr">
        <is>
          <t>declared</t>
        </is>
      </c>
      <c r="Z588" s="8" t="n">
        <v>86454</v>
      </c>
      <c r="AA588" s="9">
        <f>IF(H588="yes",Z588*X588,0)</f>
        <v/>
      </c>
      <c r="AB588" s="9">
        <f>IF(H588="yes",AA588*N(L588)/100,0)</f>
        <v/>
      </c>
      <c r="AC588" s="9">
        <f>IF(H588="yes",AA588*N(N588)/100,0)</f>
        <v/>
      </c>
      <c r="AD588" s="9">
        <f>IF(H588="yes",AA588*N(O588)/100,0)</f>
        <v/>
      </c>
      <c r="AE588" s="10">
        <f>IF(P588="yes",AA588/1000,0)</f>
        <v/>
      </c>
      <c r="AF588" s="10">
        <f>IF(R588="FG2",AE588*W588,AE588)</f>
        <v/>
      </c>
    </row>
    <row r="589">
      <c r="A589" s="6" t="inlineStr">
        <is>
          <t>HM00587</t>
        </is>
      </c>
      <c r="B589" s="7" t="inlineStr">
        <is>
          <t>4012345774986</t>
        </is>
      </c>
      <c r="C589" s="6" t="inlineStr">
        <is>
          <t>HM PROSECCO 1.5L</t>
        </is>
      </c>
      <c r="D589" s="6" t="inlineStr">
        <is>
          <t>Prosecco, 1.5l</t>
        </is>
      </c>
      <c r="E589" s="6" t="inlineStr">
        <is>
          <t>Harbour Market</t>
        </is>
      </c>
      <c r="F589" s="6" t="inlineStr">
        <is>
          <t>Beer, Wine &amp; Spirits</t>
        </is>
      </c>
      <c r="G589" s="6" t="inlineStr">
        <is>
          <t>Wine</t>
        </is>
      </c>
      <c r="H589" s="6" t="inlineStr">
        <is>
          <t>yes</t>
        </is>
      </c>
      <c r="I589" s="6" t="inlineStr">
        <is>
          <t>Plant-based non-core</t>
        </is>
      </c>
      <c r="J589" s="6" t="inlineStr">
        <is>
          <t>A</t>
        </is>
      </c>
      <c r="K589" s="6" t="inlineStr">
        <is>
          <t>All ingredients on one side</t>
        </is>
      </c>
      <c r="L589" s="6" t="n">
        <v>0.1</v>
      </c>
      <c r="M589" s="6" t="inlineStr">
        <is>
          <t>Name match (CIQUAL / NEVO)</t>
        </is>
      </c>
      <c r="N589" s="6" t="n">
        <v>0.1</v>
      </c>
      <c r="O589" s="6" t="n">
        <v>0</v>
      </c>
      <c r="P589" s="6" t="inlineStr">
        <is>
          <t>no</t>
        </is>
      </c>
      <c r="Q589" s="6" t="n"/>
      <c r="R589" s="6" t="n"/>
      <c r="S589" s="6" t="n"/>
      <c r="T589" s="6" t="n"/>
      <c r="U589" s="6" t="n"/>
      <c r="V589" s="6" t="inlineStr">
        <is>
          <t>alcohol</t>
        </is>
      </c>
      <c r="W589" s="6" t="n">
        <v>1</v>
      </c>
      <c r="X589" s="6" t="n">
        <v>1.5</v>
      </c>
      <c r="Y589" s="6" t="inlineStr">
        <is>
          <t>declared</t>
        </is>
      </c>
      <c r="Z589" s="8" t="n">
        <v>29375</v>
      </c>
      <c r="AA589" s="9">
        <f>IF(H589="yes",Z589*X589,0)</f>
        <v/>
      </c>
      <c r="AB589" s="9">
        <f>IF(H589="yes",AA589*N(L589)/100,0)</f>
        <v/>
      </c>
      <c r="AC589" s="9">
        <f>IF(H589="yes",AA589*N(N589)/100,0)</f>
        <v/>
      </c>
      <c r="AD589" s="9">
        <f>IF(H589="yes",AA589*N(O589)/100,0)</f>
        <v/>
      </c>
      <c r="AE589" s="10">
        <f>IF(P589="yes",AA589/1000,0)</f>
        <v/>
      </c>
      <c r="AF589" s="10">
        <f>IF(R589="FG2",AE589*W589,AE589)</f>
        <v/>
      </c>
    </row>
    <row r="590">
      <c r="A590" s="6" t="inlineStr">
        <is>
          <t>HM00588</t>
        </is>
      </c>
      <c r="B590" s="7" t="inlineStr">
        <is>
          <t>3012345471862</t>
        </is>
      </c>
      <c r="C590" s="6" t="inlineStr">
        <is>
          <t>HM COFFEE BEANS 80PK 250G</t>
        </is>
      </c>
      <c r="D590" s="6" t="inlineStr">
        <is>
          <t>Whole coffee beans, 80pk 250g</t>
        </is>
      </c>
      <c r="E590" s="6" t="inlineStr">
        <is>
          <t>Harbour Market</t>
        </is>
      </c>
      <c r="F590" s="6" t="inlineStr">
        <is>
          <t>Grocery</t>
        </is>
      </c>
      <c r="G590" s="6" t="inlineStr">
        <is>
          <t>Tea &amp; Coffee</t>
        </is>
      </c>
      <c r="H590" s="6" t="inlineStr">
        <is>
          <t>yes</t>
        </is>
      </c>
      <c r="I590" s="6" t="inlineStr">
        <is>
          <t>Plant-based non-core</t>
        </is>
      </c>
      <c r="J590" s="6" t="inlineStr">
        <is>
          <t>A</t>
        </is>
      </c>
      <c r="K590" s="6" t="inlineStr">
        <is>
          <t>All ingredients on one side</t>
        </is>
      </c>
      <c r="L590" s="6" t="n">
        <v>12.7</v>
      </c>
      <c r="M590" s="6" t="inlineStr">
        <is>
          <t>Altera reference base</t>
        </is>
      </c>
      <c r="N590" s="6" t="n">
        <v>12.7</v>
      </c>
      <c r="O590" s="6" t="n">
        <v>0</v>
      </c>
      <c r="P590" s="6" t="inlineStr">
        <is>
          <t>no</t>
        </is>
      </c>
      <c r="Q590" s="6" t="n"/>
      <c r="R590" s="6" t="n"/>
      <c r="S590" s="6" t="n"/>
      <c r="T590" s="6" t="n"/>
      <c r="U590" s="6" t="n"/>
      <c r="V590" s="6" t="inlineStr">
        <is>
          <t>coffee tea</t>
        </is>
      </c>
      <c r="W590" s="6" t="n">
        <v>1</v>
      </c>
      <c r="X590" s="6" t="n">
        <v>0.25</v>
      </c>
      <c r="Y590" s="6" t="inlineStr">
        <is>
          <t>declared</t>
        </is>
      </c>
      <c r="Z590" s="8" t="n">
        <v>13298</v>
      </c>
      <c r="AA590" s="9">
        <f>IF(H590="yes",Z590*X590,0)</f>
        <v/>
      </c>
      <c r="AB590" s="9">
        <f>IF(H590="yes",AA590*N(L590)/100,0)</f>
        <v/>
      </c>
      <c r="AC590" s="9">
        <f>IF(H590="yes",AA590*N(N590)/100,0)</f>
        <v/>
      </c>
      <c r="AD590" s="9">
        <f>IF(H590="yes",AA590*N(O590)/100,0)</f>
        <v/>
      </c>
      <c r="AE590" s="10">
        <f>IF(P590="yes",AA590/1000,0)</f>
        <v/>
      </c>
      <c r="AF590" s="10">
        <f>IF(R590="FG2",AE590*W590,AE590)</f>
        <v/>
      </c>
    </row>
    <row r="591">
      <c r="A591" s="6" t="inlineStr">
        <is>
          <t>HM00589</t>
        </is>
      </c>
      <c r="B591" s="7" t="inlineStr">
        <is>
          <t>8712345220617</t>
        </is>
      </c>
      <c r="C591" s="6" t="inlineStr">
        <is>
          <t>HM SALMON FLT SKINLESS 4X125G</t>
        </is>
      </c>
      <c r="D591" s="6" t="inlineStr">
        <is>
          <t>Skinless salmon fillets, 4x125g</t>
        </is>
      </c>
      <c r="E591" s="6" t="inlineStr">
        <is>
          <t>Harbour Market</t>
        </is>
      </c>
      <c r="F591" s="6" t="inlineStr">
        <is>
          <t>Fish &amp; Seafood</t>
        </is>
      </c>
      <c r="G591" s="6" t="inlineStr">
        <is>
          <t>Fresh Fish</t>
        </is>
      </c>
      <c r="H591" s="6" t="inlineStr">
        <is>
          <t>yes</t>
        </is>
      </c>
      <c r="I591" s="6" t="inlineStr">
        <is>
          <t>Animal core</t>
        </is>
      </c>
      <c r="J591" s="6" t="inlineStr">
        <is>
          <t>B</t>
        </is>
      </c>
      <c r="K591" s="6" t="inlineStr">
        <is>
          <t>Follows the class</t>
        </is>
      </c>
      <c r="L591" s="6" t="n">
        <v>19.5</v>
      </c>
      <c r="M591" s="6" t="inlineStr">
        <is>
          <t>Declared by the retailer</t>
        </is>
      </c>
      <c r="N591" s="6" t="n">
        <v>0</v>
      </c>
      <c r="O591" s="6" t="n">
        <v>19.5</v>
      </c>
      <c r="P591" s="6" t="inlineStr">
        <is>
          <t>yes</t>
        </is>
      </c>
      <c r="Q591" s="6" t="inlineStr">
        <is>
          <t>whole</t>
        </is>
      </c>
      <c r="R591" s="6" t="inlineStr">
        <is>
          <t>FG1</t>
        </is>
      </c>
      <c r="S591" s="6" t="inlineStr">
        <is>
          <t>fish shellfish</t>
        </is>
      </c>
      <c r="T591" s="6" t="inlineStr">
        <is>
          <t>animal</t>
        </is>
      </c>
      <c r="U591" s="6" t="n"/>
      <c r="V591" s="6" t="n"/>
      <c r="W591" s="6" t="n">
        <v>1</v>
      </c>
      <c r="X591" s="6" t="n">
        <v>0.5</v>
      </c>
      <c r="Y591" s="6" t="inlineStr">
        <is>
          <t>label</t>
        </is>
      </c>
      <c r="Z591" s="8" t="n">
        <v>23046</v>
      </c>
      <c r="AA591" s="9">
        <f>IF(H591="yes",Z591*X591,0)</f>
        <v/>
      </c>
      <c r="AB591" s="9">
        <f>IF(H591="yes",AA591*N(L591)/100,0)</f>
        <v/>
      </c>
      <c r="AC591" s="9">
        <f>IF(H591="yes",AA591*N(N591)/100,0)</f>
        <v/>
      </c>
      <c r="AD591" s="9">
        <f>IF(H591="yes",AA591*N(O591)/100,0)</f>
        <v/>
      </c>
      <c r="AE591" s="10">
        <f>IF(P591="yes",AA591/1000,0)</f>
        <v/>
      </c>
      <c r="AF591" s="10">
        <f>IF(R591="FG2",AE591*W591,AE591)</f>
        <v/>
      </c>
    </row>
    <row r="592">
      <c r="A592" s="6" t="inlineStr">
        <is>
          <t>HM00590</t>
        </is>
      </c>
      <c r="B592" s="7" t="inlineStr">
        <is>
          <t>5012345386058</t>
        </is>
      </c>
      <c r="C592" s="6" t="inlineStr">
        <is>
          <t>SMKD SALMON 200G KESTREL</t>
        </is>
      </c>
      <c r="D592" s="6" t="inlineStr">
        <is>
          <t>Smoked salmon, 200g</t>
        </is>
      </c>
      <c r="E592" s="6" t="inlineStr">
        <is>
          <t>Kestrel Bay</t>
        </is>
      </c>
      <c r="F592" s="6" t="inlineStr">
        <is>
          <t>Fish &amp; Seafood</t>
        </is>
      </c>
      <c r="G592" s="6" t="inlineStr">
        <is>
          <t>Smoked Fish</t>
        </is>
      </c>
      <c r="H592" s="6" t="inlineStr">
        <is>
          <t>yes</t>
        </is>
      </c>
      <c r="I592" s="6" t="inlineStr">
        <is>
          <t>Animal core</t>
        </is>
      </c>
      <c r="J592" s="6" t="inlineStr">
        <is>
          <t>A</t>
        </is>
      </c>
      <c r="K592" s="6" t="inlineStr">
        <is>
          <t>All ingredients on one side</t>
        </is>
      </c>
      <c r="L592" s="6" t="n">
        <v>21.5</v>
      </c>
      <c r="M592" s="6" t="inlineStr">
        <is>
          <t>Declared by the retailer</t>
        </is>
      </c>
      <c r="N592" s="6" t="n">
        <v>0</v>
      </c>
      <c r="O592" s="6" t="n">
        <v>21.5</v>
      </c>
      <c r="P592" s="6" t="inlineStr">
        <is>
          <t>yes</t>
        </is>
      </c>
      <c r="Q592" s="6" t="inlineStr">
        <is>
          <t>whole</t>
        </is>
      </c>
      <c r="R592" s="6" t="inlineStr">
        <is>
          <t>FG1</t>
        </is>
      </c>
      <c r="S592" s="6" t="inlineStr">
        <is>
          <t>fish shellfish</t>
        </is>
      </c>
      <c r="T592" s="6" t="inlineStr">
        <is>
          <t>animal</t>
        </is>
      </c>
      <c r="U592" s="6" t="n"/>
      <c r="V592" s="6" t="n"/>
      <c r="W592" s="6" t="n">
        <v>1</v>
      </c>
      <c r="X592" s="6" t="n">
        <v>0.2</v>
      </c>
      <c r="Y592" s="6" t="inlineStr">
        <is>
          <t>declared</t>
        </is>
      </c>
      <c r="Z592" s="8" t="n">
        <v>24492</v>
      </c>
      <c r="AA592" s="9">
        <f>IF(H592="yes",Z592*X592,0)</f>
        <v/>
      </c>
      <c r="AB592" s="9">
        <f>IF(H592="yes",AA592*N(L592)/100,0)</f>
        <v/>
      </c>
      <c r="AC592" s="9">
        <f>IF(H592="yes",AA592*N(N592)/100,0)</f>
        <v/>
      </c>
      <c r="AD592" s="9">
        <f>IF(H592="yes",AA592*N(O592)/100,0)</f>
        <v/>
      </c>
      <c r="AE592" s="10">
        <f>IF(P592="yes",AA592/1000,0)</f>
        <v/>
      </c>
      <c r="AF592" s="10">
        <f>IF(R592="FG2",AE592*W592,AE592)</f>
        <v/>
      </c>
    </row>
    <row r="593">
      <c r="A593" s="6" t="inlineStr">
        <is>
          <t>HM00591</t>
        </is>
      </c>
      <c r="B593" s="7" t="inlineStr">
        <is>
          <t>5012345036793</t>
        </is>
      </c>
      <c r="C593" s="6" t="inlineStr">
        <is>
          <t>PENWARD APPLE CIDER 500ML</t>
        </is>
      </c>
      <c r="D593" s="6" t="inlineStr">
        <is>
          <t>Apple cider, 500ml</t>
        </is>
      </c>
      <c r="E593" s="6" t="inlineStr">
        <is>
          <t>Penward</t>
        </is>
      </c>
      <c r="F593" s="6" t="inlineStr">
        <is>
          <t>Beer, Wine &amp; Spirits</t>
        </is>
      </c>
      <c r="G593" s="6" t="inlineStr">
        <is>
          <t>Beer &amp; Cider</t>
        </is>
      </c>
      <c r="H593" s="6" t="inlineStr">
        <is>
          <t>yes</t>
        </is>
      </c>
      <c r="I593" s="6" t="inlineStr">
        <is>
          <t>Plant-based non-core</t>
        </is>
      </c>
      <c r="J593" s="6" t="inlineStr">
        <is>
          <t>B</t>
        </is>
      </c>
      <c r="K593" s="6" t="inlineStr">
        <is>
          <t>Follows the class</t>
        </is>
      </c>
      <c r="L593" s="6" t="n">
        <v>0</v>
      </c>
      <c r="M593" s="6" t="inlineStr">
        <is>
          <t>Declared by the retailer</t>
        </is>
      </c>
      <c r="N593" s="6" t="n">
        <v>0</v>
      </c>
      <c r="O593" s="6" t="n">
        <v>0</v>
      </c>
      <c r="P593" s="6" t="inlineStr">
        <is>
          <t>no</t>
        </is>
      </c>
      <c r="Q593" s="6" t="n"/>
      <c r="R593" s="6" t="n"/>
      <c r="S593" s="6" t="n"/>
      <c r="T593" s="6" t="n"/>
      <c r="U593" s="6" t="n"/>
      <c r="V593" s="6" t="inlineStr">
        <is>
          <t>alcohol</t>
        </is>
      </c>
      <c r="W593" s="6" t="n">
        <v>1</v>
      </c>
      <c r="X593" s="6" t="n">
        <v>0.5</v>
      </c>
      <c r="Y593" s="6" t="inlineStr">
        <is>
          <t>declared</t>
        </is>
      </c>
      <c r="Z593" s="8" t="n">
        <v>119083</v>
      </c>
      <c r="AA593" s="9">
        <f>IF(H593="yes",Z593*X593,0)</f>
        <v/>
      </c>
      <c r="AB593" s="9">
        <f>IF(H593="yes",AA593*N(L593)/100,0)</f>
        <v/>
      </c>
      <c r="AC593" s="9">
        <f>IF(H593="yes",AA593*N(N593)/100,0)</f>
        <v/>
      </c>
      <c r="AD593" s="9">
        <f>IF(H593="yes",AA593*N(O593)/100,0)</f>
        <v/>
      </c>
      <c r="AE593" s="10">
        <f>IF(P593="yes",AA593/1000,0)</f>
        <v/>
      </c>
      <c r="AF593" s="10">
        <f>IF(R593="FG2",AE593*W593,AE593)</f>
        <v/>
      </c>
    </row>
    <row r="594">
      <c r="A594" s="6" t="inlineStr">
        <is>
          <t>HM00592</t>
        </is>
      </c>
      <c r="B594" s="7" t="inlineStr">
        <is>
          <t>3012345424417</t>
        </is>
      </c>
      <c r="C594" s="6" t="inlineStr">
        <is>
          <t>HM OAT DRINK 1L</t>
        </is>
      </c>
      <c r="D594" s="6" t="inlineStr">
        <is>
          <t>Oat drink, 1l</t>
        </is>
      </c>
      <c r="E594" s="6" t="inlineStr">
        <is>
          <t>Harbour Market</t>
        </is>
      </c>
      <c r="F594" s="6" t="inlineStr">
        <is>
          <t>Plant-Based</t>
        </is>
      </c>
      <c r="G594" s="6" t="inlineStr">
        <is>
          <t>Plant Drinks</t>
        </is>
      </c>
      <c r="H594" s="6" t="inlineStr">
        <is>
          <t>yes</t>
        </is>
      </c>
      <c r="I594" s="6" t="inlineStr">
        <is>
          <t>Plant-based core</t>
        </is>
      </c>
      <c r="J594" s="6" t="inlineStr">
        <is>
          <t>A</t>
        </is>
      </c>
      <c r="K594" s="6" t="inlineStr">
        <is>
          <t>All ingredients on one side</t>
        </is>
      </c>
      <c r="L594" s="6" t="n">
        <v>0.98</v>
      </c>
      <c r="M594" s="6" t="inlineStr">
        <is>
          <t>Declared by the retailer</t>
        </is>
      </c>
      <c r="N594" s="6" t="n">
        <v>0.98</v>
      </c>
      <c r="O594" s="6" t="n">
        <v>0</v>
      </c>
      <c r="P594" s="6" t="inlineStr">
        <is>
          <t>yes</t>
        </is>
      </c>
      <c r="Q594" s="6" t="inlineStr">
        <is>
          <t>whole</t>
        </is>
      </c>
      <c r="R594" s="6" t="inlineStr">
        <is>
          <t>FG2</t>
        </is>
      </c>
      <c r="S594" s="6" t="inlineStr">
        <is>
          <t>dairy alternatives</t>
        </is>
      </c>
      <c r="T594" s="6" t="inlineStr">
        <is>
          <t>plant</t>
        </is>
      </c>
      <c r="U594" s="6" t="n"/>
      <c r="V594" s="6" t="n"/>
      <c r="W594" s="6" t="n">
        <v>1</v>
      </c>
      <c r="X594" s="6" t="n">
        <v>1.03</v>
      </c>
      <c r="Y594" s="6" t="inlineStr">
        <is>
          <t>declared</t>
        </is>
      </c>
      <c r="Z594" s="8" t="n">
        <v>24475</v>
      </c>
      <c r="AA594" s="9">
        <f>IF(H594="yes",Z594*X594,0)</f>
        <v/>
      </c>
      <c r="AB594" s="9">
        <f>IF(H594="yes",AA594*N(L594)/100,0)</f>
        <v/>
      </c>
      <c r="AC594" s="9">
        <f>IF(H594="yes",AA594*N(N594)/100,0)</f>
        <v/>
      </c>
      <c r="AD594" s="9">
        <f>IF(H594="yes",AA594*N(O594)/100,0)</f>
        <v/>
      </c>
      <c r="AE594" s="10">
        <f>IF(P594="yes",AA594/1000,0)</f>
        <v/>
      </c>
      <c r="AF594" s="10">
        <f>IF(R594="FG2",AE594*W594,AE594)</f>
        <v/>
      </c>
    </row>
    <row r="595">
      <c r="A595" s="6" t="inlineStr">
        <is>
          <t>HM00593</t>
        </is>
      </c>
      <c r="B595" s="7" t="inlineStr">
        <is>
          <t>5012345938790</t>
        </is>
      </c>
      <c r="C595" s="6" t="inlineStr">
        <is>
          <t>TOMATO KETCHUP 200G CASTELNA</t>
        </is>
      </c>
      <c r="D595" s="6" t="inlineStr">
        <is>
          <t>Tomato ketchup, 200g</t>
        </is>
      </c>
      <c r="E595" s="6" t="inlineStr">
        <is>
          <t>Castelna</t>
        </is>
      </c>
      <c r="F595" s="6" t="inlineStr">
        <is>
          <t>Grocery</t>
        </is>
      </c>
      <c r="G595" s="6" t="inlineStr">
        <is>
          <t>Condiments</t>
        </is>
      </c>
      <c r="H595" s="6" t="inlineStr">
        <is>
          <t>yes</t>
        </is>
      </c>
      <c r="I595" s="6" t="inlineStr">
        <is>
          <t>Plant-based non-core</t>
        </is>
      </c>
      <c r="J595" s="6" t="inlineStr">
        <is>
          <t>B</t>
        </is>
      </c>
      <c r="K595" s="6" t="inlineStr">
        <is>
          <t>Follows the class</t>
        </is>
      </c>
      <c r="L595" s="6" t="n">
        <v>1.2</v>
      </c>
      <c r="M595" s="6" t="inlineStr">
        <is>
          <t>Altera reference base</t>
        </is>
      </c>
      <c r="N595" s="6" t="n">
        <v>1.2</v>
      </c>
      <c r="O595" s="6" t="n">
        <v>0</v>
      </c>
      <c r="P595" s="6" t="inlineStr">
        <is>
          <t>no</t>
        </is>
      </c>
      <c r="Q595" s="6" t="n"/>
      <c r="R595" s="6" t="n"/>
      <c r="S595" s="6" t="n"/>
      <c r="T595" s="6" t="n"/>
      <c r="U595" s="6" t="n"/>
      <c r="V595" s="6" t="inlineStr">
        <is>
          <t>condiment</t>
        </is>
      </c>
      <c r="W595" s="6" t="n">
        <v>1</v>
      </c>
      <c r="X595" s="6" t="n">
        <v>0.2</v>
      </c>
      <c r="Y595" s="6" t="inlineStr">
        <is>
          <t>declared</t>
        </is>
      </c>
      <c r="Z595" s="8" t="n">
        <v>46800</v>
      </c>
      <c r="AA595" s="9">
        <f>IF(H595="yes",Z595*X595,0)</f>
        <v/>
      </c>
      <c r="AB595" s="9">
        <f>IF(H595="yes",AA595*N(L595)/100,0)</f>
        <v/>
      </c>
      <c r="AC595" s="9">
        <f>IF(H595="yes",AA595*N(N595)/100,0)</f>
        <v/>
      </c>
      <c r="AD595" s="9">
        <f>IF(H595="yes",AA595*N(O595)/100,0)</f>
        <v/>
      </c>
      <c r="AE595" s="10">
        <f>IF(P595="yes",AA595/1000,0)</f>
        <v/>
      </c>
      <c r="AF595" s="10">
        <f>IF(R595="FG2",AE595*W595,AE595)</f>
        <v/>
      </c>
    </row>
    <row r="596">
      <c r="A596" s="6" t="inlineStr">
        <is>
          <t>HM00594</t>
        </is>
      </c>
      <c r="B596" s="7" t="inlineStr">
        <is>
          <t>8712345733452</t>
        </is>
      </c>
      <c r="C596" s="6" t="inlineStr">
        <is>
          <t>HM SEITAN PIECES 200G</t>
        </is>
      </c>
      <c r="D596" s="6" t="inlineStr">
        <is>
          <t>Seitan pieces, 200g</t>
        </is>
      </c>
      <c r="E596" s="6" t="inlineStr">
        <is>
          <t>Harbour Market</t>
        </is>
      </c>
      <c r="F596" s="6" t="inlineStr">
        <is>
          <t>Plant-Based</t>
        </is>
      </c>
      <c r="G596" s="6" t="inlineStr">
        <is>
          <t>Tofu &amp; Tempeh</t>
        </is>
      </c>
      <c r="H596" s="6" t="inlineStr">
        <is>
          <t>yes</t>
        </is>
      </c>
      <c r="I596" s="6" t="inlineStr">
        <is>
          <t>Plant-based core</t>
        </is>
      </c>
      <c r="J596" s="6" t="inlineStr">
        <is>
          <t>B</t>
        </is>
      </c>
      <c r="K596" s="6" t="inlineStr">
        <is>
          <t>Follows the class</t>
        </is>
      </c>
      <c r="L596" s="6" t="n">
        <v>24.5</v>
      </c>
      <c r="M596" s="6" t="inlineStr">
        <is>
          <t>Median of the family</t>
        </is>
      </c>
      <c r="N596" s="6" t="n">
        <v>24.5</v>
      </c>
      <c r="O596" s="6" t="n">
        <v>0</v>
      </c>
      <c r="P596" s="6" t="inlineStr">
        <is>
          <t>yes</t>
        </is>
      </c>
      <c r="Q596" s="6" t="inlineStr">
        <is>
          <t>whole</t>
        </is>
      </c>
      <c r="R596" s="6" t="inlineStr">
        <is>
          <t>FG1</t>
        </is>
      </c>
      <c r="S596" s="6" t="inlineStr">
        <is>
          <t>tofu tempeh seitan</t>
        </is>
      </c>
      <c r="T596" s="6" t="inlineStr">
        <is>
          <t>plant</t>
        </is>
      </c>
      <c r="U596" s="6" t="n"/>
      <c r="V596" s="6" t="n"/>
      <c r="W596" s="6" t="n">
        <v>1</v>
      </c>
      <c r="X596" s="6" t="n">
        <v>0.2</v>
      </c>
      <c r="Y596" s="6" t="inlineStr">
        <is>
          <t>label</t>
        </is>
      </c>
      <c r="Z596" s="8" t="n">
        <v>37296</v>
      </c>
      <c r="AA596" s="9">
        <f>IF(H596="yes",Z596*X596,0)</f>
        <v/>
      </c>
      <c r="AB596" s="9">
        <f>IF(H596="yes",AA596*N(L596)/100,0)</f>
        <v/>
      </c>
      <c r="AC596" s="9">
        <f>IF(H596="yes",AA596*N(N596)/100,0)</f>
        <v/>
      </c>
      <c r="AD596" s="9">
        <f>IF(H596="yes",AA596*N(O596)/100,0)</f>
        <v/>
      </c>
      <c r="AE596" s="10">
        <f>IF(P596="yes",AA596/1000,0)</f>
        <v/>
      </c>
      <c r="AF596" s="10">
        <f>IF(R596="FG2",AE596*W596,AE596)</f>
        <v/>
      </c>
    </row>
    <row r="597">
      <c r="A597" s="6" t="inlineStr">
        <is>
          <t>HM00595</t>
        </is>
      </c>
      <c r="B597" s="7" t="inlineStr">
        <is>
          <t>5012345053103</t>
        </is>
      </c>
      <c r="C597" s="6" t="inlineStr">
        <is>
          <t>HM PASSATA 4X400G</t>
        </is>
      </c>
      <c r="D597" s="6" t="inlineStr">
        <is>
          <t>Sieved tomatoes (passata), 4x400g</t>
        </is>
      </c>
      <c r="E597" s="6" t="inlineStr">
        <is>
          <t>Harbour Market</t>
        </is>
      </c>
      <c r="F597" s="6" t="inlineStr">
        <is>
          <t>Grocery</t>
        </is>
      </c>
      <c r="G597" s="6" t="inlineStr">
        <is>
          <t>Canned Vegetables</t>
        </is>
      </c>
      <c r="H597" s="6" t="inlineStr">
        <is>
          <t>yes</t>
        </is>
      </c>
      <c r="I597" s="6" t="inlineStr">
        <is>
          <t>Plant-based non-core</t>
        </is>
      </c>
      <c r="J597" s="6" t="inlineStr">
        <is>
          <t>B</t>
        </is>
      </c>
      <c r="K597" s="6" t="inlineStr">
        <is>
          <t>Follows the class</t>
        </is>
      </c>
      <c r="L597" s="6" t="n">
        <v>1.2</v>
      </c>
      <c r="M597" s="6" t="inlineStr">
        <is>
          <t>Declared by the retailer</t>
        </is>
      </c>
      <c r="N597" s="6" t="n">
        <v>1.2</v>
      </c>
      <c r="O597" s="6" t="n">
        <v>0</v>
      </c>
      <c r="P597" s="6" t="inlineStr">
        <is>
          <t>yes</t>
        </is>
      </c>
      <c r="Q597" s="6" t="inlineStr">
        <is>
          <t>whole</t>
        </is>
      </c>
      <c r="R597" s="6" t="inlineStr">
        <is>
          <t>FG4</t>
        </is>
      </c>
      <c r="S597" s="6" t="n"/>
      <c r="T597" s="6" t="inlineStr">
        <is>
          <t>plant</t>
        </is>
      </c>
      <c r="U597" s="6" t="n"/>
      <c r="V597" s="6" t="n"/>
      <c r="W597" s="6" t="n">
        <v>1</v>
      </c>
      <c r="X597" s="6" t="n">
        <v>1.6</v>
      </c>
      <c r="Y597" s="6" t="inlineStr">
        <is>
          <t>label</t>
        </is>
      </c>
      <c r="Z597" s="8" t="n">
        <v>39015</v>
      </c>
      <c r="AA597" s="9">
        <f>IF(H597="yes",Z597*X597,0)</f>
        <v/>
      </c>
      <c r="AB597" s="9">
        <f>IF(H597="yes",AA597*N(L597)/100,0)</f>
        <v/>
      </c>
      <c r="AC597" s="9">
        <f>IF(H597="yes",AA597*N(N597)/100,0)</f>
        <v/>
      </c>
      <c r="AD597" s="9">
        <f>IF(H597="yes",AA597*N(O597)/100,0)</f>
        <v/>
      </c>
      <c r="AE597" s="10">
        <f>IF(P597="yes",AA597/1000,0)</f>
        <v/>
      </c>
      <c r="AF597" s="10">
        <f>IF(R597="FG2",AE597*W597,AE597)</f>
        <v/>
      </c>
    </row>
    <row r="598">
      <c r="A598" s="6" t="inlineStr">
        <is>
          <t>HM00596</t>
        </is>
      </c>
      <c r="B598" s="7" t="inlineStr">
        <is>
          <t>3012345040433</t>
        </is>
      </c>
      <c r="C598" s="6" t="inlineStr">
        <is>
          <t>BLENDED WHISKY 70CL PENWARD</t>
        </is>
      </c>
      <c r="D598" s="6" t="inlineStr">
        <is>
          <t>Blended whisky, 70cl</t>
        </is>
      </c>
      <c r="E598" s="6" t="inlineStr">
        <is>
          <t>Penward</t>
        </is>
      </c>
      <c r="F598" s="6" t="inlineStr">
        <is>
          <t>Beer, Wine &amp; Spirits</t>
        </is>
      </c>
      <c r="G598" s="6" t="inlineStr">
        <is>
          <t>Spirits</t>
        </is>
      </c>
      <c r="H598" s="6" t="inlineStr">
        <is>
          <t>yes</t>
        </is>
      </c>
      <c r="I598" s="6" t="inlineStr">
        <is>
          <t>Plant-based non-core</t>
        </is>
      </c>
      <c r="J598" s="6" t="inlineStr">
        <is>
          <t>A</t>
        </is>
      </c>
      <c r="K598" s="6" t="inlineStr">
        <is>
          <t>All ingredients on one side</t>
        </is>
      </c>
      <c r="L598" s="6" t="n">
        <v>0</v>
      </c>
      <c r="M598" s="6" t="inlineStr">
        <is>
          <t>Declared by the retailer</t>
        </is>
      </c>
      <c r="N598" s="6" t="n">
        <v>0</v>
      </c>
      <c r="O598" s="6" t="n">
        <v>0</v>
      </c>
      <c r="P598" s="6" t="inlineStr">
        <is>
          <t>no</t>
        </is>
      </c>
      <c r="Q598" s="6" t="n"/>
      <c r="R598" s="6" t="n"/>
      <c r="S598" s="6" t="n"/>
      <c r="T598" s="6" t="n"/>
      <c r="U598" s="6" t="n"/>
      <c r="V598" s="6" t="inlineStr">
        <is>
          <t>alcohol</t>
        </is>
      </c>
      <c r="W598" s="6" t="n">
        <v>1</v>
      </c>
      <c r="X598" s="6" t="n">
        <v>0.7</v>
      </c>
      <c r="Y598" s="6" t="inlineStr">
        <is>
          <t>declared</t>
        </is>
      </c>
      <c r="Z598" s="8" t="n">
        <v>28385</v>
      </c>
      <c r="AA598" s="9">
        <f>IF(H598="yes",Z598*X598,0)</f>
        <v/>
      </c>
      <c r="AB598" s="9">
        <f>IF(H598="yes",AA598*N(L598)/100,0)</f>
        <v/>
      </c>
      <c r="AC598" s="9">
        <f>IF(H598="yes",AA598*N(N598)/100,0)</f>
        <v/>
      </c>
      <c r="AD598" s="9">
        <f>IF(H598="yes",AA598*N(O598)/100,0)</f>
        <v/>
      </c>
      <c r="AE598" s="10">
        <f>IF(P598="yes",AA598/1000,0)</f>
        <v/>
      </c>
      <c r="AF598" s="10">
        <f>IF(R598="FG2",AE598*W598,AE598)</f>
        <v/>
      </c>
    </row>
    <row r="599">
      <c r="A599" s="6" t="inlineStr">
        <is>
          <t>HM00597</t>
        </is>
      </c>
      <c r="B599" s="7" t="inlineStr">
        <is>
          <t>5012345027340</t>
        </is>
      </c>
      <c r="C599" s="6" t="inlineStr">
        <is>
          <t>NUVELLE APPLE JUICE 1.75L</t>
        </is>
      </c>
      <c r="D599" s="6" t="inlineStr">
        <is>
          <t>Pressed apple juice, 1.75l</t>
        </is>
      </c>
      <c r="E599" s="6" t="inlineStr">
        <is>
          <t>Nuvelle</t>
        </is>
      </c>
      <c r="F599" s="6" t="inlineStr">
        <is>
          <t>Soft Drinks &amp; Water</t>
        </is>
      </c>
      <c r="G599" s="6" t="inlineStr">
        <is>
          <t>Juice</t>
        </is>
      </c>
      <c r="H599" s="6" t="inlineStr">
        <is>
          <t>yes</t>
        </is>
      </c>
      <c r="I599" s="6" t="inlineStr">
        <is>
          <t>Plant-based non-core</t>
        </is>
      </c>
      <c r="J599" s="6" t="inlineStr">
        <is>
          <t>B</t>
        </is>
      </c>
      <c r="K599" s="6" t="inlineStr">
        <is>
          <t>Follows the class</t>
        </is>
      </c>
      <c r="L599" s="6" t="n">
        <v>0.09</v>
      </c>
      <c r="M599" s="6" t="inlineStr">
        <is>
          <t>Declared by the retailer</t>
        </is>
      </c>
      <c r="N599" s="6" t="n">
        <v>0.09</v>
      </c>
      <c r="O599" s="6" t="n">
        <v>0</v>
      </c>
      <c r="P599" s="6" t="inlineStr">
        <is>
          <t>no</t>
        </is>
      </c>
      <c r="Q599" s="6" t="n"/>
      <c r="R599" s="6" t="n"/>
      <c r="S599" s="6" t="n"/>
      <c r="T599" s="6" t="n"/>
      <c r="U599" s="6" t="n"/>
      <c r="V599" s="6" t="inlineStr">
        <is>
          <t>beverage</t>
        </is>
      </c>
      <c r="W599" s="6" t="n">
        <v>1</v>
      </c>
      <c r="X599" s="6" t="n">
        <v>1.82</v>
      </c>
      <c r="Y599" s="6" t="inlineStr">
        <is>
          <t>declared</t>
        </is>
      </c>
      <c r="Z599" s="8" t="n">
        <v>15628</v>
      </c>
      <c r="AA599" s="9">
        <f>IF(H599="yes",Z599*X599,0)</f>
        <v/>
      </c>
      <c r="AB599" s="9">
        <f>IF(H599="yes",AA599*N(L599)/100,0)</f>
        <v/>
      </c>
      <c r="AC599" s="9">
        <f>IF(H599="yes",AA599*N(N599)/100,0)</f>
        <v/>
      </c>
      <c r="AD599" s="9">
        <f>IF(H599="yes",AA599*N(O599)/100,0)</f>
        <v/>
      </c>
      <c r="AE599" s="10">
        <f>IF(P599="yes",AA599/1000,0)</f>
        <v/>
      </c>
      <c r="AF599" s="10">
        <f>IF(R599="FG2",AE599*W599,AE599)</f>
        <v/>
      </c>
    </row>
    <row r="600">
      <c r="A600" s="6" t="inlineStr">
        <is>
          <t>HM00598</t>
        </is>
      </c>
      <c r="B600" s="7" t="inlineStr">
        <is>
          <t>8712345281137</t>
        </is>
      </c>
      <c r="C600" s="6" t="inlineStr">
        <is>
          <t>HM WHITE POTATOES 2.5KG</t>
        </is>
      </c>
      <c r="D600" s="6" t="inlineStr">
        <is>
          <t>White potatoes, 2.5kg</t>
        </is>
      </c>
      <c r="E600" s="6" t="inlineStr">
        <is>
          <t>Harbour Market</t>
        </is>
      </c>
      <c r="F600" s="6" t="inlineStr">
        <is>
          <t>Fruit &amp; Vegetables</t>
        </is>
      </c>
      <c r="G600" s="6" t="inlineStr">
        <is>
          <t>Potatoes</t>
        </is>
      </c>
      <c r="H600" s="6" t="inlineStr">
        <is>
          <t>yes</t>
        </is>
      </c>
      <c r="I600" s="6" t="inlineStr">
        <is>
          <t>Plant-based non-core</t>
        </is>
      </c>
      <c r="J600" s="6" t="inlineStr">
        <is>
          <t>B</t>
        </is>
      </c>
      <c r="K600" s="6" t="inlineStr">
        <is>
          <t>Follows the class</t>
        </is>
      </c>
      <c r="L600" s="6" t="n">
        <v>2</v>
      </c>
      <c r="M600" s="6" t="inlineStr">
        <is>
          <t>Altera reference base</t>
        </is>
      </c>
      <c r="N600" s="6" t="n">
        <v>2</v>
      </c>
      <c r="O600" s="6" t="n">
        <v>0</v>
      </c>
      <c r="P600" s="6" t="inlineStr">
        <is>
          <t>yes</t>
        </is>
      </c>
      <c r="Q600" s="6" t="inlineStr">
        <is>
          <t>whole</t>
        </is>
      </c>
      <c r="R600" s="6" t="inlineStr">
        <is>
          <t>FG6</t>
        </is>
      </c>
      <c r="S600" s="6" t="n"/>
      <c r="T600" s="6" t="inlineStr">
        <is>
          <t>plant</t>
        </is>
      </c>
      <c r="U600" s="6" t="n"/>
      <c r="V600" s="6" t="n"/>
      <c r="W600" s="6" t="n">
        <v>1</v>
      </c>
      <c r="X600" s="6" t="n">
        <v>2.5</v>
      </c>
      <c r="Y600" s="6" t="inlineStr">
        <is>
          <t>declared</t>
        </is>
      </c>
      <c r="Z600" s="8" t="n">
        <v>45692</v>
      </c>
      <c r="AA600" s="9">
        <f>IF(H600="yes",Z600*X600,0)</f>
        <v/>
      </c>
      <c r="AB600" s="9">
        <f>IF(H600="yes",AA600*N(L600)/100,0)</f>
        <v/>
      </c>
      <c r="AC600" s="9">
        <f>IF(H600="yes",AA600*N(N600)/100,0)</f>
        <v/>
      </c>
      <c r="AD600" s="9">
        <f>IF(H600="yes",AA600*N(O600)/100,0)</f>
        <v/>
      </c>
      <c r="AE600" s="10">
        <f>IF(P600="yes",AA600/1000,0)</f>
        <v/>
      </c>
      <c r="AF600" s="10">
        <f>IF(R600="FG2",AE600*W600,AE600)</f>
        <v/>
      </c>
    </row>
    <row r="601">
      <c r="A601" s="6" t="inlineStr">
        <is>
          <t>HM00599</t>
        </is>
      </c>
      <c r="B601" s="7" t="inlineStr">
        <is>
          <t>4012345579536</t>
        </is>
      </c>
      <c r="C601" s="6" t="inlineStr">
        <is>
          <t>HM SWEETCORN 1KG</t>
        </is>
      </c>
      <c r="D601" s="6" t="inlineStr">
        <is>
          <t>Sweetcorn, 1kg</t>
        </is>
      </c>
      <c r="E601" s="6" t="inlineStr">
        <is>
          <t>Harbour Market</t>
        </is>
      </c>
      <c r="F601" s="6" t="inlineStr">
        <is>
          <t>Frozen</t>
        </is>
      </c>
      <c r="G601" s="6" t="inlineStr">
        <is>
          <t>Frozen Vegetables</t>
        </is>
      </c>
      <c r="H601" s="6" t="inlineStr">
        <is>
          <t>yes</t>
        </is>
      </c>
      <c r="I601" s="6" t="inlineStr">
        <is>
          <t>Plant-based non-core</t>
        </is>
      </c>
      <c r="J601" s="6" t="inlineStr">
        <is>
          <t>A</t>
        </is>
      </c>
      <c r="K601" s="6" t="inlineStr">
        <is>
          <t>All ingredients on one side</t>
        </is>
      </c>
      <c r="L601" s="6" t="n">
        <v>3.1</v>
      </c>
      <c r="M601" s="6" t="inlineStr">
        <is>
          <t>Open Food Facts, by EAN</t>
        </is>
      </c>
      <c r="N601" s="6" t="n">
        <v>3.1</v>
      </c>
      <c r="O601" s="6" t="n">
        <v>0</v>
      </c>
      <c r="P601" s="6" t="inlineStr">
        <is>
          <t>yes</t>
        </is>
      </c>
      <c r="Q601" s="6" t="inlineStr">
        <is>
          <t>whole</t>
        </is>
      </c>
      <c r="R601" s="6" t="inlineStr">
        <is>
          <t>FG4</t>
        </is>
      </c>
      <c r="S601" s="6" t="n"/>
      <c r="T601" s="6" t="inlineStr">
        <is>
          <t>plant</t>
        </is>
      </c>
      <c r="U601" s="6" t="n"/>
      <c r="V601" s="6" t="n"/>
      <c r="W601" s="6" t="n">
        <v>1</v>
      </c>
      <c r="X601" s="6" t="n">
        <v>1</v>
      </c>
      <c r="Y601" s="6" t="inlineStr">
        <is>
          <t>declared</t>
        </is>
      </c>
      <c r="Z601" s="8" t="n">
        <v>13862</v>
      </c>
      <c r="AA601" s="9">
        <f>IF(H601="yes",Z601*X601,0)</f>
        <v/>
      </c>
      <c r="AB601" s="9">
        <f>IF(H601="yes",AA601*N(L601)/100,0)</f>
        <v/>
      </c>
      <c r="AC601" s="9">
        <f>IF(H601="yes",AA601*N(N601)/100,0)</f>
        <v/>
      </c>
      <c r="AD601" s="9">
        <f>IF(H601="yes",AA601*N(O601)/100,0)</f>
        <v/>
      </c>
      <c r="AE601" s="10">
        <f>IF(P601="yes",AA601/1000,0)</f>
        <v/>
      </c>
      <c r="AF601" s="10">
        <f>IF(R601="FG2",AE601*W601,AE601)</f>
        <v/>
      </c>
    </row>
    <row r="602">
      <c r="A602" s="6" t="inlineStr">
        <is>
          <t>HM00600</t>
        </is>
      </c>
      <c r="B602" s="7" t="inlineStr">
        <is>
          <t>3012345378055</t>
        </is>
      </c>
      <c r="C602" s="6" t="inlineStr">
        <is>
          <t>HM OVEN CHIPS 900G</t>
        </is>
      </c>
      <c r="D602" s="6" t="inlineStr">
        <is>
          <t>Oven chips, 900g</t>
        </is>
      </c>
      <c r="E602" s="6" t="inlineStr">
        <is>
          <t>Harbour Market</t>
        </is>
      </c>
      <c r="F602" s="6" t="inlineStr">
        <is>
          <t>Frozen</t>
        </is>
      </c>
      <c r="G602" s="6" t="inlineStr">
        <is>
          <t>Frozen Potatoes</t>
        </is>
      </c>
      <c r="H602" s="6" t="inlineStr">
        <is>
          <t>yes</t>
        </is>
      </c>
      <c r="I602" s="6" t="inlineStr">
        <is>
          <t>Plant-based non-core</t>
        </is>
      </c>
      <c r="J602" s="6" t="inlineStr">
        <is>
          <t>A</t>
        </is>
      </c>
      <c r="K602" s="6" t="inlineStr">
        <is>
          <t>All ingredients on one side</t>
        </is>
      </c>
      <c r="L602" s="6" t="n">
        <v>2.6</v>
      </c>
      <c r="M602" s="6" t="inlineStr">
        <is>
          <t>Declared by the retailer</t>
        </is>
      </c>
      <c r="N602" s="6" t="n">
        <v>2.6</v>
      </c>
      <c r="O602" s="6" t="n">
        <v>0</v>
      </c>
      <c r="P602" s="6" t="inlineStr">
        <is>
          <t>yes</t>
        </is>
      </c>
      <c r="Q602" s="6" t="inlineStr">
        <is>
          <t>whole</t>
        </is>
      </c>
      <c r="R602" s="6" t="inlineStr">
        <is>
          <t>FG7</t>
        </is>
      </c>
      <c r="S602" s="6" t="n"/>
      <c r="T602" s="6" t="inlineStr">
        <is>
          <t>plant</t>
        </is>
      </c>
      <c r="U602" s="6" t="n"/>
      <c r="V602" s="6" t="n"/>
      <c r="W602" s="6" t="n">
        <v>1</v>
      </c>
      <c r="X602" s="6" t="n">
        <v>0.9</v>
      </c>
      <c r="Y602" s="6" t="inlineStr">
        <is>
          <t>label</t>
        </is>
      </c>
      <c r="Z602" s="8" t="n">
        <v>51940</v>
      </c>
      <c r="AA602" s="9">
        <f>IF(H602="yes",Z602*X602,0)</f>
        <v/>
      </c>
      <c r="AB602" s="9">
        <f>IF(H602="yes",AA602*N(L602)/100,0)</f>
        <v/>
      </c>
      <c r="AC602" s="9">
        <f>IF(H602="yes",AA602*N(N602)/100,0)</f>
        <v/>
      </c>
      <c r="AD602" s="9">
        <f>IF(H602="yes",AA602*N(O602)/100,0)</f>
        <v/>
      </c>
      <c r="AE602" s="10">
        <f>IF(P602="yes",AA602/1000,0)</f>
        <v/>
      </c>
      <c r="AF602" s="10">
        <f>IF(R602="FG2",AE602*W602,AE602)</f>
        <v/>
      </c>
    </row>
    <row r="603">
      <c r="A603" s="6" t="inlineStr">
        <is>
          <t>HM00601</t>
        </is>
      </c>
      <c r="B603" s="7" t="inlineStr">
        <is>
          <t>8712345210083</t>
        </is>
      </c>
      <c r="C603" s="6" t="inlineStr">
        <is>
          <t>ORANGE JUICE SMOOTH 1.75L NUVELLE</t>
        </is>
      </c>
      <c r="D603" s="6" t="inlineStr">
        <is>
          <t>Smooth orange juice, 1.75l</t>
        </is>
      </c>
      <c r="E603" s="6" t="inlineStr">
        <is>
          <t>Nuvelle</t>
        </is>
      </c>
      <c r="F603" s="6" t="inlineStr">
        <is>
          <t>Soft Drinks &amp; Water</t>
        </is>
      </c>
      <c r="G603" s="6" t="inlineStr">
        <is>
          <t>Juice</t>
        </is>
      </c>
      <c r="H603" s="6" t="inlineStr">
        <is>
          <t>yes</t>
        </is>
      </c>
      <c r="I603" s="6" t="inlineStr">
        <is>
          <t>Plant-based non-core</t>
        </is>
      </c>
      <c r="J603" s="6" t="inlineStr">
        <is>
          <t>B</t>
        </is>
      </c>
      <c r="K603" s="6" t="inlineStr">
        <is>
          <t>Follows the class</t>
        </is>
      </c>
      <c r="L603" s="6" t="n">
        <v>0.74</v>
      </c>
      <c r="M603" s="6" t="inlineStr">
        <is>
          <t>Declared by the retailer</t>
        </is>
      </c>
      <c r="N603" s="6" t="n">
        <v>0.74</v>
      </c>
      <c r="O603" s="6" t="n">
        <v>0</v>
      </c>
      <c r="P603" s="6" t="inlineStr">
        <is>
          <t>no</t>
        </is>
      </c>
      <c r="Q603" s="6" t="n"/>
      <c r="R603" s="6" t="n"/>
      <c r="S603" s="6" t="n"/>
      <c r="T603" s="6" t="n"/>
      <c r="U603" s="6" t="n"/>
      <c r="V603" s="6" t="inlineStr">
        <is>
          <t>beverage</t>
        </is>
      </c>
      <c r="W603" s="6" t="n">
        <v>1</v>
      </c>
      <c r="X603" s="6" t="n">
        <v>1.82</v>
      </c>
      <c r="Y603" s="6" t="inlineStr">
        <is>
          <t>declared</t>
        </is>
      </c>
      <c r="Z603" s="8" t="n">
        <v>25400</v>
      </c>
      <c r="AA603" s="9">
        <f>IF(H603="yes",Z603*X603,0)</f>
        <v/>
      </c>
      <c r="AB603" s="9">
        <f>IF(H603="yes",AA603*N(L603)/100,0)</f>
        <v/>
      </c>
      <c r="AC603" s="9">
        <f>IF(H603="yes",AA603*N(N603)/100,0)</f>
        <v/>
      </c>
      <c r="AD603" s="9">
        <f>IF(H603="yes",AA603*N(O603)/100,0)</f>
        <v/>
      </c>
      <c r="AE603" s="10">
        <f>IF(P603="yes",AA603/1000,0)</f>
        <v/>
      </c>
      <c r="AF603" s="10">
        <f>IF(R603="FG2",AE603*W603,AE603)</f>
        <v/>
      </c>
    </row>
    <row r="604">
      <c r="A604" s="6" t="inlineStr">
        <is>
          <t>HM00602</t>
        </is>
      </c>
      <c r="B604" s="7" t="inlineStr">
        <is>
          <t>4012345346947</t>
        </is>
      </c>
      <c r="C604" s="6" t="inlineStr">
        <is>
          <t>HM SWEETCORN 750G</t>
        </is>
      </c>
      <c r="D604" s="6" t="inlineStr">
        <is>
          <t>Sweetcorn, 750g</t>
        </is>
      </c>
      <c r="E604" s="6" t="inlineStr">
        <is>
          <t>Harbour Market</t>
        </is>
      </c>
      <c r="F604" s="6" t="inlineStr">
        <is>
          <t>Frozen</t>
        </is>
      </c>
      <c r="G604" s="6" t="inlineStr">
        <is>
          <t>Frozen Vegetables</t>
        </is>
      </c>
      <c r="H604" s="6" t="inlineStr">
        <is>
          <t>yes</t>
        </is>
      </c>
      <c r="I604" s="6" t="inlineStr">
        <is>
          <t>Plant-based non-core</t>
        </is>
      </c>
      <c r="J604" s="6" t="inlineStr">
        <is>
          <t>A</t>
        </is>
      </c>
      <c r="K604" s="6" t="inlineStr">
        <is>
          <t>All ingredients on one side</t>
        </is>
      </c>
      <c r="L604" s="6" t="n">
        <v>2.9</v>
      </c>
      <c r="M604" s="6" t="inlineStr">
        <is>
          <t>Declared by the retailer</t>
        </is>
      </c>
      <c r="N604" s="6" t="n">
        <v>2.9</v>
      </c>
      <c r="O604" s="6" t="n">
        <v>0</v>
      </c>
      <c r="P604" s="6" t="inlineStr">
        <is>
          <t>yes</t>
        </is>
      </c>
      <c r="Q604" s="6" t="inlineStr">
        <is>
          <t>whole</t>
        </is>
      </c>
      <c r="R604" s="6" t="inlineStr">
        <is>
          <t>FG4</t>
        </is>
      </c>
      <c r="S604" s="6" t="n"/>
      <c r="T604" s="6" t="inlineStr">
        <is>
          <t>plant</t>
        </is>
      </c>
      <c r="U604" s="6" t="n"/>
      <c r="V604" s="6" t="n"/>
      <c r="W604" s="6" t="n">
        <v>1</v>
      </c>
      <c r="X604" s="6" t="n">
        <v>0.75</v>
      </c>
      <c r="Y604" s="6" t="inlineStr">
        <is>
          <t>declared</t>
        </is>
      </c>
      <c r="Z604" s="8" t="n">
        <v>30662</v>
      </c>
      <c r="AA604" s="9">
        <f>IF(H604="yes",Z604*X604,0)</f>
        <v/>
      </c>
      <c r="AB604" s="9">
        <f>IF(H604="yes",AA604*N(L604)/100,0)</f>
        <v/>
      </c>
      <c r="AC604" s="9">
        <f>IF(H604="yes",AA604*N(N604)/100,0)</f>
        <v/>
      </c>
      <c r="AD604" s="9">
        <f>IF(H604="yes",AA604*N(O604)/100,0)</f>
        <v/>
      </c>
      <c r="AE604" s="10">
        <f>IF(P604="yes",AA604/1000,0)</f>
        <v/>
      </c>
      <c r="AF604" s="10">
        <f>IF(R604="FG2",AE604*W604,AE604)</f>
        <v/>
      </c>
    </row>
    <row r="605">
      <c r="A605" s="6" t="inlineStr">
        <is>
          <t>HM00603</t>
        </is>
      </c>
      <c r="B605" s="7" t="inlineStr">
        <is>
          <t>3012345750974</t>
        </is>
      </c>
      <c r="C605" s="6" t="inlineStr">
        <is>
          <t>WHITE WINE SAUV BLANC 1.5L CASTELNA</t>
        </is>
      </c>
      <c r="D605" s="6" t="inlineStr">
        <is>
          <t>Sauvignon blanc white wine, 1.5l</t>
        </is>
      </c>
      <c r="E605" s="6" t="inlineStr">
        <is>
          <t>Castelna</t>
        </is>
      </c>
      <c r="F605" s="6" t="inlineStr">
        <is>
          <t>Beer, Wine &amp; Spirits</t>
        </is>
      </c>
      <c r="G605" s="6" t="inlineStr">
        <is>
          <t>Wine</t>
        </is>
      </c>
      <c r="H605" s="6" t="inlineStr">
        <is>
          <t>yes</t>
        </is>
      </c>
      <c r="I605" s="6" t="inlineStr">
        <is>
          <t>Plant-based non-core</t>
        </is>
      </c>
      <c r="J605" s="6" t="inlineStr">
        <is>
          <t>A</t>
        </is>
      </c>
      <c r="K605" s="6" t="inlineStr">
        <is>
          <t>All ingredients on one side</t>
        </is>
      </c>
      <c r="L605" s="6" t="n">
        <v>0.1</v>
      </c>
      <c r="M605" s="6" t="inlineStr">
        <is>
          <t>Declared by the retailer</t>
        </is>
      </c>
      <c r="N605" s="6" t="n">
        <v>0.1</v>
      </c>
      <c r="O605" s="6" t="n">
        <v>0</v>
      </c>
      <c r="P605" s="6" t="inlineStr">
        <is>
          <t>no</t>
        </is>
      </c>
      <c r="Q605" s="6" t="n"/>
      <c r="R605" s="6" t="n"/>
      <c r="S605" s="6" t="n"/>
      <c r="T605" s="6" t="n"/>
      <c r="U605" s="6" t="n"/>
      <c r="V605" s="6" t="inlineStr">
        <is>
          <t>alcohol</t>
        </is>
      </c>
      <c r="W605" s="6" t="n">
        <v>1</v>
      </c>
      <c r="X605" s="6" t="n">
        <v>1.5</v>
      </c>
      <c r="Y605" s="6" t="inlineStr">
        <is>
          <t>declared</t>
        </is>
      </c>
      <c r="Z605" s="8" t="n">
        <v>18608</v>
      </c>
      <c r="AA605" s="9">
        <f>IF(H605="yes",Z605*X605,0)</f>
        <v/>
      </c>
      <c r="AB605" s="9">
        <f>IF(H605="yes",AA605*N(L605)/100,0)</f>
        <v/>
      </c>
      <c r="AC605" s="9">
        <f>IF(H605="yes",AA605*N(N605)/100,0)</f>
        <v/>
      </c>
      <c r="AD605" s="9">
        <f>IF(H605="yes",AA605*N(O605)/100,0)</f>
        <v/>
      </c>
      <c r="AE605" s="10">
        <f>IF(P605="yes",AA605/1000,0)</f>
        <v/>
      </c>
      <c r="AF605" s="10">
        <f>IF(R605="FG2",AE605*W605,AE605)</f>
        <v/>
      </c>
    </row>
    <row r="606">
      <c r="A606" s="6" t="inlineStr">
        <is>
          <t>HM00604</t>
        </is>
      </c>
      <c r="B606" s="7" t="inlineStr">
        <is>
          <t>5012345348537</t>
        </is>
      </c>
      <c r="C606" s="6" t="inlineStr">
        <is>
          <t>FJELDA PROTEIN SHAKE CHOC 4X330ML</t>
        </is>
      </c>
      <c r="D606" s="6" t="inlineStr">
        <is>
          <t>Chocolate protein shake, 4x330ml</t>
        </is>
      </c>
      <c r="E606" s="6" t="inlineStr">
        <is>
          <t>Fjelda</t>
        </is>
      </c>
      <c r="F606" s="6" t="inlineStr">
        <is>
          <t>Soft Drinks &amp; Water</t>
        </is>
      </c>
      <c r="G606" s="6" t="inlineStr">
        <is>
          <t>Sports Nutrition</t>
        </is>
      </c>
      <c r="H606" s="6" t="inlineStr">
        <is>
          <t>yes</t>
        </is>
      </c>
      <c r="I606" s="6" t="inlineStr">
        <is>
          <t>Animal core</t>
        </is>
      </c>
      <c r="J606" s="6" t="inlineStr">
        <is>
          <t>B</t>
        </is>
      </c>
      <c r="K606" s="6" t="inlineStr">
        <is>
          <t>First ingredient (step 4a)</t>
        </is>
      </c>
      <c r="L606" s="6" t="n">
        <v>7.8</v>
      </c>
      <c r="M606" s="6" t="inlineStr">
        <is>
          <t>Declared by the retailer</t>
        </is>
      </c>
      <c r="N606" s="6" t="n">
        <v>0</v>
      </c>
      <c r="O606" s="6" t="n">
        <v>7.8</v>
      </c>
      <c r="P606" s="6" t="inlineStr">
        <is>
          <t>yes</t>
        </is>
      </c>
      <c r="Q606" s="6" t="inlineStr">
        <is>
          <t>whole</t>
        </is>
      </c>
      <c r="R606" s="6" t="inlineStr">
        <is>
          <t>FG2</t>
        </is>
      </c>
      <c r="S606" s="6" t="inlineStr">
        <is>
          <t>dairy</t>
        </is>
      </c>
      <c r="T606" s="6" t="inlineStr">
        <is>
          <t>animal</t>
        </is>
      </c>
      <c r="U606" s="6" t="n"/>
      <c r="V606" s="6" t="n"/>
      <c r="W606" s="6" t="n">
        <v>1</v>
      </c>
      <c r="X606" s="6" t="n">
        <v>1.36</v>
      </c>
      <c r="Y606" s="6" t="inlineStr">
        <is>
          <t>declared</t>
        </is>
      </c>
      <c r="Z606" s="8" t="n">
        <v>3272</v>
      </c>
      <c r="AA606" s="9">
        <f>IF(H606="yes",Z606*X606,0)</f>
        <v/>
      </c>
      <c r="AB606" s="9">
        <f>IF(H606="yes",AA606*N(L606)/100,0)</f>
        <v/>
      </c>
      <c r="AC606" s="9">
        <f>IF(H606="yes",AA606*N(N606)/100,0)</f>
        <v/>
      </c>
      <c r="AD606" s="9">
        <f>IF(H606="yes",AA606*N(O606)/100,0)</f>
        <v/>
      </c>
      <c r="AE606" s="10">
        <f>IF(P606="yes",AA606/1000,0)</f>
        <v/>
      </c>
      <c r="AF606" s="10">
        <f>IF(R606="FG2",AE606*W606,AE606)</f>
        <v/>
      </c>
    </row>
    <row r="607">
      <c r="A607" s="6" t="inlineStr">
        <is>
          <t>HM00605</t>
        </is>
      </c>
      <c r="B607" s="7" t="inlineStr">
        <is>
          <t>2614945632240</t>
        </is>
      </c>
      <c r="C607" s="6" t="inlineStr">
        <is>
          <t>HM BLUEBERRIES KG</t>
        </is>
      </c>
      <c r="D607" s="6" t="inlineStr">
        <is>
          <t>Blueberries</t>
        </is>
      </c>
      <c r="E607" s="6" t="inlineStr">
        <is>
          <t>Harbour Market</t>
        </is>
      </c>
      <c r="F607" s="6" t="inlineStr">
        <is>
          <t>Fruit &amp; Vegetables</t>
        </is>
      </c>
      <c r="G607" s="6" t="inlineStr">
        <is>
          <t>Fruit</t>
        </is>
      </c>
      <c r="H607" s="6" t="inlineStr">
        <is>
          <t>yes</t>
        </is>
      </c>
      <c r="I607" s="6" t="inlineStr">
        <is>
          <t>Plant-based non-core</t>
        </is>
      </c>
      <c r="J607" s="6" t="inlineStr">
        <is>
          <t>B</t>
        </is>
      </c>
      <c r="K607" s="6" t="inlineStr">
        <is>
          <t>Follows the class</t>
        </is>
      </c>
      <c r="L607" s="6" t="n">
        <v>0.71</v>
      </c>
      <c r="M607" s="6" t="inlineStr">
        <is>
          <t>Declared by the retailer</t>
        </is>
      </c>
      <c r="N607" s="6" t="n">
        <v>0.71</v>
      </c>
      <c r="O607" s="6" t="n">
        <v>0</v>
      </c>
      <c r="P607" s="6" t="inlineStr">
        <is>
          <t>yes</t>
        </is>
      </c>
      <c r="Q607" s="6" t="inlineStr">
        <is>
          <t>whole</t>
        </is>
      </c>
      <c r="R607" s="6" t="inlineStr">
        <is>
          <t>FG4</t>
        </is>
      </c>
      <c r="S607" s="6" t="n"/>
      <c r="T607" s="6" t="inlineStr">
        <is>
          <t>plant</t>
        </is>
      </c>
      <c r="U607" s="6" t="n"/>
      <c r="V607" s="6" t="n"/>
      <c r="W607" s="6" t="n">
        <v>1</v>
      </c>
      <c r="X607" s="6" t="n">
        <v>1</v>
      </c>
      <c r="Y607" s="6" t="inlineStr">
        <is>
          <t>variable</t>
        </is>
      </c>
      <c r="Z607" s="8" t="n">
        <v>20954</v>
      </c>
      <c r="AA607" s="9">
        <f>IF(H607="yes",Z607*X607,0)</f>
        <v/>
      </c>
      <c r="AB607" s="9">
        <f>IF(H607="yes",AA607*N(L607)/100,0)</f>
        <v/>
      </c>
      <c r="AC607" s="9">
        <f>IF(H607="yes",AA607*N(N607)/100,0)</f>
        <v/>
      </c>
      <c r="AD607" s="9">
        <f>IF(H607="yes",AA607*N(O607)/100,0)</f>
        <v/>
      </c>
      <c r="AE607" s="10">
        <f>IF(P607="yes",AA607/1000,0)</f>
        <v/>
      </c>
      <c r="AF607" s="10">
        <f>IF(R607="FG2",AE607*W607,AE607)</f>
        <v/>
      </c>
    </row>
    <row r="608">
      <c r="A608" s="6" t="inlineStr">
        <is>
          <t>HM00606</t>
        </is>
      </c>
      <c r="B608" s="7" t="inlineStr">
        <is>
          <t>4012345350432</t>
        </is>
      </c>
      <c r="C608" s="6" t="inlineStr">
        <is>
          <t>HM CORN FLAKES 1KG</t>
        </is>
      </c>
      <c r="D608" s="6" t="inlineStr">
        <is>
          <t>Corn flakes, 1kg</t>
        </is>
      </c>
      <c r="E608" s="6" t="inlineStr">
        <is>
          <t>Harbour Market</t>
        </is>
      </c>
      <c r="F608" s="6" t="inlineStr">
        <is>
          <t>Breakfast &amp; Snacks</t>
        </is>
      </c>
      <c r="G608" s="6" t="inlineStr">
        <is>
          <t>Cereals</t>
        </is>
      </c>
      <c r="H608" s="6" t="inlineStr">
        <is>
          <t>yes</t>
        </is>
      </c>
      <c r="I608" s="6" t="inlineStr">
        <is>
          <t>Plant-based non-core</t>
        </is>
      </c>
      <c r="J608" s="6" t="inlineStr">
        <is>
          <t>A</t>
        </is>
      </c>
      <c r="K608" s="6" t="inlineStr">
        <is>
          <t>All ingredients on one side</t>
        </is>
      </c>
      <c r="L608" s="6" t="n">
        <v>6.9</v>
      </c>
      <c r="M608" s="6" t="inlineStr">
        <is>
          <t>Median of the family</t>
        </is>
      </c>
      <c r="N608" s="6" t="n">
        <v>6.9</v>
      </c>
      <c r="O608" s="6" t="n">
        <v>0</v>
      </c>
      <c r="P608" s="6" t="inlineStr">
        <is>
          <t>yes</t>
        </is>
      </c>
      <c r="Q608" s="6" t="inlineStr">
        <is>
          <t>whole</t>
        </is>
      </c>
      <c r="R608" s="6" t="inlineStr">
        <is>
          <t>FG5</t>
        </is>
      </c>
      <c r="S608" s="6" t="inlineStr">
        <is>
          <t>refined grain</t>
        </is>
      </c>
      <c r="T608" s="6" t="inlineStr">
        <is>
          <t>plant</t>
        </is>
      </c>
      <c r="U608" s="6" t="n"/>
      <c r="V608" s="6" t="n"/>
      <c r="W608" s="6" t="n">
        <v>1</v>
      </c>
      <c r="X608" s="6" t="n">
        <v>1</v>
      </c>
      <c r="Y608" s="6" t="inlineStr">
        <is>
          <t>declared</t>
        </is>
      </c>
      <c r="Z608" s="8" t="n">
        <v>33619</v>
      </c>
      <c r="AA608" s="9">
        <f>IF(H608="yes",Z608*X608,0)</f>
        <v/>
      </c>
      <c r="AB608" s="9">
        <f>IF(H608="yes",AA608*N(L608)/100,0)</f>
        <v/>
      </c>
      <c r="AC608" s="9">
        <f>IF(H608="yes",AA608*N(N608)/100,0)</f>
        <v/>
      </c>
      <c r="AD608" s="9">
        <f>IF(H608="yes",AA608*N(O608)/100,0)</f>
        <v/>
      </c>
      <c r="AE608" s="10">
        <f>IF(P608="yes",AA608/1000,0)</f>
        <v/>
      </c>
      <c r="AF608" s="10">
        <f>IF(R608="FG2",AE608*W608,AE608)</f>
        <v/>
      </c>
    </row>
    <row r="609">
      <c r="A609" s="6" t="inlineStr">
        <is>
          <t>HM00607</t>
        </is>
      </c>
      <c r="B609" s="7" t="inlineStr">
        <is>
          <t>8712345174989</t>
        </is>
      </c>
      <c r="C609" s="6" t="inlineStr">
        <is>
          <t>HM RASPBERRIES 250G</t>
        </is>
      </c>
      <c r="D609" s="6" t="inlineStr">
        <is>
          <t>Raspberries, 250g</t>
        </is>
      </c>
      <c r="E609" s="6" t="inlineStr">
        <is>
          <t>Harbour Market</t>
        </is>
      </c>
      <c r="F609" s="6" t="inlineStr">
        <is>
          <t>Fruit &amp; Vegetables</t>
        </is>
      </c>
      <c r="G609" s="6" t="inlineStr">
        <is>
          <t>Fruit</t>
        </is>
      </c>
      <c r="H609" s="6" t="inlineStr">
        <is>
          <t>yes</t>
        </is>
      </c>
      <c r="I609" s="6" t="inlineStr">
        <is>
          <t>Plant-based non-core</t>
        </is>
      </c>
      <c r="J609" s="6" t="inlineStr">
        <is>
          <t>B</t>
        </is>
      </c>
      <c r="K609" s="6" t="inlineStr">
        <is>
          <t>Follows the class</t>
        </is>
      </c>
      <c r="L609" s="6" t="n">
        <v>1.1</v>
      </c>
      <c r="M609" s="6" t="inlineStr">
        <is>
          <t>Declared by the retailer</t>
        </is>
      </c>
      <c r="N609" s="6" t="n">
        <v>1.1</v>
      </c>
      <c r="O609" s="6" t="n">
        <v>0</v>
      </c>
      <c r="P609" s="6" t="inlineStr">
        <is>
          <t>yes</t>
        </is>
      </c>
      <c r="Q609" s="6" t="inlineStr">
        <is>
          <t>whole</t>
        </is>
      </c>
      <c r="R609" s="6" t="inlineStr">
        <is>
          <t>FG4</t>
        </is>
      </c>
      <c r="S609" s="6" t="n"/>
      <c r="T609" s="6" t="inlineStr">
        <is>
          <t>plant</t>
        </is>
      </c>
      <c r="U609" s="6" t="n"/>
      <c r="V609" s="6" t="n"/>
      <c r="W609" s="6" t="n">
        <v>1</v>
      </c>
      <c r="X609" s="6" t="n">
        <v>0.25</v>
      </c>
      <c r="Y609" s="6" t="inlineStr">
        <is>
          <t>declared</t>
        </is>
      </c>
      <c r="Z609" s="8" t="n">
        <v>703142</v>
      </c>
      <c r="AA609" s="9">
        <f>IF(H609="yes",Z609*X609,0)</f>
        <v/>
      </c>
      <c r="AB609" s="9">
        <f>IF(H609="yes",AA609*N(L609)/100,0)</f>
        <v/>
      </c>
      <c r="AC609" s="9">
        <f>IF(H609="yes",AA609*N(N609)/100,0)</f>
        <v/>
      </c>
      <c r="AD609" s="9">
        <f>IF(H609="yes",AA609*N(O609)/100,0)</f>
        <v/>
      </c>
      <c r="AE609" s="10">
        <f>IF(P609="yes",AA609/1000,0)</f>
        <v/>
      </c>
      <c r="AF609" s="10">
        <f>IF(R609="FG2",AE609*W609,AE609)</f>
        <v/>
      </c>
    </row>
    <row r="610">
      <c r="A610" s="6" t="inlineStr">
        <is>
          <t>HM00608</t>
        </is>
      </c>
      <c r="B610" s="7" t="inlineStr">
        <is>
          <t>3012345838603</t>
        </is>
      </c>
      <c r="C610" s="6" t="inlineStr">
        <is>
          <t>ORVALIS GREEN LENTILS 500G</t>
        </is>
      </c>
      <c r="D610" s="6" t="inlineStr">
        <is>
          <t>Green lentils, 500g</t>
        </is>
      </c>
      <c r="E610" s="6" t="inlineStr">
        <is>
          <t>Orvalis</t>
        </is>
      </c>
      <c r="F610" s="6" t="inlineStr">
        <is>
          <t>Grocery</t>
        </is>
      </c>
      <c r="G610" s="6" t="inlineStr">
        <is>
          <t>Pulses</t>
        </is>
      </c>
      <c r="H610" s="6" t="inlineStr">
        <is>
          <t>yes</t>
        </is>
      </c>
      <c r="I610" s="6" t="inlineStr">
        <is>
          <t>Plant-based core</t>
        </is>
      </c>
      <c r="J610" s="6" t="inlineStr">
        <is>
          <t>A</t>
        </is>
      </c>
      <c r="K610" s="6" t="inlineStr">
        <is>
          <t>All ingredients on one side</t>
        </is>
      </c>
      <c r="L610" s="6" t="n">
        <v>24.3</v>
      </c>
      <c r="M610" s="6" t="inlineStr">
        <is>
          <t>Declared by the retailer</t>
        </is>
      </c>
      <c r="N610" s="6" t="n">
        <v>24.3</v>
      </c>
      <c r="O610" s="6" t="n">
        <v>0</v>
      </c>
      <c r="P610" s="6" t="inlineStr">
        <is>
          <t>yes</t>
        </is>
      </c>
      <c r="Q610" s="6" t="inlineStr">
        <is>
          <t>whole</t>
        </is>
      </c>
      <c r="R610" s="6" t="inlineStr">
        <is>
          <t>FG1</t>
        </is>
      </c>
      <c r="S610" s="6" t="inlineStr">
        <is>
          <t>pulses</t>
        </is>
      </c>
      <c r="T610" s="6" t="inlineStr">
        <is>
          <t>plant</t>
        </is>
      </c>
      <c r="U610" s="6" t="n"/>
      <c r="V610" s="6" t="n"/>
      <c r="W610" s="6" t="n">
        <v>1</v>
      </c>
      <c r="X610" s="6" t="n">
        <v>0.5</v>
      </c>
      <c r="Y610" s="6" t="inlineStr">
        <is>
          <t>declared</t>
        </is>
      </c>
      <c r="Z610" s="8" t="n">
        <v>4788</v>
      </c>
      <c r="AA610" s="9">
        <f>IF(H610="yes",Z610*X610,0)</f>
        <v/>
      </c>
      <c r="AB610" s="9">
        <f>IF(H610="yes",AA610*N(L610)/100,0)</f>
        <v/>
      </c>
      <c r="AC610" s="9">
        <f>IF(H610="yes",AA610*N(N610)/100,0)</f>
        <v/>
      </c>
      <c r="AD610" s="9">
        <f>IF(H610="yes",AA610*N(O610)/100,0)</f>
        <v/>
      </c>
      <c r="AE610" s="10">
        <f>IF(P610="yes",AA610/1000,0)</f>
        <v/>
      </c>
      <c r="AF610" s="10">
        <f>IF(R610="FG2",AE610*W610,AE610)</f>
        <v/>
      </c>
    </row>
    <row r="611">
      <c r="A611" s="6" t="inlineStr">
        <is>
          <t>HM00609</t>
        </is>
      </c>
      <c r="B611" s="7" t="inlineStr">
        <is>
          <t>5012345288635</t>
        </is>
      </c>
      <c r="C611" s="6" t="inlineStr">
        <is>
          <t>HM RASPBERRIES 6PK</t>
        </is>
      </c>
      <c r="D611" s="6" t="inlineStr">
        <is>
          <t>Raspberries, 6pk</t>
        </is>
      </c>
      <c r="E611" s="6" t="inlineStr">
        <is>
          <t>Harbour Market</t>
        </is>
      </c>
      <c r="F611" s="6" t="inlineStr">
        <is>
          <t>Fruit &amp; Vegetables</t>
        </is>
      </c>
      <c r="G611" s="6" t="inlineStr">
        <is>
          <t>Fruit</t>
        </is>
      </c>
      <c r="H611" s="6" t="inlineStr">
        <is>
          <t>yes</t>
        </is>
      </c>
      <c r="I611" s="6" t="inlineStr">
        <is>
          <t>Plant-based non-core</t>
        </is>
      </c>
      <c r="J611" s="6" t="inlineStr">
        <is>
          <t>B</t>
        </is>
      </c>
      <c r="K611" s="6" t="inlineStr">
        <is>
          <t>Follows the class</t>
        </is>
      </c>
      <c r="L611" s="6" t="n">
        <v>1.1</v>
      </c>
      <c r="M611" s="6" t="inlineStr">
        <is>
          <t>Declared by the retailer</t>
        </is>
      </c>
      <c r="N611" s="6" t="n">
        <v>1.1</v>
      </c>
      <c r="O611" s="6" t="n">
        <v>0</v>
      </c>
      <c r="P611" s="6" t="inlineStr">
        <is>
          <t>yes</t>
        </is>
      </c>
      <c r="Q611" s="6" t="inlineStr">
        <is>
          <t>whole</t>
        </is>
      </c>
      <c r="R611" s="6" t="inlineStr">
        <is>
          <t>FG4</t>
        </is>
      </c>
      <c r="S611" s="6" t="n"/>
      <c r="T611" s="6" t="inlineStr">
        <is>
          <t>plant</t>
        </is>
      </c>
      <c r="U611" s="6" t="n"/>
      <c r="V611" s="6" t="n"/>
      <c r="W611" s="6" t="n">
        <v>1</v>
      </c>
      <c r="X611" s="6" t="n">
        <v>0.9</v>
      </c>
      <c r="Y611" s="6" t="inlineStr">
        <is>
          <t>declared</t>
        </is>
      </c>
      <c r="Z611" s="8" t="n">
        <v>36673</v>
      </c>
      <c r="AA611" s="9">
        <f>IF(H611="yes",Z611*X611,0)</f>
        <v/>
      </c>
      <c r="AB611" s="9">
        <f>IF(H611="yes",AA611*N(L611)/100,0)</f>
        <v/>
      </c>
      <c r="AC611" s="9">
        <f>IF(H611="yes",AA611*N(N611)/100,0)</f>
        <v/>
      </c>
      <c r="AD611" s="9">
        <f>IF(H611="yes",AA611*N(O611)/100,0)</f>
        <v/>
      </c>
      <c r="AE611" s="10">
        <f>IF(P611="yes",AA611/1000,0)</f>
        <v/>
      </c>
      <c r="AF611" s="10">
        <f>IF(R611="FG2",AE611*W611,AE611)</f>
        <v/>
      </c>
    </row>
    <row r="612">
      <c r="A612" s="6" t="inlineStr">
        <is>
          <t>HM00610</t>
        </is>
      </c>
      <c r="B612" s="7" t="inlineStr">
        <is>
          <t>8712345028473</t>
        </is>
      </c>
      <c r="C612" s="6" t="inlineStr">
        <is>
          <t>COOKED MUSSELS 150G KESTREL</t>
        </is>
      </c>
      <c r="D612" s="6" t="inlineStr">
        <is>
          <t>Cooked mussels, 150g</t>
        </is>
      </c>
      <c r="E612" s="6" t="inlineStr">
        <is>
          <t>Kestrel Bay</t>
        </is>
      </c>
      <c r="F612" s="6" t="inlineStr">
        <is>
          <t>Fish &amp; Seafood</t>
        </is>
      </c>
      <c r="G612" s="6" t="inlineStr">
        <is>
          <t>Shellfish</t>
        </is>
      </c>
      <c r="H612" s="6" t="inlineStr">
        <is>
          <t>yes</t>
        </is>
      </c>
      <c r="I612" s="6" t="inlineStr">
        <is>
          <t>Animal core</t>
        </is>
      </c>
      <c r="J612" s="6" t="inlineStr">
        <is>
          <t>B</t>
        </is>
      </c>
      <c r="K612" s="6" t="inlineStr">
        <is>
          <t>Follows the class</t>
        </is>
      </c>
      <c r="L612" s="6" t="n">
        <v>12.4</v>
      </c>
      <c r="M612" s="6" t="inlineStr">
        <is>
          <t>Altera reference base</t>
        </is>
      </c>
      <c r="N612" s="6" t="n">
        <v>0</v>
      </c>
      <c r="O612" s="6" t="n">
        <v>12.4</v>
      </c>
      <c r="P612" s="6" t="inlineStr">
        <is>
          <t>yes</t>
        </is>
      </c>
      <c r="Q612" s="6" t="inlineStr">
        <is>
          <t>whole</t>
        </is>
      </c>
      <c r="R612" s="6" t="inlineStr">
        <is>
          <t>FG1</t>
        </is>
      </c>
      <c r="S612" s="6" t="inlineStr">
        <is>
          <t>fish shellfish</t>
        </is>
      </c>
      <c r="T612" s="6" t="inlineStr">
        <is>
          <t>animal</t>
        </is>
      </c>
      <c r="U612" s="6" t="n"/>
      <c r="V612" s="6" t="n"/>
      <c r="W612" s="6" t="n">
        <v>1</v>
      </c>
      <c r="X612" s="6" t="n">
        <v>0.15</v>
      </c>
      <c r="Y612" s="6" t="inlineStr">
        <is>
          <t>declared</t>
        </is>
      </c>
      <c r="Z612" s="8" t="n">
        <v>20470</v>
      </c>
      <c r="AA612" s="9">
        <f>IF(H612="yes",Z612*X612,0)</f>
        <v/>
      </c>
      <c r="AB612" s="9">
        <f>IF(H612="yes",AA612*N(L612)/100,0)</f>
        <v/>
      </c>
      <c r="AC612" s="9">
        <f>IF(H612="yes",AA612*N(N612)/100,0)</f>
        <v/>
      </c>
      <c r="AD612" s="9">
        <f>IF(H612="yes",AA612*N(O612)/100,0)</f>
        <v/>
      </c>
      <c r="AE612" s="10">
        <f>IF(P612="yes",AA612/1000,0)</f>
        <v/>
      </c>
      <c r="AF612" s="10">
        <f>IF(R612="FG2",AE612*W612,AE612)</f>
        <v/>
      </c>
    </row>
    <row r="613">
      <c r="A613" s="6" t="inlineStr">
        <is>
          <t>HM00611</t>
        </is>
      </c>
      <c r="B613" s="7" t="inlineStr">
        <is>
          <t>5012345243009</t>
        </is>
      </c>
      <c r="C613" s="6" t="inlineStr">
        <is>
          <t>TARROW BBQ PORK RIBS MARIN 500G</t>
        </is>
      </c>
      <c r="D613" s="6" t="inlineStr">
        <is>
          <t>Marinated BBQ pork ribs, 500g</t>
        </is>
      </c>
      <c r="E613" s="6" t="inlineStr">
        <is>
          <t>Tarrow Farm</t>
        </is>
      </c>
      <c r="F613" s="6" t="inlineStr">
        <is>
          <t>Fresh Meat &amp; Poultry</t>
        </is>
      </c>
      <c r="G613" s="6" t="inlineStr">
        <is>
          <t>BBQ &amp; Marinated</t>
        </is>
      </c>
      <c r="H613" s="6" t="inlineStr">
        <is>
          <t>yes</t>
        </is>
      </c>
      <c r="I613" s="6" t="inlineStr">
        <is>
          <t>Animal core</t>
        </is>
      </c>
      <c r="J613" s="6" t="inlineStr">
        <is>
          <t>B</t>
        </is>
      </c>
      <c r="K613" s="6" t="inlineStr">
        <is>
          <t>First ingredient (step 4a)</t>
        </is>
      </c>
      <c r="L613" s="6" t="n">
        <v>16.5</v>
      </c>
      <c r="M613" s="6" t="inlineStr">
        <is>
          <t>Open Food Facts, by EAN</t>
        </is>
      </c>
      <c r="N613" s="6" t="n">
        <v>0</v>
      </c>
      <c r="O613" s="6" t="n">
        <v>16.5</v>
      </c>
      <c r="P613" s="6" t="inlineStr">
        <is>
          <t>yes</t>
        </is>
      </c>
      <c r="Q613" s="6" t="inlineStr">
        <is>
          <t>whole</t>
        </is>
      </c>
      <c r="R613" s="6" t="inlineStr">
        <is>
          <t>FG1</t>
        </is>
      </c>
      <c r="S613" s="6" t="inlineStr">
        <is>
          <t>red meat</t>
        </is>
      </c>
      <c r="T613" s="6" t="inlineStr">
        <is>
          <t>animal</t>
        </is>
      </c>
      <c r="U613" s="6" t="n"/>
      <c r="V613" s="6" t="n"/>
      <c r="W613" s="6" t="n">
        <v>1</v>
      </c>
      <c r="X613" s="6" t="n">
        <v>0.5</v>
      </c>
      <c r="Y613" s="6" t="inlineStr">
        <is>
          <t>label</t>
        </is>
      </c>
      <c r="Z613" s="8" t="n">
        <v>14123</v>
      </c>
      <c r="AA613" s="9">
        <f>IF(H613="yes",Z613*X613,0)</f>
        <v/>
      </c>
      <c r="AB613" s="9">
        <f>IF(H613="yes",AA613*N(L613)/100,0)</f>
        <v/>
      </c>
      <c r="AC613" s="9">
        <f>IF(H613="yes",AA613*N(N613)/100,0)</f>
        <v/>
      </c>
      <c r="AD613" s="9">
        <f>IF(H613="yes",AA613*N(O613)/100,0)</f>
        <v/>
      </c>
      <c r="AE613" s="10">
        <f>IF(P613="yes",AA613/1000,0)</f>
        <v/>
      </c>
      <c r="AF613" s="10">
        <f>IF(R613="FG2",AE613*W613,AE613)</f>
        <v/>
      </c>
    </row>
    <row r="614">
      <c r="A614" s="6" t="inlineStr">
        <is>
          <t>HM00612</t>
        </is>
      </c>
      <c r="B614" s="7" t="inlineStr">
        <is>
          <t>5012345849270</t>
        </is>
      </c>
      <c r="C614" s="6" t="inlineStr">
        <is>
          <t>KESTREL SALMON FLT SKIN ON 4X125G</t>
        </is>
      </c>
      <c r="D614" s="6" t="inlineStr">
        <is>
          <t>Salmon fillets, skin on, 4x125g</t>
        </is>
      </c>
      <c r="E614" s="6" t="inlineStr">
        <is>
          <t>Kestrel Bay</t>
        </is>
      </c>
      <c r="F614" s="6" t="inlineStr">
        <is>
          <t>Fish &amp; Seafood</t>
        </is>
      </c>
      <c r="G614" s="6" t="inlineStr">
        <is>
          <t>Fresh Fish</t>
        </is>
      </c>
      <c r="H614" s="6" t="inlineStr">
        <is>
          <t>yes</t>
        </is>
      </c>
      <c r="I614" s="6" t="inlineStr">
        <is>
          <t>Animal core</t>
        </is>
      </c>
      <c r="J614" s="6" t="inlineStr">
        <is>
          <t>A</t>
        </is>
      </c>
      <c r="K614" s="6" t="inlineStr">
        <is>
          <t>All ingredients on one side</t>
        </is>
      </c>
      <c r="L614" s="6" t="n">
        <v>19.3</v>
      </c>
      <c r="M614" s="6" t="inlineStr">
        <is>
          <t>Declared by the retailer</t>
        </is>
      </c>
      <c r="N614" s="6" t="n">
        <v>0</v>
      </c>
      <c r="O614" s="6" t="n">
        <v>19.3</v>
      </c>
      <c r="P614" s="6" t="inlineStr">
        <is>
          <t>yes</t>
        </is>
      </c>
      <c r="Q614" s="6" t="inlineStr">
        <is>
          <t>whole</t>
        </is>
      </c>
      <c r="R614" s="6" t="inlineStr">
        <is>
          <t>FG1</t>
        </is>
      </c>
      <c r="S614" s="6" t="inlineStr">
        <is>
          <t>fish shellfish</t>
        </is>
      </c>
      <c r="T614" s="6" t="inlineStr">
        <is>
          <t>animal</t>
        </is>
      </c>
      <c r="U614" s="6" t="n"/>
      <c r="V614" s="6" t="n"/>
      <c r="W614" s="6" t="n">
        <v>1</v>
      </c>
      <c r="X614" s="6" t="n">
        <v>0.5</v>
      </c>
      <c r="Y614" s="6" t="inlineStr">
        <is>
          <t>declared</t>
        </is>
      </c>
      <c r="Z614" s="8" t="n">
        <v>21182</v>
      </c>
      <c r="AA614" s="9">
        <f>IF(H614="yes",Z614*X614,0)</f>
        <v/>
      </c>
      <c r="AB614" s="9">
        <f>IF(H614="yes",AA614*N(L614)/100,0)</f>
        <v/>
      </c>
      <c r="AC614" s="9">
        <f>IF(H614="yes",AA614*N(N614)/100,0)</f>
        <v/>
      </c>
      <c r="AD614" s="9">
        <f>IF(H614="yes",AA614*N(O614)/100,0)</f>
        <v/>
      </c>
      <c r="AE614" s="10">
        <f>IF(P614="yes",AA614/1000,0)</f>
        <v/>
      </c>
      <c r="AF614" s="10">
        <f>IF(R614="FG2",AE614*W614,AE614)</f>
        <v/>
      </c>
    </row>
    <row r="615">
      <c r="A615" s="6" t="inlineStr">
        <is>
          <t>HM00613</t>
        </is>
      </c>
      <c r="B615" s="7" t="inlineStr">
        <is>
          <t>8712345808303</t>
        </is>
      </c>
      <c r="C615" s="6" t="inlineStr">
        <is>
          <t>HM EGG LASAGNE SHEETS 250G</t>
        </is>
      </c>
      <c r="D615" s="6" t="inlineStr">
        <is>
          <t>Egg lasagne sheets, 250g</t>
        </is>
      </c>
      <c r="E615" s="6" t="inlineStr">
        <is>
          <t>Harbour Market</t>
        </is>
      </c>
      <c r="F615" s="6" t="inlineStr">
        <is>
          <t>Grocery</t>
        </is>
      </c>
      <c r="G615" s="6" t="inlineStr">
        <is>
          <t>Fresh Pasta</t>
        </is>
      </c>
      <c r="H615" s="6" t="inlineStr">
        <is>
          <t>yes</t>
        </is>
      </c>
      <c r="I615" s="6" t="inlineStr">
        <is>
          <t>Animal &amp; plant composite</t>
        </is>
      </c>
      <c r="J615" s="6" t="inlineStr">
        <is>
          <t>A</t>
        </is>
      </c>
      <c r="K615" s="6" t="inlineStr">
        <is>
          <t>Ingredient list</t>
        </is>
      </c>
      <c r="L615" s="6" t="n">
        <v>13.9</v>
      </c>
      <c r="M615" s="6" t="inlineStr">
        <is>
          <t>Name match (CIQUAL / NEVO)</t>
        </is>
      </c>
      <c r="N615" s="6" t="n">
        <v>10.84</v>
      </c>
      <c r="O615" s="6" t="n">
        <v>3.06</v>
      </c>
      <c r="P615" s="6" t="inlineStr">
        <is>
          <t>yes</t>
        </is>
      </c>
      <c r="Q615" s="6" t="inlineStr">
        <is>
          <t>composite</t>
        </is>
      </c>
      <c r="R615" s="6" t="n"/>
      <c r="S615" s="6" t="n"/>
      <c r="T615" s="6" t="n"/>
      <c r="U615" s="6" t="inlineStr">
        <is>
          <t>vegetarian</t>
        </is>
      </c>
      <c r="V615" s="6" t="n"/>
      <c r="W615" s="6" t="n">
        <v>1</v>
      </c>
      <c r="X615" s="6" t="n">
        <v>0.25</v>
      </c>
      <c r="Y615" s="6" t="inlineStr">
        <is>
          <t>declared</t>
        </is>
      </c>
      <c r="Z615" s="8" t="n">
        <v>29439</v>
      </c>
      <c r="AA615" s="9">
        <f>IF(H615="yes",Z615*X615,0)</f>
        <v/>
      </c>
      <c r="AB615" s="9">
        <f>IF(H615="yes",AA615*N(L615)/100,0)</f>
        <v/>
      </c>
      <c r="AC615" s="9">
        <f>IF(H615="yes",AA615*N(N615)/100,0)</f>
        <v/>
      </c>
      <c r="AD615" s="9">
        <f>IF(H615="yes",AA615*N(O615)/100,0)</f>
        <v/>
      </c>
      <c r="AE615" s="10">
        <f>IF(P615="yes",AA615/1000,0)</f>
        <v/>
      </c>
      <c r="AF615" s="10">
        <f>IF(R615="FG2",AE615*W615,AE615)</f>
        <v/>
      </c>
    </row>
    <row r="616">
      <c r="A616" s="6" t="inlineStr">
        <is>
          <t>HM00614</t>
        </is>
      </c>
      <c r="B616" s="7" t="inlineStr">
        <is>
          <t>3012345132275</t>
        </is>
      </c>
      <c r="C616" s="6" t="inlineStr">
        <is>
          <t>HM MIXED PEPPERS 1KG</t>
        </is>
      </c>
      <c r="D616" s="6" t="inlineStr">
        <is>
          <t>Mixed peppers, 1kg</t>
        </is>
      </c>
      <c r="E616" s="6" t="inlineStr">
        <is>
          <t>Harbour Market</t>
        </is>
      </c>
      <c r="F616" s="6" t="inlineStr">
        <is>
          <t>Fruit &amp; Vegetables</t>
        </is>
      </c>
      <c r="G616" s="6" t="inlineStr">
        <is>
          <t>Vegetables</t>
        </is>
      </c>
      <c r="H616" s="6" t="inlineStr">
        <is>
          <t>yes</t>
        </is>
      </c>
      <c r="I616" s="6" t="inlineStr">
        <is>
          <t>Plant-based non-core</t>
        </is>
      </c>
      <c r="J616" s="6" t="inlineStr">
        <is>
          <t>B</t>
        </is>
      </c>
      <c r="K616" s="6" t="inlineStr">
        <is>
          <t>Follows the class</t>
        </is>
      </c>
      <c r="L616" s="6" t="n">
        <v>0.85</v>
      </c>
      <c r="M616" s="6" t="inlineStr">
        <is>
          <t>Median of the family</t>
        </is>
      </c>
      <c r="N616" s="6" t="n">
        <v>0.85</v>
      </c>
      <c r="O616" s="6" t="n">
        <v>0</v>
      </c>
      <c r="P616" s="6" t="inlineStr">
        <is>
          <t>yes</t>
        </is>
      </c>
      <c r="Q616" s="6" t="inlineStr">
        <is>
          <t>whole</t>
        </is>
      </c>
      <c r="R616" s="6" t="inlineStr">
        <is>
          <t>FG4</t>
        </is>
      </c>
      <c r="S616" s="6" t="n"/>
      <c r="T616" s="6" t="inlineStr">
        <is>
          <t>plant</t>
        </is>
      </c>
      <c r="U616" s="6" t="n"/>
      <c r="V616" s="6" t="n"/>
      <c r="W616" s="6" t="n">
        <v>1</v>
      </c>
      <c r="X616" s="6" t="n">
        <v>1</v>
      </c>
      <c r="Y616" s="6" t="inlineStr">
        <is>
          <t>declared</t>
        </is>
      </c>
      <c r="Z616" s="8" t="n">
        <v>24868</v>
      </c>
      <c r="AA616" s="9">
        <f>IF(H616="yes",Z616*X616,0)</f>
        <v/>
      </c>
      <c r="AB616" s="9">
        <f>IF(H616="yes",AA616*N(L616)/100,0)</f>
        <v/>
      </c>
      <c r="AC616" s="9">
        <f>IF(H616="yes",AA616*N(N616)/100,0)</f>
        <v/>
      </c>
      <c r="AD616" s="9">
        <f>IF(H616="yes",AA616*N(O616)/100,0)</f>
        <v/>
      </c>
      <c r="AE616" s="10">
        <f>IF(P616="yes",AA616/1000,0)</f>
        <v/>
      </c>
      <c r="AF616" s="10">
        <f>IF(R616="FG2",AE616*W616,AE616)</f>
        <v/>
      </c>
    </row>
    <row r="617">
      <c r="A617" s="6" t="inlineStr">
        <is>
          <t>HM00615</t>
        </is>
      </c>
      <c r="B617" s="7" t="inlineStr">
        <is>
          <t>5012345266114</t>
        </is>
      </c>
      <c r="C617" s="6" t="inlineStr">
        <is>
          <t>ROSE WINE 75CL CASTELNA</t>
        </is>
      </c>
      <c r="D617" s="6" t="inlineStr">
        <is>
          <t>Rosé wine, 75cl</t>
        </is>
      </c>
      <c r="E617" s="6" t="inlineStr">
        <is>
          <t>Castelna</t>
        </is>
      </c>
      <c r="F617" s="6" t="inlineStr">
        <is>
          <t>Beer, Wine &amp; Spirits</t>
        </is>
      </c>
      <c r="G617" s="6" t="inlineStr">
        <is>
          <t>Wine</t>
        </is>
      </c>
      <c r="H617" s="6" t="inlineStr">
        <is>
          <t>yes</t>
        </is>
      </c>
      <c r="I617" s="6" t="inlineStr">
        <is>
          <t>Plant-based non-core</t>
        </is>
      </c>
      <c r="J617" s="6" t="inlineStr">
        <is>
          <t>A</t>
        </is>
      </c>
      <c r="K617" s="6" t="inlineStr">
        <is>
          <t>All ingredients on one side</t>
        </is>
      </c>
      <c r="L617" s="6" t="n">
        <v>0.1</v>
      </c>
      <c r="M617" s="6" t="inlineStr">
        <is>
          <t>Altera reference base</t>
        </is>
      </c>
      <c r="N617" s="6" t="n">
        <v>0.1</v>
      </c>
      <c r="O617" s="6" t="n">
        <v>0</v>
      </c>
      <c r="P617" s="6" t="inlineStr">
        <is>
          <t>no</t>
        </is>
      </c>
      <c r="Q617" s="6" t="n"/>
      <c r="R617" s="6" t="n"/>
      <c r="S617" s="6" t="n"/>
      <c r="T617" s="6" t="n"/>
      <c r="U617" s="6" t="n"/>
      <c r="V617" s="6" t="inlineStr">
        <is>
          <t>alcohol</t>
        </is>
      </c>
      <c r="W617" s="6" t="n">
        <v>1</v>
      </c>
      <c r="X617" s="6" t="n">
        <v>0.75</v>
      </c>
      <c r="Y617" s="6" t="inlineStr">
        <is>
          <t>declared</t>
        </is>
      </c>
      <c r="Z617" s="8" t="n">
        <v>31627</v>
      </c>
      <c r="AA617" s="9">
        <f>IF(H617="yes",Z617*X617,0)</f>
        <v/>
      </c>
      <c r="AB617" s="9">
        <f>IF(H617="yes",AA617*N(L617)/100,0)</f>
        <v/>
      </c>
      <c r="AC617" s="9">
        <f>IF(H617="yes",AA617*N(N617)/100,0)</f>
        <v/>
      </c>
      <c r="AD617" s="9">
        <f>IF(H617="yes",AA617*N(O617)/100,0)</f>
        <v/>
      </c>
      <c r="AE617" s="10">
        <f>IF(P617="yes",AA617/1000,0)</f>
        <v/>
      </c>
      <c r="AF617" s="10">
        <f>IF(R617="FG2",AE617*W617,AE617)</f>
        <v/>
      </c>
    </row>
    <row r="618">
      <c r="A618" s="6" t="inlineStr">
        <is>
          <t>HM00616</t>
        </is>
      </c>
      <c r="B618" s="7" t="inlineStr">
        <is>
          <t>8712345888244</t>
        </is>
      </c>
      <c r="C618" s="6" t="inlineStr">
        <is>
          <t>HM ORANGES 1KG</t>
        </is>
      </c>
      <c r="D618" s="6" t="inlineStr">
        <is>
          <t>Oranges, 1kg</t>
        </is>
      </c>
      <c r="E618" s="6" t="inlineStr">
        <is>
          <t>Harbour Market</t>
        </is>
      </c>
      <c r="F618" s="6" t="inlineStr">
        <is>
          <t>Fruit &amp; Vegetables</t>
        </is>
      </c>
      <c r="G618" s="6" t="inlineStr">
        <is>
          <t>Fruit</t>
        </is>
      </c>
      <c r="H618" s="6" t="inlineStr">
        <is>
          <t>yes</t>
        </is>
      </c>
      <c r="I618" s="6" t="inlineStr">
        <is>
          <t>Plant-based non-core</t>
        </is>
      </c>
      <c r="J618" s="6" t="inlineStr">
        <is>
          <t>B</t>
        </is>
      </c>
      <c r="K618" s="6" t="inlineStr">
        <is>
          <t>Follows the class</t>
        </is>
      </c>
      <c r="L618" s="6" t="n">
        <v>0.85</v>
      </c>
      <c r="M618" s="6" t="inlineStr">
        <is>
          <t>Median of the family</t>
        </is>
      </c>
      <c r="N618" s="6" t="n">
        <v>0.85</v>
      </c>
      <c r="O618" s="6" t="n">
        <v>0</v>
      </c>
      <c r="P618" s="6" t="inlineStr">
        <is>
          <t>yes</t>
        </is>
      </c>
      <c r="Q618" s="6" t="inlineStr">
        <is>
          <t>whole</t>
        </is>
      </c>
      <c r="R618" s="6" t="inlineStr">
        <is>
          <t>FG4</t>
        </is>
      </c>
      <c r="S618" s="6" t="n"/>
      <c r="T618" s="6" t="inlineStr">
        <is>
          <t>plant</t>
        </is>
      </c>
      <c r="U618" s="6" t="n"/>
      <c r="V618" s="6" t="n"/>
      <c r="W618" s="6" t="n">
        <v>1</v>
      </c>
      <c r="X618" s="6" t="n">
        <v>1</v>
      </c>
      <c r="Y618" s="6" t="inlineStr">
        <is>
          <t>declared</t>
        </is>
      </c>
      <c r="Z618" s="8" t="n">
        <v>58504</v>
      </c>
      <c r="AA618" s="9">
        <f>IF(H618="yes",Z618*X618,0)</f>
        <v/>
      </c>
      <c r="AB618" s="9">
        <f>IF(H618="yes",AA618*N(L618)/100,0)</f>
        <v/>
      </c>
      <c r="AC618" s="9">
        <f>IF(H618="yes",AA618*N(N618)/100,0)</f>
        <v/>
      </c>
      <c r="AD618" s="9">
        <f>IF(H618="yes",AA618*N(O618)/100,0)</f>
        <v/>
      </c>
      <c r="AE618" s="10">
        <f>IF(P618="yes",AA618/1000,0)</f>
        <v/>
      </c>
      <c r="AF618" s="10">
        <f>IF(R618="FG2",AE618*W618,AE618)</f>
        <v/>
      </c>
    </row>
    <row r="619">
      <c r="A619" s="6" t="inlineStr">
        <is>
          <t>HM00617</t>
        </is>
      </c>
      <c r="B619" s="7" t="inlineStr">
        <is>
          <t>3012345412360</t>
        </is>
      </c>
      <c r="C619" s="6" t="inlineStr">
        <is>
          <t>EXTRA VIRGIN OLIVE OIL 500ML CASTELNA</t>
        </is>
      </c>
      <c r="D619" s="6" t="inlineStr">
        <is>
          <t>Extra virgin olive oil, 500ml</t>
        </is>
      </c>
      <c r="E619" s="6" t="inlineStr">
        <is>
          <t>Castelna</t>
        </is>
      </c>
      <c r="F619" s="6" t="inlineStr">
        <is>
          <t>Grocery</t>
        </is>
      </c>
      <c r="G619" s="6" t="inlineStr">
        <is>
          <t>Oils</t>
        </is>
      </c>
      <c r="H619" s="6" t="inlineStr">
        <is>
          <t>yes</t>
        </is>
      </c>
      <c r="I619" s="6" t="inlineStr">
        <is>
          <t>Plant-based non-core</t>
        </is>
      </c>
      <c r="J619" s="6" t="inlineStr">
        <is>
          <t>B</t>
        </is>
      </c>
      <c r="K619" s="6" t="inlineStr">
        <is>
          <t>Follows the class</t>
        </is>
      </c>
      <c r="L619" s="6" t="n">
        <v>0</v>
      </c>
      <c r="M619" s="6" t="inlineStr">
        <is>
          <t>Declared by the retailer</t>
        </is>
      </c>
      <c r="N619" s="6" t="n">
        <v>0</v>
      </c>
      <c r="O619" s="6" t="n">
        <v>0</v>
      </c>
      <c r="P619" s="6" t="inlineStr">
        <is>
          <t>yes</t>
        </is>
      </c>
      <c r="Q619" s="6" t="inlineStr">
        <is>
          <t>whole</t>
        </is>
      </c>
      <c r="R619" s="6" t="inlineStr">
        <is>
          <t>FG3</t>
        </is>
      </c>
      <c r="S619" s="6" t="inlineStr">
        <is>
          <t>plant fat</t>
        </is>
      </c>
      <c r="T619" s="6" t="inlineStr">
        <is>
          <t>plant</t>
        </is>
      </c>
      <c r="U619" s="6" t="n"/>
      <c r="V619" s="6" t="n"/>
      <c r="W619" s="6" t="n">
        <v>1</v>
      </c>
      <c r="X619" s="6" t="n">
        <v>0.46</v>
      </c>
      <c r="Y619" s="6" t="inlineStr">
        <is>
          <t>declared</t>
        </is>
      </c>
      <c r="Z619" s="8" t="n">
        <v>12470</v>
      </c>
      <c r="AA619" s="9">
        <f>IF(H619="yes",Z619*X619,0)</f>
        <v/>
      </c>
      <c r="AB619" s="9">
        <f>IF(H619="yes",AA619*N(L619)/100,0)</f>
        <v/>
      </c>
      <c r="AC619" s="9">
        <f>IF(H619="yes",AA619*N(N619)/100,0)</f>
        <v/>
      </c>
      <c r="AD619" s="9">
        <f>IF(H619="yes",AA619*N(O619)/100,0)</f>
        <v/>
      </c>
      <c r="AE619" s="10">
        <f>IF(P619="yes",AA619/1000,0)</f>
        <v/>
      </c>
      <c r="AF619" s="10">
        <f>IF(R619="FG2",AE619*W619,AE619)</f>
        <v/>
      </c>
    </row>
    <row r="620">
      <c r="A620" s="6" t="inlineStr">
        <is>
          <t>HM00618</t>
        </is>
      </c>
      <c r="B620" s="7" t="inlineStr">
        <is>
          <t>8712345624866</t>
        </is>
      </c>
      <c r="C620" s="6" t="inlineStr">
        <is>
          <t>GROUND COFFEE MEDIUM 80PK 250G VELOCE</t>
        </is>
      </c>
      <c r="D620" s="6" t="inlineStr">
        <is>
          <t>Medium roast ground coffee, 80pk 250g</t>
        </is>
      </c>
      <c r="E620" s="6" t="inlineStr">
        <is>
          <t>Veloce</t>
        </is>
      </c>
      <c r="F620" s="6" t="inlineStr">
        <is>
          <t>Grocery</t>
        </is>
      </c>
      <c r="G620" s="6" t="inlineStr">
        <is>
          <t>Tea &amp; Coffee</t>
        </is>
      </c>
      <c r="H620" s="6" t="inlineStr">
        <is>
          <t>yes</t>
        </is>
      </c>
      <c r="I620" s="6" t="inlineStr">
        <is>
          <t>Plant-based non-core</t>
        </is>
      </c>
      <c r="J620" s="6" t="inlineStr">
        <is>
          <t>A</t>
        </is>
      </c>
      <c r="K620" s="6" t="inlineStr">
        <is>
          <t>All ingredients on one side</t>
        </is>
      </c>
      <c r="L620" s="6" t="n">
        <v>13.3</v>
      </c>
      <c r="M620" s="6" t="inlineStr">
        <is>
          <t>Declared by the retailer</t>
        </is>
      </c>
      <c r="N620" s="6" t="n">
        <v>13.3</v>
      </c>
      <c r="O620" s="6" t="n">
        <v>0</v>
      </c>
      <c r="P620" s="6" t="inlineStr">
        <is>
          <t>no</t>
        </is>
      </c>
      <c r="Q620" s="6" t="n"/>
      <c r="R620" s="6" t="n"/>
      <c r="S620" s="6" t="n"/>
      <c r="T620" s="6" t="n"/>
      <c r="U620" s="6" t="n"/>
      <c r="V620" s="6" t="inlineStr">
        <is>
          <t>coffee tea</t>
        </is>
      </c>
      <c r="W620" s="6" t="n">
        <v>1</v>
      </c>
      <c r="X620" s="6" t="n">
        <v>0.25</v>
      </c>
      <c r="Y620" s="6" t="inlineStr">
        <is>
          <t>declared</t>
        </is>
      </c>
      <c r="Z620" s="8" t="n">
        <v>21922</v>
      </c>
      <c r="AA620" s="9">
        <f>IF(H620="yes",Z620*X620,0)</f>
        <v/>
      </c>
      <c r="AB620" s="9">
        <f>IF(H620="yes",AA620*N(L620)/100,0)</f>
        <v/>
      </c>
      <c r="AC620" s="9">
        <f>IF(H620="yes",AA620*N(N620)/100,0)</f>
        <v/>
      </c>
      <c r="AD620" s="9">
        <f>IF(H620="yes",AA620*N(O620)/100,0)</f>
        <v/>
      </c>
      <c r="AE620" s="10">
        <f>IF(P620="yes",AA620/1000,0)</f>
        <v/>
      </c>
      <c r="AF620" s="10">
        <f>IF(R620="FG2",AE620*W620,AE620)</f>
        <v/>
      </c>
    </row>
    <row r="621">
      <c r="A621" s="6" t="inlineStr">
        <is>
          <t>HM00619</t>
        </is>
      </c>
      <c r="B621" s="7" t="inlineStr">
        <is>
          <t>8712345429355</t>
        </is>
      </c>
      <c r="C621" s="6" t="inlineStr">
        <is>
          <t>HM SEA BASS FLT 2X125G</t>
        </is>
      </c>
      <c r="D621" s="6" t="inlineStr">
        <is>
          <t>Sea bass fillets, 2x125g</t>
        </is>
      </c>
      <c r="E621" s="6" t="inlineStr">
        <is>
          <t>Harbour Market</t>
        </is>
      </c>
      <c r="F621" s="6" t="inlineStr">
        <is>
          <t>Fish &amp; Seafood</t>
        </is>
      </c>
      <c r="G621" s="6" t="inlineStr">
        <is>
          <t>Fresh Fish</t>
        </is>
      </c>
      <c r="H621" s="6" t="inlineStr">
        <is>
          <t>yes</t>
        </is>
      </c>
      <c r="I621" s="6" t="inlineStr">
        <is>
          <t>Animal core</t>
        </is>
      </c>
      <c r="J621" s="6" t="inlineStr">
        <is>
          <t>A</t>
        </is>
      </c>
      <c r="K621" s="6" t="inlineStr">
        <is>
          <t>All ingredients on one side</t>
        </is>
      </c>
      <c r="L621" s="6" t="n">
        <v>18.8</v>
      </c>
      <c r="M621" s="6" t="inlineStr">
        <is>
          <t>Median of the family</t>
        </is>
      </c>
      <c r="N621" s="6" t="n">
        <v>0</v>
      </c>
      <c r="O621" s="6" t="n">
        <v>18.8</v>
      </c>
      <c r="P621" s="6" t="inlineStr">
        <is>
          <t>yes</t>
        </is>
      </c>
      <c r="Q621" s="6" t="inlineStr">
        <is>
          <t>whole</t>
        </is>
      </c>
      <c r="R621" s="6" t="inlineStr">
        <is>
          <t>FG1</t>
        </is>
      </c>
      <c r="S621" s="6" t="inlineStr">
        <is>
          <t>fish shellfish</t>
        </is>
      </c>
      <c r="T621" s="6" t="inlineStr">
        <is>
          <t>animal</t>
        </is>
      </c>
      <c r="U621" s="6" t="n"/>
      <c r="V621" s="6" t="n"/>
      <c r="W621" s="6" t="n">
        <v>1</v>
      </c>
      <c r="X621" s="6" t="n">
        <v>0.25</v>
      </c>
      <c r="Y621" s="6" t="inlineStr">
        <is>
          <t>declared</t>
        </is>
      </c>
      <c r="Z621" s="8" t="n">
        <v>24799</v>
      </c>
      <c r="AA621" s="9">
        <f>IF(H621="yes",Z621*X621,0)</f>
        <v/>
      </c>
      <c r="AB621" s="9">
        <f>IF(H621="yes",AA621*N(L621)/100,0)</f>
        <v/>
      </c>
      <c r="AC621" s="9">
        <f>IF(H621="yes",AA621*N(N621)/100,0)</f>
        <v/>
      </c>
      <c r="AD621" s="9">
        <f>IF(H621="yes",AA621*N(O621)/100,0)</f>
        <v/>
      </c>
      <c r="AE621" s="10">
        <f>IF(P621="yes",AA621/1000,0)</f>
        <v/>
      </c>
      <c r="AF621" s="10">
        <f>IF(R621="FG2",AE621*W621,AE621)</f>
        <v/>
      </c>
    </row>
    <row r="622">
      <c r="A622" s="6" t="inlineStr">
        <is>
          <t>HM00620</t>
        </is>
      </c>
      <c r="B622" s="7" t="inlineStr">
        <is>
          <t>8712345150112</t>
        </is>
      </c>
      <c r="C622" s="6" t="inlineStr">
        <is>
          <t>HM APPLES GALA 500G</t>
        </is>
      </c>
      <c r="D622" s="6" t="inlineStr">
        <is>
          <t>Gala apples, 500g</t>
        </is>
      </c>
      <c r="E622" s="6" t="inlineStr">
        <is>
          <t>Harbour Market</t>
        </is>
      </c>
      <c r="F622" s="6" t="inlineStr">
        <is>
          <t>Fruit &amp; Vegetables</t>
        </is>
      </c>
      <c r="G622" s="6" t="inlineStr">
        <is>
          <t>Fruit</t>
        </is>
      </c>
      <c r="H622" s="6" t="inlineStr">
        <is>
          <t>yes</t>
        </is>
      </c>
      <c r="I622" s="6" t="inlineStr">
        <is>
          <t>Plant-based non-core</t>
        </is>
      </c>
      <c r="J622" s="6" t="inlineStr">
        <is>
          <t>B</t>
        </is>
      </c>
      <c r="K622" s="6" t="inlineStr">
        <is>
          <t>Follows the class</t>
        </is>
      </c>
      <c r="L622" s="6" t="n">
        <v>0.31</v>
      </c>
      <c r="M622" s="6" t="inlineStr">
        <is>
          <t>Declared by the retailer</t>
        </is>
      </c>
      <c r="N622" s="6" t="n">
        <v>0.31</v>
      </c>
      <c r="O622" s="6" t="n">
        <v>0</v>
      </c>
      <c r="P622" s="6" t="inlineStr">
        <is>
          <t>yes</t>
        </is>
      </c>
      <c r="Q622" s="6" t="inlineStr">
        <is>
          <t>whole</t>
        </is>
      </c>
      <c r="R622" s="6" t="inlineStr">
        <is>
          <t>FG4</t>
        </is>
      </c>
      <c r="S622" s="6" t="n"/>
      <c r="T622" s="6" t="inlineStr">
        <is>
          <t>plant</t>
        </is>
      </c>
      <c r="U622" s="6" t="n"/>
      <c r="V622" s="6" t="n"/>
      <c r="W622" s="6" t="n">
        <v>1</v>
      </c>
      <c r="X622" s="6" t="n">
        <v>0.5</v>
      </c>
      <c r="Y622" s="6" t="inlineStr">
        <is>
          <t>declared</t>
        </is>
      </c>
      <c r="Z622" s="8" t="n">
        <v>24012</v>
      </c>
      <c r="AA622" s="9">
        <f>IF(H622="yes",Z622*X622,0)</f>
        <v/>
      </c>
      <c r="AB622" s="9">
        <f>IF(H622="yes",AA622*N(L622)/100,0)</f>
        <v/>
      </c>
      <c r="AC622" s="9">
        <f>IF(H622="yes",AA622*N(N622)/100,0)</f>
        <v/>
      </c>
      <c r="AD622" s="9">
        <f>IF(H622="yes",AA622*N(O622)/100,0)</f>
        <v/>
      </c>
      <c r="AE622" s="10">
        <f>IF(P622="yes",AA622/1000,0)</f>
        <v/>
      </c>
      <c r="AF622" s="10">
        <f>IF(R622="FG2",AE622*W622,AE622)</f>
        <v/>
      </c>
    </row>
    <row r="623">
      <c r="A623" s="6" t="inlineStr">
        <is>
          <t>HM00621</t>
        </is>
      </c>
      <c r="B623" s="7" t="inlineStr">
        <is>
          <t>5012345217505</t>
        </is>
      </c>
      <c r="C623" s="6" t="inlineStr">
        <is>
          <t>NUVELLE ORANGE SODA 2L</t>
        </is>
      </c>
      <c r="D623" s="6" t="inlineStr">
        <is>
          <t>Orange soda, 2l</t>
        </is>
      </c>
      <c r="E623" s="6" t="inlineStr">
        <is>
          <t>Nuvelle</t>
        </is>
      </c>
      <c r="F623" s="6" t="inlineStr">
        <is>
          <t>Soft Drinks &amp; Water</t>
        </is>
      </c>
      <c r="G623" s="6" t="inlineStr">
        <is>
          <t>Soft Drinks</t>
        </is>
      </c>
      <c r="H623" s="6" t="inlineStr">
        <is>
          <t>yes</t>
        </is>
      </c>
      <c r="I623" s="6" t="inlineStr">
        <is>
          <t>Plant-based non-core</t>
        </is>
      </c>
      <c r="J623" s="6" t="inlineStr">
        <is>
          <t>A</t>
        </is>
      </c>
      <c r="K623" s="6" t="inlineStr">
        <is>
          <t>All ingredients on one side</t>
        </is>
      </c>
      <c r="L623" s="6" t="n">
        <v>0</v>
      </c>
      <c r="M623" s="6" t="inlineStr">
        <is>
          <t>Declared by the retailer</t>
        </is>
      </c>
      <c r="N623" s="6" t="n">
        <v>0</v>
      </c>
      <c r="O623" s="6" t="n">
        <v>0</v>
      </c>
      <c r="P623" s="6" t="inlineStr">
        <is>
          <t>no</t>
        </is>
      </c>
      <c r="Q623" s="6" t="n"/>
      <c r="R623" s="6" t="n"/>
      <c r="S623" s="6" t="n"/>
      <c r="T623" s="6" t="n"/>
      <c r="U623" s="6" t="n"/>
      <c r="V623" s="6" t="inlineStr">
        <is>
          <t>beverage</t>
        </is>
      </c>
      <c r="W623" s="6" t="n">
        <v>1</v>
      </c>
      <c r="X623" s="6" t="n">
        <v>2</v>
      </c>
      <c r="Y623" s="6" t="inlineStr">
        <is>
          <t>declared</t>
        </is>
      </c>
      <c r="Z623" s="8" t="n">
        <v>26767</v>
      </c>
      <c r="AA623" s="9">
        <f>IF(H623="yes",Z623*X623,0)</f>
        <v/>
      </c>
      <c r="AB623" s="9">
        <f>IF(H623="yes",AA623*N(L623)/100,0)</f>
        <v/>
      </c>
      <c r="AC623" s="9">
        <f>IF(H623="yes",AA623*N(N623)/100,0)</f>
        <v/>
      </c>
      <c r="AD623" s="9">
        <f>IF(H623="yes",AA623*N(O623)/100,0)</f>
        <v/>
      </c>
      <c r="AE623" s="10">
        <f>IF(P623="yes",AA623/1000,0)</f>
        <v/>
      </c>
      <c r="AF623" s="10">
        <f>IF(R623="FG2",AE623*W623,AE623)</f>
        <v/>
      </c>
    </row>
    <row r="624">
      <c r="A624" s="6" t="inlineStr">
        <is>
          <t>HM00622</t>
        </is>
      </c>
      <c r="B624" s="7" t="inlineStr">
        <is>
          <t>5012345545509</t>
        </is>
      </c>
      <c r="C624" s="6" t="inlineStr">
        <is>
          <t>HM WHITE BLOOMER 6PK 360G</t>
        </is>
      </c>
      <c r="D624" s="6" t="inlineStr">
        <is>
          <t>White bloomer, 6pk 360g</t>
        </is>
      </c>
      <c r="E624" s="6" t="inlineStr">
        <is>
          <t>Harbour Market</t>
        </is>
      </c>
      <c r="F624" s="6" t="inlineStr">
        <is>
          <t>Bakery</t>
        </is>
      </c>
      <c r="G624" s="6" t="inlineStr">
        <is>
          <t>Bread</t>
        </is>
      </c>
      <c r="H624" s="6" t="inlineStr">
        <is>
          <t>yes</t>
        </is>
      </c>
      <c r="I624" s="6" t="inlineStr">
        <is>
          <t>Plant-based non-core</t>
        </is>
      </c>
      <c r="J624" s="6" t="inlineStr">
        <is>
          <t>A</t>
        </is>
      </c>
      <c r="K624" s="6" t="inlineStr">
        <is>
          <t>All ingredients on one side</t>
        </is>
      </c>
      <c r="L624" s="6" t="n">
        <v>8.699999999999999</v>
      </c>
      <c r="M624" s="6" t="inlineStr">
        <is>
          <t>Median of the family</t>
        </is>
      </c>
      <c r="N624" s="6" t="n">
        <v>8.699999999999999</v>
      </c>
      <c r="O624" s="6" t="n">
        <v>0</v>
      </c>
      <c r="P624" s="6" t="inlineStr">
        <is>
          <t>yes</t>
        </is>
      </c>
      <c r="Q624" s="6" t="inlineStr">
        <is>
          <t>whole</t>
        </is>
      </c>
      <c r="R624" s="6" t="inlineStr">
        <is>
          <t>FG5</t>
        </is>
      </c>
      <c r="S624" s="6" t="inlineStr">
        <is>
          <t>refined grain</t>
        </is>
      </c>
      <c r="T624" s="6" t="inlineStr">
        <is>
          <t>plant</t>
        </is>
      </c>
      <c r="U624" s="6" t="n"/>
      <c r="V624" s="6" t="n"/>
      <c r="W624" s="6" t="n">
        <v>1</v>
      </c>
      <c r="X624" s="6" t="n">
        <v>0.36</v>
      </c>
      <c r="Y624" s="6" t="inlineStr">
        <is>
          <t>declared</t>
        </is>
      </c>
      <c r="Z624" s="8" t="n">
        <v>81901</v>
      </c>
      <c r="AA624" s="9">
        <f>IF(H624="yes",Z624*X624,0)</f>
        <v/>
      </c>
      <c r="AB624" s="9">
        <f>IF(H624="yes",AA624*N(L624)/100,0)</f>
        <v/>
      </c>
      <c r="AC624" s="9">
        <f>IF(H624="yes",AA624*N(N624)/100,0)</f>
        <v/>
      </c>
      <c r="AD624" s="9">
        <f>IF(H624="yes",AA624*N(O624)/100,0)</f>
        <v/>
      </c>
      <c r="AE624" s="10">
        <f>IF(P624="yes",AA624/1000,0)</f>
        <v/>
      </c>
      <c r="AF624" s="10">
        <f>IF(R624="FG2",AE624*W624,AE624)</f>
        <v/>
      </c>
    </row>
    <row r="625">
      <c r="A625" s="6" t="inlineStr">
        <is>
          <t>HM00623</t>
        </is>
      </c>
      <c r="B625" s="7" t="inlineStr">
        <is>
          <t>4012345831160</t>
        </is>
      </c>
      <c r="C625" s="6" t="inlineStr">
        <is>
          <t>HM SPARKLING WATER 500ML</t>
        </is>
      </c>
      <c r="D625" s="6" t="inlineStr">
        <is>
          <t>Sparkling mineral water, 500ml</t>
        </is>
      </c>
      <c r="E625" s="6" t="inlineStr">
        <is>
          <t>Harbour Market</t>
        </is>
      </c>
      <c r="F625" s="6" t="inlineStr">
        <is>
          <t>Soft Drinks &amp; Water</t>
        </is>
      </c>
      <c r="G625" s="6" t="inlineStr">
        <is>
          <t>Water</t>
        </is>
      </c>
      <c r="H625" s="6" t="inlineStr">
        <is>
          <t>yes</t>
        </is>
      </c>
      <c r="I625" s="6" t="inlineStr">
        <is>
          <t>Plant-based non-core</t>
        </is>
      </c>
      <c r="J625" s="6" t="inlineStr">
        <is>
          <t>B</t>
        </is>
      </c>
      <c r="K625" s="6" t="inlineStr">
        <is>
          <t>Follows the class</t>
        </is>
      </c>
      <c r="L625" s="6" t="n">
        <v>0</v>
      </c>
      <c r="M625" s="6" t="inlineStr">
        <is>
          <t>Declared by the retailer</t>
        </is>
      </c>
      <c r="N625" s="6" t="n">
        <v>0</v>
      </c>
      <c r="O625" s="6" t="n">
        <v>0</v>
      </c>
      <c r="P625" s="6" t="inlineStr">
        <is>
          <t>no</t>
        </is>
      </c>
      <c r="Q625" s="6" t="n"/>
      <c r="R625" s="6" t="n"/>
      <c r="S625" s="6" t="n"/>
      <c r="T625" s="6" t="n"/>
      <c r="U625" s="6" t="n"/>
      <c r="V625" s="6" t="inlineStr">
        <is>
          <t>beverage</t>
        </is>
      </c>
      <c r="W625" s="6" t="n">
        <v>1</v>
      </c>
      <c r="X625" s="6" t="n">
        <v>0.5</v>
      </c>
      <c r="Y625" s="6" t="inlineStr">
        <is>
          <t>declared</t>
        </is>
      </c>
      <c r="Z625" s="8" t="n">
        <v>334056</v>
      </c>
      <c r="AA625" s="9">
        <f>IF(H625="yes",Z625*X625,0)</f>
        <v/>
      </c>
      <c r="AB625" s="9">
        <f>IF(H625="yes",AA625*N(L625)/100,0)</f>
        <v/>
      </c>
      <c r="AC625" s="9">
        <f>IF(H625="yes",AA625*N(N625)/100,0)</f>
        <v/>
      </c>
      <c r="AD625" s="9">
        <f>IF(H625="yes",AA625*N(O625)/100,0)</f>
        <v/>
      </c>
      <c r="AE625" s="10">
        <f>IF(P625="yes",AA625/1000,0)</f>
        <v/>
      </c>
      <c r="AF625" s="10">
        <f>IF(R625="FG2",AE625*W625,AE625)</f>
        <v/>
      </c>
    </row>
    <row r="626">
      <c r="A626" s="6" t="inlineStr">
        <is>
          <t>HM00624</t>
        </is>
      </c>
      <c r="B626" s="7" t="inlineStr">
        <is>
          <t>5012345531564</t>
        </is>
      </c>
      <c r="C626" s="6" t="inlineStr">
        <is>
          <t>TORTILLA CHIPS 6PK 150G PENROCK</t>
        </is>
      </c>
      <c r="D626" s="6" t="inlineStr">
        <is>
          <t>Tortilla chips, 6pk 150g</t>
        </is>
      </c>
      <c r="E626" s="6" t="inlineStr">
        <is>
          <t>Penrock</t>
        </is>
      </c>
      <c r="F626" s="6" t="inlineStr">
        <is>
          <t>Breakfast &amp; Snacks</t>
        </is>
      </c>
      <c r="G626" s="6" t="inlineStr">
        <is>
          <t>Crisps</t>
        </is>
      </c>
      <c r="H626" s="6" t="inlineStr">
        <is>
          <t>yes</t>
        </is>
      </c>
      <c r="I626" s="6" t="inlineStr">
        <is>
          <t>Plant-based non-core</t>
        </is>
      </c>
      <c r="J626" s="6" t="inlineStr">
        <is>
          <t>A</t>
        </is>
      </c>
      <c r="K626" s="6" t="inlineStr">
        <is>
          <t>All ingredients on one side</t>
        </is>
      </c>
      <c r="L626" s="6" t="n">
        <v>6.7</v>
      </c>
      <c r="M626" s="6" t="inlineStr">
        <is>
          <t>Declared by the retailer</t>
        </is>
      </c>
      <c r="N626" s="6" t="n">
        <v>6.7</v>
      </c>
      <c r="O626" s="6" t="n">
        <v>0</v>
      </c>
      <c r="P626" s="6" t="inlineStr">
        <is>
          <t>yes</t>
        </is>
      </c>
      <c r="Q626" s="6" t="inlineStr">
        <is>
          <t>whole</t>
        </is>
      </c>
      <c r="R626" s="6" t="inlineStr">
        <is>
          <t>FG7</t>
        </is>
      </c>
      <c r="S626" s="6" t="n"/>
      <c r="T626" s="6" t="inlineStr">
        <is>
          <t>plant</t>
        </is>
      </c>
      <c r="U626" s="6" t="n"/>
      <c r="V626" s="6" t="n"/>
      <c r="W626" s="6" t="n">
        <v>1</v>
      </c>
      <c r="X626" s="6" t="n">
        <v>0.15</v>
      </c>
      <c r="Y626" s="6" t="inlineStr">
        <is>
          <t>declared</t>
        </is>
      </c>
      <c r="Z626" s="8" t="n">
        <v>43750</v>
      </c>
      <c r="AA626" s="9">
        <f>IF(H626="yes",Z626*X626,0)</f>
        <v/>
      </c>
      <c r="AB626" s="9">
        <f>IF(H626="yes",AA626*N(L626)/100,0)</f>
        <v/>
      </c>
      <c r="AC626" s="9">
        <f>IF(H626="yes",AA626*N(N626)/100,0)</f>
        <v/>
      </c>
      <c r="AD626" s="9">
        <f>IF(H626="yes",AA626*N(O626)/100,0)</f>
        <v/>
      </c>
      <c r="AE626" s="10">
        <f>IF(P626="yes",AA626/1000,0)</f>
        <v/>
      </c>
      <c r="AF626" s="10">
        <f>IF(R626="FG2",AE626*W626,AE626)</f>
        <v/>
      </c>
    </row>
    <row r="627">
      <c r="A627" s="6" t="inlineStr">
        <is>
          <t>HM00625</t>
        </is>
      </c>
      <c r="B627" s="7" t="inlineStr">
        <is>
          <t>5012345236483</t>
        </is>
      </c>
      <c r="C627" s="6" t="inlineStr">
        <is>
          <t>BF BURGERS 4PK 400G TARROW</t>
        </is>
      </c>
      <c r="D627" s="6" t="inlineStr">
        <is>
          <t>Beef burgers, 4 pack, 400g</t>
        </is>
      </c>
      <c r="E627" s="6" t="inlineStr">
        <is>
          <t>Tarrow Farm</t>
        </is>
      </c>
      <c r="F627" s="6" t="inlineStr">
        <is>
          <t>Fresh Meat &amp; Poultry</t>
        </is>
      </c>
      <c r="G627" s="6" t="inlineStr">
        <is>
          <t>Sausages &amp; Burgers</t>
        </is>
      </c>
      <c r="H627" s="6" t="inlineStr">
        <is>
          <t>yes</t>
        </is>
      </c>
      <c r="I627" s="6" t="inlineStr">
        <is>
          <t>Animal core</t>
        </is>
      </c>
      <c r="J627" s="6" t="inlineStr">
        <is>
          <t>B</t>
        </is>
      </c>
      <c r="K627" s="6" t="inlineStr">
        <is>
          <t>First ingredient (step 4a)</t>
        </is>
      </c>
      <c r="L627" s="6" t="n">
        <v>14.6</v>
      </c>
      <c r="M627" s="6" t="inlineStr">
        <is>
          <t>Open Food Facts, by EAN</t>
        </is>
      </c>
      <c r="N627" s="6" t="n">
        <v>0</v>
      </c>
      <c r="O627" s="6" t="n">
        <v>14.6</v>
      </c>
      <c r="P627" s="6" t="inlineStr">
        <is>
          <t>yes</t>
        </is>
      </c>
      <c r="Q627" s="6" t="inlineStr">
        <is>
          <t>whole</t>
        </is>
      </c>
      <c r="R627" s="6" t="inlineStr">
        <is>
          <t>FG1</t>
        </is>
      </c>
      <c r="S627" s="6" t="inlineStr">
        <is>
          <t>red meat</t>
        </is>
      </c>
      <c r="T627" s="6" t="inlineStr">
        <is>
          <t>animal</t>
        </is>
      </c>
      <c r="U627" s="6" t="n"/>
      <c r="V627" s="6" t="n"/>
      <c r="W627" s="6" t="n">
        <v>1</v>
      </c>
      <c r="X627" s="6" t="n">
        <v>0.4</v>
      </c>
      <c r="Y627" s="6" t="inlineStr">
        <is>
          <t>declared</t>
        </is>
      </c>
      <c r="Z627" s="8" t="n">
        <v>96015</v>
      </c>
      <c r="AA627" s="9">
        <f>IF(H627="yes",Z627*X627,0)</f>
        <v/>
      </c>
      <c r="AB627" s="9">
        <f>IF(H627="yes",AA627*N(L627)/100,0)</f>
        <v/>
      </c>
      <c r="AC627" s="9">
        <f>IF(H627="yes",AA627*N(N627)/100,0)</f>
        <v/>
      </c>
      <c r="AD627" s="9">
        <f>IF(H627="yes",AA627*N(O627)/100,0)</f>
        <v/>
      </c>
      <c r="AE627" s="10">
        <f>IF(P627="yes",AA627/1000,0)</f>
        <v/>
      </c>
      <c r="AF627" s="10">
        <f>IF(R627="FG2",AE627*W627,AE627)</f>
        <v/>
      </c>
    </row>
    <row r="628">
      <c r="A628" s="6" t="inlineStr">
        <is>
          <t>HM00626</t>
        </is>
      </c>
      <c r="B628" s="7" t="inlineStr">
        <is>
          <t>4012345996470</t>
        </is>
      </c>
      <c r="C628" s="6" t="inlineStr">
        <is>
          <t>HM STILL WATER 6X1.5L</t>
        </is>
      </c>
      <c r="D628" s="6" t="inlineStr">
        <is>
          <t>Still mineral water, 6x1.5l</t>
        </is>
      </c>
      <c r="E628" s="6" t="inlineStr">
        <is>
          <t>Harbour Market</t>
        </is>
      </c>
      <c r="F628" s="6" t="inlineStr">
        <is>
          <t>Soft Drinks &amp; Water</t>
        </is>
      </c>
      <c r="G628" s="6" t="inlineStr">
        <is>
          <t>Water</t>
        </is>
      </c>
      <c r="H628" s="6" t="inlineStr">
        <is>
          <t>yes</t>
        </is>
      </c>
      <c r="I628" s="6" t="inlineStr">
        <is>
          <t>Plant-based non-core</t>
        </is>
      </c>
      <c r="J628" s="6" t="inlineStr">
        <is>
          <t>A</t>
        </is>
      </c>
      <c r="K628" s="6" t="inlineStr">
        <is>
          <t>All ingredients on one side</t>
        </is>
      </c>
      <c r="L628" s="6" t="n">
        <v>0</v>
      </c>
      <c r="M628" s="6" t="inlineStr">
        <is>
          <t>Declared by the retailer</t>
        </is>
      </c>
      <c r="N628" s="6" t="n">
        <v>0</v>
      </c>
      <c r="O628" s="6" t="n">
        <v>0</v>
      </c>
      <c r="P628" s="6" t="inlineStr">
        <is>
          <t>no</t>
        </is>
      </c>
      <c r="Q628" s="6" t="n"/>
      <c r="R628" s="6" t="n"/>
      <c r="S628" s="6" t="n"/>
      <c r="T628" s="6" t="n"/>
      <c r="U628" s="6" t="n"/>
      <c r="V628" s="6" t="inlineStr">
        <is>
          <t>beverage</t>
        </is>
      </c>
      <c r="W628" s="6" t="n">
        <v>1</v>
      </c>
      <c r="X628" s="6" t="n">
        <v>9</v>
      </c>
      <c r="Y628" s="6" t="inlineStr">
        <is>
          <t>declared</t>
        </is>
      </c>
      <c r="Z628" s="8" t="n">
        <v>86003</v>
      </c>
      <c r="AA628" s="9">
        <f>IF(H628="yes",Z628*X628,0)</f>
        <v/>
      </c>
      <c r="AB628" s="9">
        <f>IF(H628="yes",AA628*N(L628)/100,0)</f>
        <v/>
      </c>
      <c r="AC628" s="9">
        <f>IF(H628="yes",AA628*N(N628)/100,0)</f>
        <v/>
      </c>
      <c r="AD628" s="9">
        <f>IF(H628="yes",AA628*N(O628)/100,0)</f>
        <v/>
      </c>
      <c r="AE628" s="10">
        <f>IF(P628="yes",AA628/1000,0)</f>
        <v/>
      </c>
      <c r="AF628" s="10">
        <f>IF(R628="FG2",AE628*W628,AE628)</f>
        <v/>
      </c>
    </row>
    <row r="629">
      <c r="A629" s="6" t="inlineStr">
        <is>
          <t>HM00627</t>
        </is>
      </c>
      <c r="B629" s="7" t="inlineStr">
        <is>
          <t>3012345438841</t>
        </is>
      </c>
      <c r="C629" s="6" t="inlineStr">
        <is>
          <t>HM DIJON MUSTARD 200G</t>
        </is>
      </c>
      <c r="D629" s="6" t="inlineStr">
        <is>
          <t>Dijon mustard, 200g</t>
        </is>
      </c>
      <c r="E629" s="6" t="inlineStr">
        <is>
          <t>Harbour Market</t>
        </is>
      </c>
      <c r="F629" s="6" t="inlineStr">
        <is>
          <t>Grocery</t>
        </is>
      </c>
      <c r="G629" s="6" t="inlineStr">
        <is>
          <t>Condiments</t>
        </is>
      </c>
      <c r="H629" s="6" t="inlineStr">
        <is>
          <t>yes</t>
        </is>
      </c>
      <c r="I629" s="6" t="inlineStr">
        <is>
          <t>Plant-based non-core</t>
        </is>
      </c>
      <c r="J629" s="6" t="inlineStr">
        <is>
          <t>A</t>
        </is>
      </c>
      <c r="K629" s="6" t="inlineStr">
        <is>
          <t>All ingredients on one side</t>
        </is>
      </c>
      <c r="L629" s="6" t="n">
        <v>6.2</v>
      </c>
      <c r="M629" s="6" t="inlineStr">
        <is>
          <t>Declared by the retailer</t>
        </is>
      </c>
      <c r="N629" s="6" t="n">
        <v>6.2</v>
      </c>
      <c r="O629" s="6" t="n">
        <v>0</v>
      </c>
      <c r="P629" s="6" t="inlineStr">
        <is>
          <t>no</t>
        </is>
      </c>
      <c r="Q629" s="6" t="n"/>
      <c r="R629" s="6" t="n"/>
      <c r="S629" s="6" t="n"/>
      <c r="T629" s="6" t="n"/>
      <c r="U629" s="6" t="n"/>
      <c r="V629" s="6" t="inlineStr">
        <is>
          <t>condiment</t>
        </is>
      </c>
      <c r="W629" s="6" t="n">
        <v>1</v>
      </c>
      <c r="X629" s="6" t="n">
        <v>0.2</v>
      </c>
      <c r="Y629" s="6" t="inlineStr">
        <is>
          <t>declared</t>
        </is>
      </c>
      <c r="Z629" s="8" t="n">
        <v>19676</v>
      </c>
      <c r="AA629" s="9">
        <f>IF(H629="yes",Z629*X629,0)</f>
        <v/>
      </c>
      <c r="AB629" s="9">
        <f>IF(H629="yes",AA629*N(L629)/100,0)</f>
        <v/>
      </c>
      <c r="AC629" s="9">
        <f>IF(H629="yes",AA629*N(N629)/100,0)</f>
        <v/>
      </c>
      <c r="AD629" s="9">
        <f>IF(H629="yes",AA629*N(O629)/100,0)</f>
        <v/>
      </c>
      <c r="AE629" s="10">
        <f>IF(P629="yes",AA629/1000,0)</f>
        <v/>
      </c>
      <c r="AF629" s="10">
        <f>IF(R629="FG2",AE629*W629,AE629)</f>
        <v/>
      </c>
    </row>
    <row r="630">
      <c r="A630" s="6" t="inlineStr">
        <is>
          <t>HM00628</t>
        </is>
      </c>
      <c r="B630" s="7" t="inlineStr">
        <is>
          <t>8712345206383</t>
        </is>
      </c>
      <c r="C630" s="6" t="inlineStr">
        <is>
          <t>HM PORK CHIPOLATAS 454G</t>
        </is>
      </c>
      <c r="D630" s="6" t="inlineStr">
        <is>
          <t>Pork chipolatas, 454g</t>
        </is>
      </c>
      <c r="E630" s="6" t="inlineStr">
        <is>
          <t>Harbour Market</t>
        </is>
      </c>
      <c r="F630" s="6" t="inlineStr">
        <is>
          <t>Fresh Meat &amp; Poultry</t>
        </is>
      </c>
      <c r="G630" s="6" t="inlineStr">
        <is>
          <t>Sausages &amp; Burgers</t>
        </is>
      </c>
      <c r="H630" s="6" t="inlineStr">
        <is>
          <t>yes</t>
        </is>
      </c>
      <c r="I630" s="6" t="inlineStr">
        <is>
          <t>Animal core</t>
        </is>
      </c>
      <c r="J630" s="6" t="inlineStr">
        <is>
          <t>B</t>
        </is>
      </c>
      <c r="K630" s="6" t="inlineStr">
        <is>
          <t>First ingredient (step 4a)</t>
        </is>
      </c>
      <c r="L630" s="6" t="n">
        <v>14.4</v>
      </c>
      <c r="M630" s="6" t="inlineStr">
        <is>
          <t>Declared by the retailer</t>
        </is>
      </c>
      <c r="N630" s="6" t="n">
        <v>0</v>
      </c>
      <c r="O630" s="6" t="n">
        <v>14.4</v>
      </c>
      <c r="P630" s="6" t="inlineStr">
        <is>
          <t>yes</t>
        </is>
      </c>
      <c r="Q630" s="6" t="inlineStr">
        <is>
          <t>whole</t>
        </is>
      </c>
      <c r="R630" s="6" t="inlineStr">
        <is>
          <t>FG1</t>
        </is>
      </c>
      <c r="S630" s="6" t="inlineStr">
        <is>
          <t>red meat</t>
        </is>
      </c>
      <c r="T630" s="6" t="inlineStr">
        <is>
          <t>animal</t>
        </is>
      </c>
      <c r="U630" s="6" t="n"/>
      <c r="V630" s="6" t="n"/>
      <c r="W630" s="6" t="n">
        <v>1</v>
      </c>
      <c r="X630" s="6" t="n">
        <v>0.454</v>
      </c>
      <c r="Y630" s="6" t="inlineStr">
        <is>
          <t>declared</t>
        </is>
      </c>
      <c r="Z630" s="8" t="n">
        <v>164059</v>
      </c>
      <c r="AA630" s="9">
        <f>IF(H630="yes",Z630*X630,0)</f>
        <v/>
      </c>
      <c r="AB630" s="9">
        <f>IF(H630="yes",AA630*N(L630)/100,0)</f>
        <v/>
      </c>
      <c r="AC630" s="9">
        <f>IF(H630="yes",AA630*N(N630)/100,0)</f>
        <v/>
      </c>
      <c r="AD630" s="9">
        <f>IF(H630="yes",AA630*N(O630)/100,0)</f>
        <v/>
      </c>
      <c r="AE630" s="10">
        <f>IF(P630="yes",AA630/1000,0)</f>
        <v/>
      </c>
      <c r="AF630" s="10">
        <f>IF(R630="FG2",AE630*W630,AE630)</f>
        <v/>
      </c>
    </row>
    <row r="631">
      <c r="A631" s="6" t="inlineStr">
        <is>
          <t>HM00629</t>
        </is>
      </c>
      <c r="B631" s="7" t="inlineStr">
        <is>
          <t>2916847373390</t>
        </is>
      </c>
      <c r="C631" s="6" t="inlineStr">
        <is>
          <t>HM CAULIFLOWER KG</t>
        </is>
      </c>
      <c r="D631" s="6" t="inlineStr">
        <is>
          <t>Cauliflower</t>
        </is>
      </c>
      <c r="E631" s="6" t="inlineStr">
        <is>
          <t>Harbour Market</t>
        </is>
      </c>
      <c r="F631" s="6" t="inlineStr">
        <is>
          <t>Fruit &amp; Vegetables</t>
        </is>
      </c>
      <c r="G631" s="6" t="inlineStr">
        <is>
          <t>Vegetables</t>
        </is>
      </c>
      <c r="H631" s="6" t="inlineStr">
        <is>
          <t>yes</t>
        </is>
      </c>
      <c r="I631" s="6" t="inlineStr">
        <is>
          <t>Plant-based non-core</t>
        </is>
      </c>
      <c r="J631" s="6" t="inlineStr">
        <is>
          <t>B</t>
        </is>
      </c>
      <c r="K631" s="6" t="inlineStr">
        <is>
          <t>Follows the class</t>
        </is>
      </c>
      <c r="L631" s="6" t="n">
        <v>1.9</v>
      </c>
      <c r="M631" s="6" t="inlineStr">
        <is>
          <t>Declared by the retailer</t>
        </is>
      </c>
      <c r="N631" s="6" t="n">
        <v>1.9</v>
      </c>
      <c r="O631" s="6" t="n">
        <v>0</v>
      </c>
      <c r="P631" s="6" t="inlineStr">
        <is>
          <t>yes</t>
        </is>
      </c>
      <c r="Q631" s="6" t="inlineStr">
        <is>
          <t>whole</t>
        </is>
      </c>
      <c r="R631" s="6" t="inlineStr">
        <is>
          <t>FG4</t>
        </is>
      </c>
      <c r="S631" s="6" t="n"/>
      <c r="T631" s="6" t="inlineStr">
        <is>
          <t>plant</t>
        </is>
      </c>
      <c r="U631" s="6" t="n"/>
      <c r="V631" s="6" t="n"/>
      <c r="W631" s="6" t="n">
        <v>1</v>
      </c>
      <c r="X631" s="6" t="n">
        <v>1</v>
      </c>
      <c r="Y631" s="6" t="inlineStr">
        <is>
          <t>variable</t>
        </is>
      </c>
      <c r="Z631" s="8" t="n">
        <v>16079</v>
      </c>
      <c r="AA631" s="9">
        <f>IF(H631="yes",Z631*X631,0)</f>
        <v/>
      </c>
      <c r="AB631" s="9">
        <f>IF(H631="yes",AA631*N(L631)/100,0)</f>
        <v/>
      </c>
      <c r="AC631" s="9">
        <f>IF(H631="yes",AA631*N(N631)/100,0)</f>
        <v/>
      </c>
      <c r="AD631" s="9">
        <f>IF(H631="yes",AA631*N(O631)/100,0)</f>
        <v/>
      </c>
      <c r="AE631" s="10">
        <f>IF(P631="yes",AA631/1000,0)</f>
        <v/>
      </c>
      <c r="AF631" s="10">
        <f>IF(R631="FG2",AE631*W631,AE631)</f>
        <v/>
      </c>
    </row>
    <row r="632">
      <c r="A632" s="6" t="inlineStr">
        <is>
          <t>HM00630</t>
        </is>
      </c>
      <c r="B632" s="7" t="inlineStr">
        <is>
          <t>8712345920357</t>
        </is>
      </c>
      <c r="C632" s="6" t="inlineStr">
        <is>
          <t>BRAMBLECOTE PAIN AU CHOCOLAT 8PK 280G</t>
        </is>
      </c>
      <c r="D632" s="6" t="inlineStr">
        <is>
          <t>Pains au chocolat, 8pk 280g</t>
        </is>
      </c>
      <c r="E632" s="6" t="inlineStr">
        <is>
          <t>Bramblecote</t>
        </is>
      </c>
      <c r="F632" s="6" t="inlineStr">
        <is>
          <t>Bakery</t>
        </is>
      </c>
      <c r="G632" s="6" t="inlineStr">
        <is>
          <t>Pastries</t>
        </is>
      </c>
      <c r="H632" s="6" t="inlineStr">
        <is>
          <t>yes</t>
        </is>
      </c>
      <c r="I632" s="6" t="inlineStr">
        <is>
          <t>Animal &amp; plant composite</t>
        </is>
      </c>
      <c r="J632" s="6" t="inlineStr">
        <is>
          <t>A</t>
        </is>
      </c>
      <c r="K632" s="6" t="inlineStr">
        <is>
          <t>NEVO food table (ratio only)</t>
        </is>
      </c>
      <c r="L632" s="6" t="n">
        <v>8.300000000000001</v>
      </c>
      <c r="M632" s="6" t="inlineStr">
        <is>
          <t>Declared by the retailer</t>
        </is>
      </c>
      <c r="N632" s="6" t="n">
        <v>5.98</v>
      </c>
      <c r="O632" s="6" t="n">
        <v>2.32</v>
      </c>
      <c r="P632" s="6" t="inlineStr">
        <is>
          <t>yes</t>
        </is>
      </c>
      <c r="Q632" s="6" t="inlineStr">
        <is>
          <t>whole</t>
        </is>
      </c>
      <c r="R632" s="6" t="inlineStr">
        <is>
          <t>FG7</t>
        </is>
      </c>
      <c r="S632" s="6" t="n"/>
      <c r="T632" s="6" t="inlineStr">
        <is>
          <t>plant</t>
        </is>
      </c>
      <c r="U632" s="6" t="n"/>
      <c r="V632" s="6" t="n"/>
      <c r="W632" s="6" t="n">
        <v>1</v>
      </c>
      <c r="X632" s="6" t="n">
        <v>0.28</v>
      </c>
      <c r="Y632" s="6" t="inlineStr">
        <is>
          <t>declared</t>
        </is>
      </c>
      <c r="Z632" s="8" t="n">
        <v>66435</v>
      </c>
      <c r="AA632" s="9">
        <f>IF(H632="yes",Z632*X632,0)</f>
        <v/>
      </c>
      <c r="AB632" s="9">
        <f>IF(H632="yes",AA632*N(L632)/100,0)</f>
        <v/>
      </c>
      <c r="AC632" s="9">
        <f>IF(H632="yes",AA632*N(N632)/100,0)</f>
        <v/>
      </c>
      <c r="AD632" s="9">
        <f>IF(H632="yes",AA632*N(O632)/100,0)</f>
        <v/>
      </c>
      <c r="AE632" s="10">
        <f>IF(P632="yes",AA632/1000,0)</f>
        <v/>
      </c>
      <c r="AF632" s="10">
        <f>IF(R632="FG2",AE632*W632,AE632)</f>
        <v/>
      </c>
    </row>
    <row r="633">
      <c r="A633" s="6" t="inlineStr">
        <is>
          <t>HM00631</t>
        </is>
      </c>
      <c r="B633" s="7" t="inlineStr">
        <is>
          <t>3012345268806</t>
        </is>
      </c>
      <c r="C633" s="6" t="inlineStr">
        <is>
          <t>NUVELLE STILL WATER 12X500ML</t>
        </is>
      </c>
      <c r="D633" s="6" t="inlineStr">
        <is>
          <t>Still mineral water, 12x500ml</t>
        </is>
      </c>
      <c r="E633" s="6" t="inlineStr">
        <is>
          <t>Nuvelle</t>
        </is>
      </c>
      <c r="F633" s="6" t="inlineStr">
        <is>
          <t>Soft Drinks &amp; Water</t>
        </is>
      </c>
      <c r="G633" s="6" t="inlineStr">
        <is>
          <t>Water</t>
        </is>
      </c>
      <c r="H633" s="6" t="inlineStr">
        <is>
          <t>yes</t>
        </is>
      </c>
      <c r="I633" s="6" t="inlineStr">
        <is>
          <t>Plant-based non-core</t>
        </is>
      </c>
      <c r="J633" s="6" t="inlineStr">
        <is>
          <t>A</t>
        </is>
      </c>
      <c r="K633" s="6" t="inlineStr">
        <is>
          <t>All ingredients on one side</t>
        </is>
      </c>
      <c r="L633" s="6" t="n">
        <v>0</v>
      </c>
      <c r="M633" s="6" t="inlineStr">
        <is>
          <t>Altera reference base</t>
        </is>
      </c>
      <c r="N633" s="6" t="n">
        <v>0</v>
      </c>
      <c r="O633" s="6" t="n">
        <v>0</v>
      </c>
      <c r="P633" s="6" t="inlineStr">
        <is>
          <t>no</t>
        </is>
      </c>
      <c r="Q633" s="6" t="n"/>
      <c r="R633" s="6" t="n"/>
      <c r="S633" s="6" t="n"/>
      <c r="T633" s="6" t="n"/>
      <c r="U633" s="6" t="n"/>
      <c r="V633" s="6" t="inlineStr">
        <is>
          <t>beverage</t>
        </is>
      </c>
      <c r="W633" s="6" t="n">
        <v>1</v>
      </c>
      <c r="X633" s="6" t="n">
        <v>6</v>
      </c>
      <c r="Y633" s="6" t="inlineStr">
        <is>
          <t>declared</t>
        </is>
      </c>
      <c r="Z633" s="8" t="n">
        <v>45846</v>
      </c>
      <c r="AA633" s="9">
        <f>IF(H633="yes",Z633*X633,0)</f>
        <v/>
      </c>
      <c r="AB633" s="9">
        <f>IF(H633="yes",AA633*N(L633)/100,0)</f>
        <v/>
      </c>
      <c r="AC633" s="9">
        <f>IF(H633="yes",AA633*N(N633)/100,0)</f>
        <v/>
      </c>
      <c r="AD633" s="9">
        <f>IF(H633="yes",AA633*N(O633)/100,0)</f>
        <v/>
      </c>
      <c r="AE633" s="10">
        <f>IF(P633="yes",AA633/1000,0)</f>
        <v/>
      </c>
      <c r="AF633" s="10">
        <f>IF(R633="FG2",AE633*W633,AE633)</f>
        <v/>
      </c>
    </row>
    <row r="634">
      <c r="A634" s="6" t="inlineStr">
        <is>
          <t>HM00632</t>
        </is>
      </c>
      <c r="B634" s="7" t="inlineStr">
        <is>
          <t>4012345619362</t>
        </is>
      </c>
      <c r="C634" s="6" t="inlineStr">
        <is>
          <t>HM TOMATOES VINE 500G</t>
        </is>
      </c>
      <c r="D634" s="6" t="inlineStr">
        <is>
          <t>Vine tomatoes, 500g</t>
        </is>
      </c>
      <c r="E634" s="6" t="inlineStr">
        <is>
          <t>Harbour Market</t>
        </is>
      </c>
      <c r="F634" s="6" t="inlineStr">
        <is>
          <t>Fruit &amp; Vegetables</t>
        </is>
      </c>
      <c r="G634" s="6" t="inlineStr">
        <is>
          <t>Vegetables</t>
        </is>
      </c>
      <c r="H634" s="6" t="inlineStr">
        <is>
          <t>yes</t>
        </is>
      </c>
      <c r="I634" s="6" t="inlineStr">
        <is>
          <t>Plant-based non-core</t>
        </is>
      </c>
      <c r="J634" s="6" t="inlineStr">
        <is>
          <t>B</t>
        </is>
      </c>
      <c r="K634" s="6" t="inlineStr">
        <is>
          <t>Follows the class</t>
        </is>
      </c>
      <c r="L634" s="6" t="n">
        <v>0.92</v>
      </c>
      <c r="M634" s="6" t="inlineStr">
        <is>
          <t>Open Food Facts, by EAN</t>
        </is>
      </c>
      <c r="N634" s="6" t="n">
        <v>0.92</v>
      </c>
      <c r="O634" s="6" t="n">
        <v>0</v>
      </c>
      <c r="P634" s="6" t="inlineStr">
        <is>
          <t>yes</t>
        </is>
      </c>
      <c r="Q634" s="6" t="inlineStr">
        <is>
          <t>whole</t>
        </is>
      </c>
      <c r="R634" s="6" t="inlineStr">
        <is>
          <t>FG4</t>
        </is>
      </c>
      <c r="S634" s="6" t="n"/>
      <c r="T634" s="6" t="inlineStr">
        <is>
          <t>plant</t>
        </is>
      </c>
      <c r="U634" s="6" t="n"/>
      <c r="V634" s="6" t="n"/>
      <c r="W634" s="6" t="n">
        <v>1</v>
      </c>
      <c r="X634" s="6" t="n">
        <v>0.5</v>
      </c>
      <c r="Y634" s="6" t="inlineStr">
        <is>
          <t>declared</t>
        </is>
      </c>
      <c r="Z634" s="8" t="n">
        <v>85294</v>
      </c>
      <c r="AA634" s="9">
        <f>IF(H634="yes",Z634*X634,0)</f>
        <v/>
      </c>
      <c r="AB634" s="9">
        <f>IF(H634="yes",AA634*N(L634)/100,0)</f>
        <v/>
      </c>
      <c r="AC634" s="9">
        <f>IF(H634="yes",AA634*N(N634)/100,0)</f>
        <v/>
      </c>
      <c r="AD634" s="9">
        <f>IF(H634="yes",AA634*N(O634)/100,0)</f>
        <v/>
      </c>
      <c r="AE634" s="10">
        <f>IF(P634="yes",AA634/1000,0)</f>
        <v/>
      </c>
      <c r="AF634" s="10">
        <f>IF(R634="FG2",AE634*W634,AE634)</f>
        <v/>
      </c>
    </row>
    <row r="635">
      <c r="A635" s="6" t="inlineStr">
        <is>
          <t>HM00633</t>
        </is>
      </c>
      <c r="B635" s="7" t="inlineStr">
        <is>
          <t>4012345405163</t>
        </is>
      </c>
      <c r="C635" s="6" t="inlineStr">
        <is>
          <t>HM SALTED PEANUTS 200G</t>
        </is>
      </c>
      <c r="D635" s="6" t="inlineStr">
        <is>
          <t>Salted peanuts, 200g</t>
        </is>
      </c>
      <c r="E635" s="6" t="inlineStr">
        <is>
          <t>Harbour Market</t>
        </is>
      </c>
      <c r="F635" s="6" t="inlineStr">
        <is>
          <t>Grocery</t>
        </is>
      </c>
      <c r="G635" s="6" t="inlineStr">
        <is>
          <t>Nuts &amp; Seeds</t>
        </is>
      </c>
      <c r="H635" s="6" t="inlineStr">
        <is>
          <t>yes</t>
        </is>
      </c>
      <c r="I635" s="6" t="inlineStr">
        <is>
          <t>Plant-based core</t>
        </is>
      </c>
      <c r="J635" s="6" t="inlineStr">
        <is>
          <t>A</t>
        </is>
      </c>
      <c r="K635" s="6" t="inlineStr">
        <is>
          <t>All ingredients on one side</t>
        </is>
      </c>
      <c r="L635" s="6" t="n">
        <v>26</v>
      </c>
      <c r="M635" s="6" t="inlineStr">
        <is>
          <t>Declared by the retailer</t>
        </is>
      </c>
      <c r="N635" s="6" t="n">
        <v>26</v>
      </c>
      <c r="O635" s="6" t="n">
        <v>0</v>
      </c>
      <c r="P635" s="6" t="inlineStr">
        <is>
          <t>yes</t>
        </is>
      </c>
      <c r="Q635" s="6" t="inlineStr">
        <is>
          <t>whole</t>
        </is>
      </c>
      <c r="R635" s="6" t="inlineStr">
        <is>
          <t>FG1</t>
        </is>
      </c>
      <c r="S635" s="6" t="inlineStr">
        <is>
          <t>nuts</t>
        </is>
      </c>
      <c r="T635" s="6" t="inlineStr">
        <is>
          <t>plant</t>
        </is>
      </c>
      <c r="U635" s="6" t="n"/>
      <c r="V635" s="6" t="n"/>
      <c r="W635" s="6" t="n">
        <v>1</v>
      </c>
      <c r="X635" s="6" t="n">
        <v>0.2</v>
      </c>
      <c r="Y635" s="6" t="inlineStr">
        <is>
          <t>declared</t>
        </is>
      </c>
      <c r="Z635" s="8" t="n">
        <v>30492</v>
      </c>
      <c r="AA635" s="9">
        <f>IF(H635="yes",Z635*X635,0)</f>
        <v/>
      </c>
      <c r="AB635" s="9">
        <f>IF(H635="yes",AA635*N(L635)/100,0)</f>
        <v/>
      </c>
      <c r="AC635" s="9">
        <f>IF(H635="yes",AA635*N(N635)/100,0)</f>
        <v/>
      </c>
      <c r="AD635" s="9">
        <f>IF(H635="yes",AA635*N(O635)/100,0)</f>
        <v/>
      </c>
      <c r="AE635" s="10">
        <f>IF(P635="yes",AA635/1000,0)</f>
        <v/>
      </c>
      <c r="AF635" s="10">
        <f>IF(R635="FG2",AE635*W635,AE635)</f>
        <v/>
      </c>
    </row>
    <row r="636">
      <c r="A636" s="6" t="inlineStr">
        <is>
          <t>HM00634</t>
        </is>
      </c>
      <c r="B636" s="7" t="inlineStr">
        <is>
          <t>4012345933673</t>
        </is>
      </c>
      <c r="C636" s="6" t="inlineStr">
        <is>
          <t>HM DARK CHOC ORANGE 100G</t>
        </is>
      </c>
      <c r="D636" s="6" t="inlineStr">
        <is>
          <t>Dark chocolate with orange, 100g</t>
        </is>
      </c>
      <c r="E636" s="6" t="inlineStr">
        <is>
          <t>Harbour Market</t>
        </is>
      </c>
      <c r="F636" s="6" t="inlineStr">
        <is>
          <t>Breakfast &amp; Snacks</t>
        </is>
      </c>
      <c r="G636" s="6" t="inlineStr">
        <is>
          <t>Chocolate</t>
        </is>
      </c>
      <c r="H636" s="6" t="inlineStr">
        <is>
          <t>yes</t>
        </is>
      </c>
      <c r="I636" s="6" t="inlineStr">
        <is>
          <t>Plant-based non-core</t>
        </is>
      </c>
      <c r="J636" s="6" t="inlineStr">
        <is>
          <t>B</t>
        </is>
      </c>
      <c r="K636" s="6" t="inlineStr">
        <is>
          <t>Follows the class</t>
        </is>
      </c>
      <c r="L636" s="6" t="n">
        <v>8.1</v>
      </c>
      <c r="M636" s="6" t="inlineStr">
        <is>
          <t>Altera reference base</t>
        </is>
      </c>
      <c r="N636" s="6" t="n">
        <v>8.1</v>
      </c>
      <c r="O636" s="6" t="n">
        <v>0</v>
      </c>
      <c r="P636" s="6" t="inlineStr">
        <is>
          <t>yes</t>
        </is>
      </c>
      <c r="Q636" s="6" t="inlineStr">
        <is>
          <t>whole</t>
        </is>
      </c>
      <c r="R636" s="6" t="inlineStr">
        <is>
          <t>FG7</t>
        </is>
      </c>
      <c r="S636" s="6" t="n"/>
      <c r="T636" s="6" t="inlineStr">
        <is>
          <t>plant</t>
        </is>
      </c>
      <c r="U636" s="6" t="n"/>
      <c r="V636" s="6" t="n"/>
      <c r="W636" s="6" t="n">
        <v>1</v>
      </c>
      <c r="X636" s="6" t="n">
        <v>0.1</v>
      </c>
      <c r="Y636" s="6" t="inlineStr">
        <is>
          <t>label</t>
        </is>
      </c>
      <c r="Z636" s="8" t="n">
        <v>20716</v>
      </c>
      <c r="AA636" s="9">
        <f>IF(H636="yes",Z636*X636,0)</f>
        <v/>
      </c>
      <c r="AB636" s="9">
        <f>IF(H636="yes",AA636*N(L636)/100,0)</f>
        <v/>
      </c>
      <c r="AC636" s="9">
        <f>IF(H636="yes",AA636*N(N636)/100,0)</f>
        <v/>
      </c>
      <c r="AD636" s="9">
        <f>IF(H636="yes",AA636*N(O636)/100,0)</f>
        <v/>
      </c>
      <c r="AE636" s="10">
        <f>IF(P636="yes",AA636/1000,0)</f>
        <v/>
      </c>
      <c r="AF636" s="10">
        <f>IF(R636="FG2",AE636*W636,AE636)</f>
        <v/>
      </c>
    </row>
    <row r="637">
      <c r="A637" s="6" t="inlineStr">
        <is>
          <t>HM00635</t>
        </is>
      </c>
      <c r="B637" s="7" t="inlineStr">
        <is>
          <t>5012345767246</t>
        </is>
      </c>
      <c r="C637" s="6" t="inlineStr">
        <is>
          <t>HM BROCCOLI EACH</t>
        </is>
      </c>
      <c r="D637" s="6" t="inlineStr">
        <is>
          <t>Broccoli</t>
        </is>
      </c>
      <c r="E637" s="6" t="inlineStr">
        <is>
          <t>Harbour Market</t>
        </is>
      </c>
      <c r="F637" s="6" t="inlineStr">
        <is>
          <t>Fruit &amp; Vegetables</t>
        </is>
      </c>
      <c r="G637" s="6" t="inlineStr">
        <is>
          <t>Vegetables</t>
        </is>
      </c>
      <c r="H637" s="6" t="inlineStr">
        <is>
          <t>yes</t>
        </is>
      </c>
      <c r="I637" s="6" t="inlineStr">
        <is>
          <t>Plant-based non-core</t>
        </is>
      </c>
      <c r="J637" s="6" t="inlineStr">
        <is>
          <t>B</t>
        </is>
      </c>
      <c r="K637" s="6" t="inlineStr">
        <is>
          <t>Follows the class</t>
        </is>
      </c>
      <c r="L637" s="6" t="n">
        <v>2.7</v>
      </c>
      <c r="M637" s="6" t="inlineStr">
        <is>
          <t>Declared by the retailer</t>
        </is>
      </c>
      <c r="N637" s="6" t="n">
        <v>2.7</v>
      </c>
      <c r="O637" s="6" t="n">
        <v>0</v>
      </c>
      <c r="P637" s="6" t="inlineStr">
        <is>
          <t>yes</t>
        </is>
      </c>
      <c r="Q637" s="6" t="inlineStr">
        <is>
          <t>whole</t>
        </is>
      </c>
      <c r="R637" s="6" t="inlineStr">
        <is>
          <t>FG4</t>
        </is>
      </c>
      <c r="S637" s="6" t="n"/>
      <c r="T637" s="6" t="inlineStr">
        <is>
          <t>plant</t>
        </is>
      </c>
      <c r="U637" s="6" t="n"/>
      <c r="V637" s="6" t="n"/>
      <c r="W637" s="6" t="n">
        <v>1</v>
      </c>
      <c r="X637" s="6" t="n">
        <v>0.35</v>
      </c>
      <c r="Y637" s="6" t="inlineStr">
        <is>
          <t>typical_piece</t>
        </is>
      </c>
      <c r="Z637" s="8" t="n">
        <v>44538</v>
      </c>
      <c r="AA637" s="9">
        <f>IF(H637="yes",Z637*X637,0)</f>
        <v/>
      </c>
      <c r="AB637" s="9">
        <f>IF(H637="yes",AA637*N(L637)/100,0)</f>
        <v/>
      </c>
      <c r="AC637" s="9">
        <f>IF(H637="yes",AA637*N(N637)/100,0)</f>
        <v/>
      </c>
      <c r="AD637" s="9">
        <f>IF(H637="yes",AA637*N(O637)/100,0)</f>
        <v/>
      </c>
      <c r="AE637" s="10">
        <f>IF(P637="yes",AA637/1000,0)</f>
        <v/>
      </c>
      <c r="AF637" s="10">
        <f>IF(R637="FG2",AE637*W637,AE637)</f>
        <v/>
      </c>
    </row>
    <row r="638">
      <c r="A638" s="6" t="inlineStr">
        <is>
          <t>HM00636</t>
        </is>
      </c>
      <c r="B638" s="7" t="inlineStr">
        <is>
          <t>8712345324230</t>
        </is>
      </c>
      <c r="C638" s="6" t="inlineStr">
        <is>
          <t>PROTEIN SHAKE CHOC 330ML FJELDA</t>
        </is>
      </c>
      <c r="D638" s="6" t="inlineStr">
        <is>
          <t>Chocolate protein shake, 330ml</t>
        </is>
      </c>
      <c r="E638" s="6" t="inlineStr">
        <is>
          <t>Fjelda</t>
        </is>
      </c>
      <c r="F638" s="6" t="inlineStr">
        <is>
          <t>Soft Drinks &amp; Water</t>
        </is>
      </c>
      <c r="G638" s="6" t="inlineStr">
        <is>
          <t>Sports Nutrition</t>
        </is>
      </c>
      <c r="H638" s="6" t="inlineStr">
        <is>
          <t>yes</t>
        </is>
      </c>
      <c r="I638" s="6" t="inlineStr">
        <is>
          <t>Animal core</t>
        </is>
      </c>
      <c r="J638" s="6" t="inlineStr">
        <is>
          <t>B</t>
        </is>
      </c>
      <c r="K638" s="6" t="inlineStr">
        <is>
          <t>First ingredient (step 4a)</t>
        </is>
      </c>
      <c r="L638" s="6" t="n">
        <v>7.1</v>
      </c>
      <c r="M638" s="6" t="inlineStr">
        <is>
          <t>Declared by the retailer</t>
        </is>
      </c>
      <c r="N638" s="6" t="n">
        <v>0</v>
      </c>
      <c r="O638" s="6" t="n">
        <v>7.1</v>
      </c>
      <c r="P638" s="6" t="inlineStr">
        <is>
          <t>yes</t>
        </is>
      </c>
      <c r="Q638" s="6" t="inlineStr">
        <is>
          <t>whole</t>
        </is>
      </c>
      <c r="R638" s="6" t="inlineStr">
        <is>
          <t>FG2</t>
        </is>
      </c>
      <c r="S638" s="6" t="inlineStr">
        <is>
          <t>dairy</t>
        </is>
      </c>
      <c r="T638" s="6" t="inlineStr">
        <is>
          <t>animal</t>
        </is>
      </c>
      <c r="U638" s="6" t="n"/>
      <c r="V638" s="6" t="n"/>
      <c r="W638" s="6" t="n">
        <v>1</v>
      </c>
      <c r="X638" s="6" t="n">
        <v>0.34</v>
      </c>
      <c r="Y638" s="6" t="inlineStr">
        <is>
          <t>declared</t>
        </is>
      </c>
      <c r="Z638" s="8" t="n">
        <v>19352</v>
      </c>
      <c r="AA638" s="9">
        <f>IF(H638="yes",Z638*X638,0)</f>
        <v/>
      </c>
      <c r="AB638" s="9">
        <f>IF(H638="yes",AA638*N(L638)/100,0)</f>
        <v/>
      </c>
      <c r="AC638" s="9">
        <f>IF(H638="yes",AA638*N(N638)/100,0)</f>
        <v/>
      </c>
      <c r="AD638" s="9">
        <f>IF(H638="yes",AA638*N(O638)/100,0)</f>
        <v/>
      </c>
      <c r="AE638" s="10">
        <f>IF(P638="yes",AA638/1000,0)</f>
        <v/>
      </c>
      <c r="AF638" s="10">
        <f>IF(R638="FG2",AE638*W638,AE638)</f>
        <v/>
      </c>
    </row>
    <row r="639">
      <c r="A639" s="6" t="inlineStr">
        <is>
          <t>HM00637</t>
        </is>
      </c>
      <c r="B639" s="7" t="inlineStr">
        <is>
          <t>4012345416879</t>
        </is>
      </c>
      <c r="C639" s="6" t="inlineStr">
        <is>
          <t>HM GINGER NUTS 300G</t>
        </is>
      </c>
      <c r="D639" s="6" t="inlineStr">
        <is>
          <t>Ginger nut biscuits, 300g</t>
        </is>
      </c>
      <c r="E639" s="6" t="inlineStr">
        <is>
          <t>Harbour Market</t>
        </is>
      </c>
      <c r="F639" s="6" t="inlineStr">
        <is>
          <t>Breakfast &amp; Snacks</t>
        </is>
      </c>
      <c r="G639" s="6" t="inlineStr">
        <is>
          <t>Biscuits</t>
        </is>
      </c>
      <c r="H639" s="6" t="inlineStr">
        <is>
          <t>yes</t>
        </is>
      </c>
      <c r="I639" s="6" t="inlineStr">
        <is>
          <t>Plant-based non-core</t>
        </is>
      </c>
      <c r="J639" s="6" t="inlineStr">
        <is>
          <t>B</t>
        </is>
      </c>
      <c r="K639" s="6" t="inlineStr">
        <is>
          <t>Follows the class</t>
        </is>
      </c>
      <c r="L639" s="6" t="n">
        <v>7.3</v>
      </c>
      <c r="M639" s="6" t="inlineStr">
        <is>
          <t>Open Food Facts, by EAN</t>
        </is>
      </c>
      <c r="N639" s="6" t="n">
        <v>7.3</v>
      </c>
      <c r="O639" s="6" t="n">
        <v>0</v>
      </c>
      <c r="P639" s="6" t="inlineStr">
        <is>
          <t>yes</t>
        </is>
      </c>
      <c r="Q639" s="6" t="inlineStr">
        <is>
          <t>whole</t>
        </is>
      </c>
      <c r="R639" s="6" t="inlineStr">
        <is>
          <t>FG7</t>
        </is>
      </c>
      <c r="S639" s="6" t="n"/>
      <c r="T639" s="6" t="inlineStr">
        <is>
          <t>plant</t>
        </is>
      </c>
      <c r="U639" s="6" t="n"/>
      <c r="V639" s="6" t="n"/>
      <c r="W639" s="6" t="n">
        <v>1</v>
      </c>
      <c r="X639" s="6" t="n">
        <v>0.3</v>
      </c>
      <c r="Y639" s="6" t="inlineStr">
        <is>
          <t>declared</t>
        </is>
      </c>
      <c r="Z639" s="8" t="n">
        <v>102717</v>
      </c>
      <c r="AA639" s="9">
        <f>IF(H639="yes",Z639*X639,0)</f>
        <v/>
      </c>
      <c r="AB639" s="9">
        <f>IF(H639="yes",AA639*N(L639)/100,0)</f>
        <v/>
      </c>
      <c r="AC639" s="9">
        <f>IF(H639="yes",AA639*N(N639)/100,0)</f>
        <v/>
      </c>
      <c r="AD639" s="9">
        <f>IF(H639="yes",AA639*N(O639)/100,0)</f>
        <v/>
      </c>
      <c r="AE639" s="10">
        <f>IF(P639="yes",AA639/1000,0)</f>
        <v/>
      </c>
      <c r="AF639" s="10">
        <f>IF(R639="FG2",AE639*W639,AE639)</f>
        <v/>
      </c>
    </row>
    <row r="640">
      <c r="A640" s="6" t="inlineStr">
        <is>
          <t>HM00638</t>
        </is>
      </c>
      <c r="B640" s="7" t="inlineStr">
        <is>
          <t>4012345212266</t>
        </is>
      </c>
      <c r="C640" s="6" t="inlineStr">
        <is>
          <t>HM CRINKLE CUT CHIPS 1.5KG</t>
        </is>
      </c>
      <c r="D640" s="6" t="inlineStr">
        <is>
          <t>Crinkle-cut chips, 1.5kg</t>
        </is>
      </c>
      <c r="E640" s="6" t="inlineStr">
        <is>
          <t>Harbour Market</t>
        </is>
      </c>
      <c r="F640" s="6" t="inlineStr">
        <is>
          <t>Frozen</t>
        </is>
      </c>
      <c r="G640" s="6" t="inlineStr">
        <is>
          <t>Frozen Potatoes</t>
        </is>
      </c>
      <c r="H640" s="6" t="inlineStr">
        <is>
          <t>yes</t>
        </is>
      </c>
      <c r="I640" s="6" t="inlineStr">
        <is>
          <t>Plant-based non-core</t>
        </is>
      </c>
      <c r="J640" s="6" t="inlineStr">
        <is>
          <t>A</t>
        </is>
      </c>
      <c r="K640" s="6" t="inlineStr">
        <is>
          <t>All ingredients on one side</t>
        </is>
      </c>
      <c r="L640" s="6" t="n">
        <v>2.4</v>
      </c>
      <c r="M640" s="6" t="inlineStr">
        <is>
          <t>Median of the family</t>
        </is>
      </c>
      <c r="N640" s="6" t="n">
        <v>2.4</v>
      </c>
      <c r="O640" s="6" t="n">
        <v>0</v>
      </c>
      <c r="P640" s="6" t="inlineStr">
        <is>
          <t>yes</t>
        </is>
      </c>
      <c r="Q640" s="6" t="inlineStr">
        <is>
          <t>whole</t>
        </is>
      </c>
      <c r="R640" s="6" t="inlineStr">
        <is>
          <t>FG7</t>
        </is>
      </c>
      <c r="S640" s="6" t="n"/>
      <c r="T640" s="6" t="inlineStr">
        <is>
          <t>plant</t>
        </is>
      </c>
      <c r="U640" s="6" t="n"/>
      <c r="V640" s="6" t="n"/>
      <c r="W640" s="6" t="n">
        <v>1</v>
      </c>
      <c r="X640" s="6" t="n">
        <v>1.5</v>
      </c>
      <c r="Y640" s="6" t="inlineStr">
        <is>
          <t>declared</t>
        </is>
      </c>
      <c r="Z640" s="8" t="n">
        <v>26519</v>
      </c>
      <c r="AA640" s="9">
        <f>IF(H640="yes",Z640*X640,0)</f>
        <v/>
      </c>
      <c r="AB640" s="9">
        <f>IF(H640="yes",AA640*N(L640)/100,0)</f>
        <v/>
      </c>
      <c r="AC640" s="9">
        <f>IF(H640="yes",AA640*N(N640)/100,0)</f>
        <v/>
      </c>
      <c r="AD640" s="9">
        <f>IF(H640="yes",AA640*N(O640)/100,0)</f>
        <v/>
      </c>
      <c r="AE640" s="10">
        <f>IF(P640="yes",AA640/1000,0)</f>
        <v/>
      </c>
      <c r="AF640" s="10">
        <f>IF(R640="FG2",AE640*W640,AE640)</f>
        <v/>
      </c>
    </row>
    <row r="641">
      <c r="A641" s="6" t="inlineStr">
        <is>
          <t>HM00639</t>
        </is>
      </c>
      <c r="B641" s="7" t="inlineStr">
        <is>
          <t>8712345649364</t>
        </is>
      </c>
      <c r="C641" s="6" t="inlineStr">
        <is>
          <t>CASTELNA WHITE WINE SAUV BLANC 3X75CL</t>
        </is>
      </c>
      <c r="D641" s="6" t="inlineStr">
        <is>
          <t>Sauvignon blanc white wine, 3x75cl</t>
        </is>
      </c>
      <c r="E641" s="6" t="inlineStr">
        <is>
          <t>Castelna</t>
        </is>
      </c>
      <c r="F641" s="6" t="inlineStr">
        <is>
          <t>Beer, Wine &amp; Spirits</t>
        </is>
      </c>
      <c r="G641" s="6" t="inlineStr">
        <is>
          <t>Wine</t>
        </is>
      </c>
      <c r="H641" s="6" t="inlineStr">
        <is>
          <t>yes</t>
        </is>
      </c>
      <c r="I641" s="6" t="inlineStr">
        <is>
          <t>Plant-based non-core</t>
        </is>
      </c>
      <c r="J641" s="6" t="inlineStr">
        <is>
          <t>B</t>
        </is>
      </c>
      <c r="K641" s="6" t="inlineStr">
        <is>
          <t>Follows the class</t>
        </is>
      </c>
      <c r="L641" s="6" t="n">
        <v>0.1</v>
      </c>
      <c r="M641" s="6" t="inlineStr">
        <is>
          <t>Altera reference base</t>
        </is>
      </c>
      <c r="N641" s="6" t="n">
        <v>0.1</v>
      </c>
      <c r="O641" s="6" t="n">
        <v>0</v>
      </c>
      <c r="P641" s="6" t="inlineStr">
        <is>
          <t>no</t>
        </is>
      </c>
      <c r="Q641" s="6" t="n"/>
      <c r="R641" s="6" t="n"/>
      <c r="S641" s="6" t="n"/>
      <c r="T641" s="6" t="n"/>
      <c r="U641" s="6" t="n"/>
      <c r="V641" s="6" t="inlineStr">
        <is>
          <t>alcohol</t>
        </is>
      </c>
      <c r="W641" s="6" t="n">
        <v>1</v>
      </c>
      <c r="X641" s="6" t="n">
        <v>2.25</v>
      </c>
      <c r="Y641" s="6" t="inlineStr">
        <is>
          <t>declared</t>
        </is>
      </c>
      <c r="Z641" s="8" t="n">
        <v>23230</v>
      </c>
      <c r="AA641" s="9">
        <f>IF(H641="yes",Z641*X641,0)</f>
        <v/>
      </c>
      <c r="AB641" s="9">
        <f>IF(H641="yes",AA641*N(L641)/100,0)</f>
        <v/>
      </c>
      <c r="AC641" s="9">
        <f>IF(H641="yes",AA641*N(N641)/100,0)</f>
        <v/>
      </c>
      <c r="AD641" s="9">
        <f>IF(H641="yes",AA641*N(O641)/100,0)</f>
        <v/>
      </c>
      <c r="AE641" s="10">
        <f>IF(P641="yes",AA641/1000,0)</f>
        <v/>
      </c>
      <c r="AF641" s="10">
        <f>IF(R641="FG2",AE641*W641,AE641)</f>
        <v/>
      </c>
    </row>
    <row r="642">
      <c r="A642" s="6" t="inlineStr">
        <is>
          <t>HM00640</t>
        </is>
      </c>
      <c r="B642" s="7" t="inlineStr">
        <is>
          <t>4012345889628</t>
        </is>
      </c>
      <c r="C642" s="6" t="inlineStr">
        <is>
          <t>OVEN CHIPS 750G PENROCK</t>
        </is>
      </c>
      <c r="D642" s="6" t="inlineStr">
        <is>
          <t>Oven chips, 750g</t>
        </is>
      </c>
      <c r="E642" s="6" t="inlineStr">
        <is>
          <t>Penrock</t>
        </is>
      </c>
      <c r="F642" s="6" t="inlineStr">
        <is>
          <t>Frozen</t>
        </is>
      </c>
      <c r="G642" s="6" t="inlineStr">
        <is>
          <t>Frozen Potatoes</t>
        </is>
      </c>
      <c r="H642" s="6" t="inlineStr">
        <is>
          <t>yes</t>
        </is>
      </c>
      <c r="I642" s="6" t="inlineStr">
        <is>
          <t>Plant-based non-core</t>
        </is>
      </c>
      <c r="J642" s="6" t="inlineStr">
        <is>
          <t>A</t>
        </is>
      </c>
      <c r="K642" s="6" t="inlineStr">
        <is>
          <t>All ingredients on one side</t>
        </is>
      </c>
      <c r="L642" s="6" t="n">
        <v>2.6</v>
      </c>
      <c r="M642" s="6" t="inlineStr">
        <is>
          <t>Declared by the retailer</t>
        </is>
      </c>
      <c r="N642" s="6" t="n">
        <v>2.6</v>
      </c>
      <c r="O642" s="6" t="n">
        <v>0</v>
      </c>
      <c r="P642" s="6" t="inlineStr">
        <is>
          <t>yes</t>
        </is>
      </c>
      <c r="Q642" s="6" t="inlineStr">
        <is>
          <t>whole</t>
        </is>
      </c>
      <c r="R642" s="6" t="inlineStr">
        <is>
          <t>FG7</t>
        </is>
      </c>
      <c r="S642" s="6" t="n"/>
      <c r="T642" s="6" t="inlineStr">
        <is>
          <t>plant</t>
        </is>
      </c>
      <c r="U642" s="6" t="n"/>
      <c r="V642" s="6" t="n"/>
      <c r="W642" s="6" t="n">
        <v>1</v>
      </c>
      <c r="X642" s="6" t="n">
        <v>0.75</v>
      </c>
      <c r="Y642" s="6" t="inlineStr">
        <is>
          <t>declared</t>
        </is>
      </c>
      <c r="Z642" s="8" t="n">
        <v>48905</v>
      </c>
      <c r="AA642" s="9">
        <f>IF(H642="yes",Z642*X642,0)</f>
        <v/>
      </c>
      <c r="AB642" s="9">
        <f>IF(H642="yes",AA642*N(L642)/100,0)</f>
        <v/>
      </c>
      <c r="AC642" s="9">
        <f>IF(H642="yes",AA642*N(N642)/100,0)</f>
        <v/>
      </c>
      <c r="AD642" s="9">
        <f>IF(H642="yes",AA642*N(O642)/100,0)</f>
        <v/>
      </c>
      <c r="AE642" s="10">
        <f>IF(P642="yes",AA642/1000,0)</f>
        <v/>
      </c>
      <c r="AF642" s="10">
        <f>IF(R642="FG2",AE642*W642,AE642)</f>
        <v/>
      </c>
    </row>
    <row r="643">
      <c r="A643" s="6" t="inlineStr">
        <is>
          <t>HM00641</t>
        </is>
      </c>
      <c r="B643" s="7" t="inlineStr">
        <is>
          <t>5012345451893</t>
        </is>
      </c>
      <c r="C643" s="6" t="inlineStr">
        <is>
          <t>BF DICED STEW 500G TARROW</t>
        </is>
      </c>
      <c r="D643" s="6" t="inlineStr">
        <is>
          <t>Diced beef for stewing, 500g</t>
        </is>
      </c>
      <c r="E643" s="6" t="inlineStr">
        <is>
          <t>Tarrow Farm</t>
        </is>
      </c>
      <c r="F643" s="6" t="inlineStr">
        <is>
          <t>Fresh Meat &amp; Poultry</t>
        </is>
      </c>
      <c r="G643" s="6" t="inlineStr">
        <is>
          <t>Beef</t>
        </is>
      </c>
      <c r="H643" s="6" t="inlineStr">
        <is>
          <t>yes</t>
        </is>
      </c>
      <c r="I643" s="6" t="inlineStr">
        <is>
          <t>Animal core</t>
        </is>
      </c>
      <c r="J643" s="6" t="inlineStr">
        <is>
          <t>B</t>
        </is>
      </c>
      <c r="K643" s="6" t="inlineStr">
        <is>
          <t>Follows the class</t>
        </is>
      </c>
      <c r="L643" s="6" t="n">
        <v>23.2</v>
      </c>
      <c r="M643" s="6" t="inlineStr">
        <is>
          <t>Declared by the retailer</t>
        </is>
      </c>
      <c r="N643" s="6" t="n">
        <v>0</v>
      </c>
      <c r="O643" s="6" t="n">
        <v>23.2</v>
      </c>
      <c r="P643" s="6" t="inlineStr">
        <is>
          <t>yes</t>
        </is>
      </c>
      <c r="Q643" s="6" t="inlineStr">
        <is>
          <t>whole</t>
        </is>
      </c>
      <c r="R643" s="6" t="inlineStr">
        <is>
          <t>FG1</t>
        </is>
      </c>
      <c r="S643" s="6" t="inlineStr">
        <is>
          <t>red meat</t>
        </is>
      </c>
      <c r="T643" s="6" t="inlineStr">
        <is>
          <t>animal</t>
        </is>
      </c>
      <c r="U643" s="6" t="n"/>
      <c r="V643" s="6" t="n"/>
      <c r="W643" s="6" t="n">
        <v>1</v>
      </c>
      <c r="X643" s="6" t="n">
        <v>0.5</v>
      </c>
      <c r="Y643" s="6" t="inlineStr">
        <is>
          <t>declared</t>
        </is>
      </c>
      <c r="Z643" s="8" t="n">
        <v>14212</v>
      </c>
      <c r="AA643" s="9">
        <f>IF(H643="yes",Z643*X643,0)</f>
        <v/>
      </c>
      <c r="AB643" s="9">
        <f>IF(H643="yes",AA643*N(L643)/100,0)</f>
        <v/>
      </c>
      <c r="AC643" s="9">
        <f>IF(H643="yes",AA643*N(N643)/100,0)</f>
        <v/>
      </c>
      <c r="AD643" s="9">
        <f>IF(H643="yes",AA643*N(O643)/100,0)</f>
        <v/>
      </c>
      <c r="AE643" s="10">
        <f>IF(P643="yes",AA643/1000,0)</f>
        <v/>
      </c>
      <c r="AF643" s="10">
        <f>IF(R643="FG2",AE643*W643,AE643)</f>
        <v/>
      </c>
    </row>
    <row r="644">
      <c r="A644" s="6" t="inlineStr">
        <is>
          <t>HM00642</t>
        </is>
      </c>
      <c r="B644" s="7" t="inlineStr">
        <is>
          <t>5012345017563</t>
        </is>
      </c>
      <c r="C644" s="6" t="inlineStr">
        <is>
          <t>HM BANANAS 1KG</t>
        </is>
      </c>
      <c r="D644" s="6" t="inlineStr">
        <is>
          <t>Bananas, 1kg</t>
        </is>
      </c>
      <c r="E644" s="6" t="inlineStr">
        <is>
          <t>Harbour Market</t>
        </is>
      </c>
      <c r="F644" s="6" t="inlineStr">
        <is>
          <t>Fruit &amp; Vegetables</t>
        </is>
      </c>
      <c r="G644" s="6" t="inlineStr">
        <is>
          <t>Fruit</t>
        </is>
      </c>
      <c r="H644" s="6" t="inlineStr">
        <is>
          <t>yes</t>
        </is>
      </c>
      <c r="I644" s="6" t="inlineStr">
        <is>
          <t>Plant-based non-core</t>
        </is>
      </c>
      <c r="J644" s="6" t="inlineStr">
        <is>
          <t>B</t>
        </is>
      </c>
      <c r="K644" s="6" t="inlineStr">
        <is>
          <t>Follows the class</t>
        </is>
      </c>
      <c r="L644" s="6" t="n">
        <v>1.1</v>
      </c>
      <c r="M644" s="6" t="inlineStr">
        <is>
          <t>Name match (CIQUAL / NEVO)</t>
        </is>
      </c>
      <c r="N644" s="6" t="n">
        <v>1.1</v>
      </c>
      <c r="O644" s="6" t="n">
        <v>0</v>
      </c>
      <c r="P644" s="6" t="inlineStr">
        <is>
          <t>yes</t>
        </is>
      </c>
      <c r="Q644" s="6" t="inlineStr">
        <is>
          <t>whole</t>
        </is>
      </c>
      <c r="R644" s="6" t="inlineStr">
        <is>
          <t>FG4</t>
        </is>
      </c>
      <c r="S644" s="6" t="n"/>
      <c r="T644" s="6" t="inlineStr">
        <is>
          <t>plant</t>
        </is>
      </c>
      <c r="U644" s="6" t="n"/>
      <c r="V644" s="6" t="n"/>
      <c r="W644" s="6" t="n">
        <v>1</v>
      </c>
      <c r="X644" s="6" t="n">
        <v>1</v>
      </c>
      <c r="Y644" s="6" t="inlineStr">
        <is>
          <t>label</t>
        </is>
      </c>
      <c r="Z644" s="8" t="n">
        <v>90739</v>
      </c>
      <c r="AA644" s="9">
        <f>IF(H644="yes",Z644*X644,0)</f>
        <v/>
      </c>
      <c r="AB644" s="9">
        <f>IF(H644="yes",AA644*N(L644)/100,0)</f>
        <v/>
      </c>
      <c r="AC644" s="9">
        <f>IF(H644="yes",AA644*N(N644)/100,0)</f>
        <v/>
      </c>
      <c r="AD644" s="9">
        <f>IF(H644="yes",AA644*N(O644)/100,0)</f>
        <v/>
      </c>
      <c r="AE644" s="10">
        <f>IF(P644="yes",AA644/1000,0)</f>
        <v/>
      </c>
      <c r="AF644" s="10">
        <f>IF(R644="FG2",AE644*W644,AE644)</f>
        <v/>
      </c>
    </row>
    <row r="645">
      <c r="A645" s="6" t="inlineStr">
        <is>
          <t>HM00643</t>
        </is>
      </c>
      <c r="B645" s="7" t="inlineStr">
        <is>
          <t>2253080743130</t>
        </is>
      </c>
      <c r="C645" s="6" t="inlineStr">
        <is>
          <t>HM ORANGES LOOSE</t>
        </is>
      </c>
      <c r="D645" s="6" t="inlineStr">
        <is>
          <t>Oranges</t>
        </is>
      </c>
      <c r="E645" s="6" t="inlineStr">
        <is>
          <t>Harbour Market</t>
        </is>
      </c>
      <c r="F645" s="6" t="inlineStr">
        <is>
          <t>Fruit &amp; Vegetables</t>
        </is>
      </c>
      <c r="G645" s="6" t="inlineStr">
        <is>
          <t>Fruit</t>
        </is>
      </c>
      <c r="H645" s="6" t="inlineStr">
        <is>
          <t>yes</t>
        </is>
      </c>
      <c r="I645" s="6" t="inlineStr">
        <is>
          <t>Plant-based non-core</t>
        </is>
      </c>
      <c r="J645" s="6" t="inlineStr">
        <is>
          <t>B</t>
        </is>
      </c>
      <c r="K645" s="6" t="inlineStr">
        <is>
          <t>Follows the class</t>
        </is>
      </c>
      <c r="L645" s="6" t="n">
        <v>0.88</v>
      </c>
      <c r="M645" s="6" t="inlineStr">
        <is>
          <t>Declared by the retailer</t>
        </is>
      </c>
      <c r="N645" s="6" t="n">
        <v>0.88</v>
      </c>
      <c r="O645" s="6" t="n">
        <v>0</v>
      </c>
      <c r="P645" s="6" t="inlineStr">
        <is>
          <t>yes</t>
        </is>
      </c>
      <c r="Q645" s="6" t="inlineStr">
        <is>
          <t>whole</t>
        </is>
      </c>
      <c r="R645" s="6" t="inlineStr">
        <is>
          <t>FG4</t>
        </is>
      </c>
      <c r="S645" s="6" t="n"/>
      <c r="T645" s="6" t="inlineStr">
        <is>
          <t>plant</t>
        </is>
      </c>
      <c r="U645" s="6" t="n"/>
      <c r="V645" s="6" t="n"/>
      <c r="W645" s="6" t="n">
        <v>1</v>
      </c>
      <c r="X645" s="6" t="n">
        <v>1</v>
      </c>
      <c r="Y645" s="6" t="inlineStr">
        <is>
          <t>variable</t>
        </is>
      </c>
      <c r="Z645" s="8" t="n">
        <v>86257</v>
      </c>
      <c r="AA645" s="9">
        <f>IF(H645="yes",Z645*X645,0)</f>
        <v/>
      </c>
      <c r="AB645" s="9">
        <f>IF(H645="yes",AA645*N(L645)/100,0)</f>
        <v/>
      </c>
      <c r="AC645" s="9">
        <f>IF(H645="yes",AA645*N(N645)/100,0)</f>
        <v/>
      </c>
      <c r="AD645" s="9">
        <f>IF(H645="yes",AA645*N(O645)/100,0)</f>
        <v/>
      </c>
      <c r="AE645" s="10">
        <f>IF(P645="yes",AA645/1000,0)</f>
        <v/>
      </c>
      <c r="AF645" s="10">
        <f>IF(R645="FG2",AE645*W645,AE645)</f>
        <v/>
      </c>
    </row>
    <row r="646">
      <c r="A646" s="6" t="inlineStr">
        <is>
          <t>HM00644</t>
        </is>
      </c>
      <c r="B646" s="7" t="inlineStr">
        <is>
          <t>8712345932268</t>
        </is>
      </c>
      <c r="C646" s="6" t="inlineStr">
        <is>
          <t>HM SELF RAISING FLOUR 500G</t>
        </is>
      </c>
      <c r="D646" s="6" t="inlineStr">
        <is>
          <t>Self-raising flour, 500g</t>
        </is>
      </c>
      <c r="E646" s="6" t="inlineStr">
        <is>
          <t>Harbour Market</t>
        </is>
      </c>
      <c r="F646" s="6" t="inlineStr">
        <is>
          <t>Grocery</t>
        </is>
      </c>
      <c r="G646" s="6" t="inlineStr">
        <is>
          <t>Baking</t>
        </is>
      </c>
      <c r="H646" s="6" t="inlineStr">
        <is>
          <t>yes</t>
        </is>
      </c>
      <c r="I646" s="6" t="inlineStr">
        <is>
          <t>Plant-based non-core</t>
        </is>
      </c>
      <c r="J646" s="6" t="inlineStr">
        <is>
          <t>B</t>
        </is>
      </c>
      <c r="K646" s="6" t="inlineStr">
        <is>
          <t>Follows the class</t>
        </is>
      </c>
      <c r="L646" s="6" t="n">
        <v>10.4</v>
      </c>
      <c r="M646" s="6" t="inlineStr">
        <is>
          <t>Name match (CIQUAL / NEVO)</t>
        </is>
      </c>
      <c r="N646" s="6" t="n">
        <v>10.4</v>
      </c>
      <c r="O646" s="6" t="n">
        <v>0</v>
      </c>
      <c r="P646" s="6" t="inlineStr">
        <is>
          <t>yes</t>
        </is>
      </c>
      <c r="Q646" s="6" t="inlineStr">
        <is>
          <t>whole</t>
        </is>
      </c>
      <c r="R646" s="6" t="inlineStr">
        <is>
          <t>FG5</t>
        </is>
      </c>
      <c r="S646" s="6" t="inlineStr">
        <is>
          <t>refined grain</t>
        </is>
      </c>
      <c r="T646" s="6" t="inlineStr">
        <is>
          <t>plant</t>
        </is>
      </c>
      <c r="U646" s="6" t="n"/>
      <c r="V646" s="6" t="n"/>
      <c r="W646" s="6" t="n">
        <v>1</v>
      </c>
      <c r="X646" s="6" t="n">
        <v>0.5</v>
      </c>
      <c r="Y646" s="6" t="inlineStr">
        <is>
          <t>declared</t>
        </is>
      </c>
      <c r="Z646" s="8" t="n">
        <v>5200</v>
      </c>
      <c r="AA646" s="9">
        <f>IF(H646="yes",Z646*X646,0)</f>
        <v/>
      </c>
      <c r="AB646" s="9">
        <f>IF(H646="yes",AA646*N(L646)/100,0)</f>
        <v/>
      </c>
      <c r="AC646" s="9">
        <f>IF(H646="yes",AA646*N(N646)/100,0)</f>
        <v/>
      </c>
      <c r="AD646" s="9">
        <f>IF(H646="yes",AA646*N(O646)/100,0)</f>
        <v/>
      </c>
      <c r="AE646" s="10">
        <f>IF(P646="yes",AA646/1000,0)</f>
        <v/>
      </c>
      <c r="AF646" s="10">
        <f>IF(R646="FG2",AE646*W646,AE646)</f>
        <v/>
      </c>
    </row>
    <row r="647">
      <c r="A647" s="6" t="inlineStr">
        <is>
          <t>HM00645</t>
        </is>
      </c>
      <c r="B647" s="7" t="inlineStr">
        <is>
          <t>4012345133400</t>
        </is>
      </c>
      <c r="C647" s="6" t="inlineStr">
        <is>
          <t>HM TKY BREAST STEAKS 500G</t>
        </is>
      </c>
      <c r="D647" s="6" t="inlineStr">
        <is>
          <t>Turkey breast steaks, 500g</t>
        </is>
      </c>
      <c r="E647" s="6" t="inlineStr">
        <is>
          <t>Harbour Market</t>
        </is>
      </c>
      <c r="F647" s="6" t="inlineStr">
        <is>
          <t>Fresh Meat &amp; Poultry</t>
        </is>
      </c>
      <c r="G647" s="6" t="inlineStr">
        <is>
          <t>Turkey &amp; Lamb</t>
        </is>
      </c>
      <c r="H647" s="6" t="inlineStr">
        <is>
          <t>yes</t>
        </is>
      </c>
      <c r="I647" s="6" t="inlineStr">
        <is>
          <t>Animal core</t>
        </is>
      </c>
      <c r="J647" s="6" t="inlineStr">
        <is>
          <t>B</t>
        </is>
      </c>
      <c r="K647" s="6" t="inlineStr">
        <is>
          <t>Follows the class</t>
        </is>
      </c>
      <c r="L647" s="6" t="n">
        <v>19.8</v>
      </c>
      <c r="M647" s="6" t="inlineStr">
        <is>
          <t>Name match (CIQUAL / NEVO)</t>
        </is>
      </c>
      <c r="N647" s="6" t="n">
        <v>0</v>
      </c>
      <c r="O647" s="6" t="n">
        <v>19.8</v>
      </c>
      <c r="P647" s="6" t="inlineStr">
        <is>
          <t>yes</t>
        </is>
      </c>
      <c r="Q647" s="6" t="inlineStr">
        <is>
          <t>whole</t>
        </is>
      </c>
      <c r="R647" s="6" t="inlineStr">
        <is>
          <t>FG1</t>
        </is>
      </c>
      <c r="S647" s="6" t="inlineStr">
        <is>
          <t>poultry</t>
        </is>
      </c>
      <c r="T647" s="6" t="inlineStr">
        <is>
          <t>animal</t>
        </is>
      </c>
      <c r="U647" s="6" t="n"/>
      <c r="V647" s="6" t="n"/>
      <c r="W647" s="6" t="n">
        <v>1</v>
      </c>
      <c r="X647" s="6" t="n">
        <v>0.5</v>
      </c>
      <c r="Y647" s="6" t="inlineStr">
        <is>
          <t>declared</t>
        </is>
      </c>
      <c r="Z647" s="8" t="n">
        <v>41324</v>
      </c>
      <c r="AA647" s="9">
        <f>IF(H647="yes",Z647*X647,0)</f>
        <v/>
      </c>
      <c r="AB647" s="9">
        <f>IF(H647="yes",AA647*N(L647)/100,0)</f>
        <v/>
      </c>
      <c r="AC647" s="9">
        <f>IF(H647="yes",AA647*N(N647)/100,0)</f>
        <v/>
      </c>
      <c r="AD647" s="9">
        <f>IF(H647="yes",AA647*N(O647)/100,0)</f>
        <v/>
      </c>
      <c r="AE647" s="10">
        <f>IF(P647="yes",AA647/1000,0)</f>
        <v/>
      </c>
      <c r="AF647" s="10">
        <f>IF(R647="FG2",AE647*W647,AE647)</f>
        <v/>
      </c>
    </row>
    <row r="648">
      <c r="A648" s="6" t="inlineStr">
        <is>
          <t>HM00646</t>
        </is>
      </c>
      <c r="B648" s="7" t="inlineStr">
        <is>
          <t>8712345150099</t>
        </is>
      </c>
      <c r="C648" s="6" t="inlineStr">
        <is>
          <t>OAT DRINK BARISTA 6X1L SOLVANE</t>
        </is>
      </c>
      <c r="D648" s="6" t="inlineStr">
        <is>
          <t>Oat drink, barista edition, 6x1l</t>
        </is>
      </c>
      <c r="E648" s="6" t="inlineStr">
        <is>
          <t>Solvane</t>
        </is>
      </c>
      <c r="F648" s="6" t="inlineStr">
        <is>
          <t>Plant-Based</t>
        </is>
      </c>
      <c r="G648" s="6" t="inlineStr">
        <is>
          <t>Plant Drinks</t>
        </is>
      </c>
      <c r="H648" s="6" t="inlineStr">
        <is>
          <t>yes</t>
        </is>
      </c>
      <c r="I648" s="6" t="inlineStr">
        <is>
          <t>Plant-based core</t>
        </is>
      </c>
      <c r="J648" s="6" t="inlineStr">
        <is>
          <t>A</t>
        </is>
      </c>
      <c r="K648" s="6" t="inlineStr">
        <is>
          <t>All ingredients on one side</t>
        </is>
      </c>
      <c r="L648" s="6" t="n">
        <v>0.95</v>
      </c>
      <c r="M648" s="6" t="inlineStr">
        <is>
          <t>Declared by the retailer</t>
        </is>
      </c>
      <c r="N648" s="6" t="n">
        <v>0.95</v>
      </c>
      <c r="O648" s="6" t="n">
        <v>0</v>
      </c>
      <c r="P648" s="6" t="inlineStr">
        <is>
          <t>yes</t>
        </is>
      </c>
      <c r="Q648" s="6" t="inlineStr">
        <is>
          <t>whole</t>
        </is>
      </c>
      <c r="R648" s="6" t="inlineStr">
        <is>
          <t>FG2</t>
        </is>
      </c>
      <c r="S648" s="6" t="inlineStr">
        <is>
          <t>dairy alternatives</t>
        </is>
      </c>
      <c r="T648" s="6" t="inlineStr">
        <is>
          <t>plant</t>
        </is>
      </c>
      <c r="U648" s="6" t="n"/>
      <c r="V648" s="6" t="n"/>
      <c r="W648" s="6" t="n">
        <v>1</v>
      </c>
      <c r="X648" s="6" t="n">
        <v>6.18</v>
      </c>
      <c r="Y648" s="6" t="inlineStr">
        <is>
          <t>declared</t>
        </is>
      </c>
      <c r="Z648" s="8" t="n">
        <v>15266</v>
      </c>
      <c r="AA648" s="9">
        <f>IF(H648="yes",Z648*X648,0)</f>
        <v/>
      </c>
      <c r="AB648" s="9">
        <f>IF(H648="yes",AA648*N(L648)/100,0)</f>
        <v/>
      </c>
      <c r="AC648" s="9">
        <f>IF(H648="yes",AA648*N(N648)/100,0)</f>
        <v/>
      </c>
      <c r="AD648" s="9">
        <f>IF(H648="yes",AA648*N(O648)/100,0)</f>
        <v/>
      </c>
      <c r="AE648" s="10">
        <f>IF(P648="yes",AA648/1000,0)</f>
        <v/>
      </c>
      <c r="AF648" s="10">
        <f>IF(R648="FG2",AE648*W648,AE648)</f>
        <v/>
      </c>
    </row>
    <row r="649">
      <c r="A649" s="6" t="inlineStr">
        <is>
          <t>HM00647</t>
        </is>
      </c>
      <c r="B649" s="7" t="inlineStr">
        <is>
          <t>4012345824742</t>
        </is>
      </c>
      <c r="C649" s="6" t="inlineStr">
        <is>
          <t>HM TKY MINCE 500G</t>
        </is>
      </c>
      <c r="D649" s="6" t="inlineStr">
        <is>
          <t>Turkey mince, 500g</t>
        </is>
      </c>
      <c r="E649" s="6" t="inlineStr">
        <is>
          <t>Harbour Market</t>
        </is>
      </c>
      <c r="F649" s="6" t="inlineStr">
        <is>
          <t>Fresh Meat &amp; Poultry</t>
        </is>
      </c>
      <c r="G649" s="6" t="inlineStr">
        <is>
          <t>Turkey &amp; Lamb</t>
        </is>
      </c>
      <c r="H649" s="6" t="inlineStr">
        <is>
          <t>yes</t>
        </is>
      </c>
      <c r="I649" s="6" t="inlineStr">
        <is>
          <t>Animal core</t>
        </is>
      </c>
      <c r="J649" s="6" t="inlineStr">
        <is>
          <t>B</t>
        </is>
      </c>
      <c r="K649" s="6" t="inlineStr">
        <is>
          <t>Follows the class</t>
        </is>
      </c>
      <c r="L649" s="6" t="n">
        <v>20.1</v>
      </c>
      <c r="M649" s="6" t="inlineStr">
        <is>
          <t>Declared by the retailer</t>
        </is>
      </c>
      <c r="N649" s="6" t="n">
        <v>0</v>
      </c>
      <c r="O649" s="6" t="n">
        <v>20.1</v>
      </c>
      <c r="P649" s="6" t="inlineStr">
        <is>
          <t>yes</t>
        </is>
      </c>
      <c r="Q649" s="6" t="inlineStr">
        <is>
          <t>whole</t>
        </is>
      </c>
      <c r="R649" s="6" t="inlineStr">
        <is>
          <t>FG1</t>
        </is>
      </c>
      <c r="S649" s="6" t="inlineStr">
        <is>
          <t>poultry</t>
        </is>
      </c>
      <c r="T649" s="6" t="inlineStr">
        <is>
          <t>animal</t>
        </is>
      </c>
      <c r="U649" s="6" t="n"/>
      <c r="V649" s="6" t="n"/>
      <c r="W649" s="6" t="n">
        <v>1</v>
      </c>
      <c r="X649" s="6" t="n">
        <v>0.5</v>
      </c>
      <c r="Y649" s="6" t="inlineStr">
        <is>
          <t>label</t>
        </is>
      </c>
      <c r="Z649" s="8" t="n">
        <v>4628</v>
      </c>
      <c r="AA649" s="9">
        <f>IF(H649="yes",Z649*X649,0)</f>
        <v/>
      </c>
      <c r="AB649" s="9">
        <f>IF(H649="yes",AA649*N(L649)/100,0)</f>
        <v/>
      </c>
      <c r="AC649" s="9">
        <f>IF(H649="yes",AA649*N(N649)/100,0)</f>
        <v/>
      </c>
      <c r="AD649" s="9">
        <f>IF(H649="yes",AA649*N(O649)/100,0)</f>
        <v/>
      </c>
      <c r="AE649" s="10">
        <f>IF(P649="yes",AA649/1000,0)</f>
        <v/>
      </c>
      <c r="AF649" s="10">
        <f>IF(R649="FG2",AE649*W649,AE649)</f>
        <v/>
      </c>
    </row>
    <row r="650">
      <c r="A650" s="6" t="inlineStr">
        <is>
          <t>HM00648</t>
        </is>
      </c>
      <c r="B650" s="7" t="inlineStr">
        <is>
          <t>8712345301927</t>
        </is>
      </c>
      <c r="C650" s="6" t="inlineStr">
        <is>
          <t>HM WHITE PITTA 250G</t>
        </is>
      </c>
      <c r="D650" s="6" t="inlineStr">
        <is>
          <t>White pitta bread, 250g</t>
        </is>
      </c>
      <c r="E650" s="6" t="inlineStr">
        <is>
          <t>Harbour Market</t>
        </is>
      </c>
      <c r="F650" s="6" t="inlineStr">
        <is>
          <t>Bakery</t>
        </is>
      </c>
      <c r="G650" s="6" t="inlineStr">
        <is>
          <t>Bread</t>
        </is>
      </c>
      <c r="H650" s="6" t="inlineStr">
        <is>
          <t>yes</t>
        </is>
      </c>
      <c r="I650" s="6" t="inlineStr">
        <is>
          <t>Plant-based non-core</t>
        </is>
      </c>
      <c r="J650" s="6" t="inlineStr">
        <is>
          <t>A</t>
        </is>
      </c>
      <c r="K650" s="6" t="inlineStr">
        <is>
          <t>All ingredients on one side</t>
        </is>
      </c>
      <c r="L650" s="6" t="n">
        <v>8.800000000000001</v>
      </c>
      <c r="M650" s="6" t="inlineStr">
        <is>
          <t>Median of the family</t>
        </is>
      </c>
      <c r="N650" s="6" t="n">
        <v>8.800000000000001</v>
      </c>
      <c r="O650" s="6" t="n">
        <v>0</v>
      </c>
      <c r="P650" s="6" t="inlineStr">
        <is>
          <t>yes</t>
        </is>
      </c>
      <c r="Q650" s="6" t="inlineStr">
        <is>
          <t>whole</t>
        </is>
      </c>
      <c r="R650" s="6" t="inlineStr">
        <is>
          <t>FG5</t>
        </is>
      </c>
      <c r="S650" s="6" t="inlineStr">
        <is>
          <t>refined grain</t>
        </is>
      </c>
      <c r="T650" s="6" t="inlineStr">
        <is>
          <t>plant</t>
        </is>
      </c>
      <c r="U650" s="6" t="n"/>
      <c r="V650" s="6" t="n"/>
      <c r="W650" s="6" t="n">
        <v>1</v>
      </c>
      <c r="X650" s="6" t="n">
        <v>0.25</v>
      </c>
      <c r="Y650" s="6" t="inlineStr">
        <is>
          <t>label</t>
        </is>
      </c>
      <c r="Z650" s="8" t="n">
        <v>47211</v>
      </c>
      <c r="AA650" s="9">
        <f>IF(H650="yes",Z650*X650,0)</f>
        <v/>
      </c>
      <c r="AB650" s="9">
        <f>IF(H650="yes",AA650*N(L650)/100,0)</f>
        <v/>
      </c>
      <c r="AC650" s="9">
        <f>IF(H650="yes",AA650*N(N650)/100,0)</f>
        <v/>
      </c>
      <c r="AD650" s="9">
        <f>IF(H650="yes",AA650*N(O650)/100,0)</f>
        <v/>
      </c>
      <c r="AE650" s="10">
        <f>IF(P650="yes",AA650/1000,0)</f>
        <v/>
      </c>
      <c r="AF650" s="10">
        <f>IF(R650="FG2",AE650*W650,AE650)</f>
        <v/>
      </c>
    </row>
    <row r="651">
      <c r="A651" s="6" t="inlineStr">
        <is>
          <t>HM00649</t>
        </is>
      </c>
      <c r="B651" s="7" t="inlineStr">
        <is>
          <t>3012345386654</t>
        </is>
      </c>
      <c r="C651" s="6" t="inlineStr">
        <is>
          <t>HM BABY SPINACH EACH</t>
        </is>
      </c>
      <c r="D651" s="6" t="inlineStr">
        <is>
          <t>Baby spinach</t>
        </is>
      </c>
      <c r="E651" s="6" t="inlineStr">
        <is>
          <t>Harbour Market</t>
        </is>
      </c>
      <c r="F651" s="6" t="inlineStr">
        <is>
          <t>Fruit &amp; Vegetables</t>
        </is>
      </c>
      <c r="G651" s="6" t="inlineStr">
        <is>
          <t>Vegetables</t>
        </is>
      </c>
      <c r="H651" s="6" t="inlineStr">
        <is>
          <t>yes</t>
        </is>
      </c>
      <c r="I651" s="6" t="inlineStr">
        <is>
          <t>Plant-based non-core</t>
        </is>
      </c>
      <c r="J651" s="6" t="inlineStr">
        <is>
          <t>B</t>
        </is>
      </c>
      <c r="K651" s="6" t="inlineStr">
        <is>
          <t>Follows the class</t>
        </is>
      </c>
      <c r="L651" s="6" t="n">
        <v>2.9</v>
      </c>
      <c r="M651" s="6" t="inlineStr">
        <is>
          <t>Name match (CIQUAL / NEVO)</t>
        </is>
      </c>
      <c r="N651" s="6" t="n">
        <v>2.9</v>
      </c>
      <c r="O651" s="6" t="n">
        <v>0</v>
      </c>
      <c r="P651" s="6" t="inlineStr">
        <is>
          <t>yes</t>
        </is>
      </c>
      <c r="Q651" s="6" t="inlineStr">
        <is>
          <t>whole</t>
        </is>
      </c>
      <c r="R651" s="6" t="inlineStr">
        <is>
          <t>FG4</t>
        </is>
      </c>
      <c r="S651" s="6" t="n"/>
      <c r="T651" s="6" t="inlineStr">
        <is>
          <t>plant</t>
        </is>
      </c>
      <c r="U651" s="6" t="n"/>
      <c r="V651" s="6" t="n"/>
      <c r="W651" s="6" t="n">
        <v>1</v>
      </c>
      <c r="X651" s="6" t="n">
        <v>0.2</v>
      </c>
      <c r="Y651" s="6" t="inlineStr">
        <is>
          <t>typical_piece</t>
        </is>
      </c>
      <c r="Z651" s="8" t="n">
        <v>6468</v>
      </c>
      <c r="AA651" s="9">
        <f>IF(H651="yes",Z651*X651,0)</f>
        <v/>
      </c>
      <c r="AB651" s="9">
        <f>IF(H651="yes",AA651*N(L651)/100,0)</f>
        <v/>
      </c>
      <c r="AC651" s="9">
        <f>IF(H651="yes",AA651*N(N651)/100,0)</f>
        <v/>
      </c>
      <c r="AD651" s="9">
        <f>IF(H651="yes",AA651*N(O651)/100,0)</f>
        <v/>
      </c>
      <c r="AE651" s="10">
        <f>IF(P651="yes",AA651/1000,0)</f>
        <v/>
      </c>
      <c r="AF651" s="10">
        <f>IF(R651="FG2",AE651*W651,AE651)</f>
        <v/>
      </c>
    </row>
    <row r="652">
      <c r="A652" s="6" t="inlineStr">
        <is>
          <t>HM00650</t>
        </is>
      </c>
      <c r="B652" s="7" t="inlineStr">
        <is>
          <t>3012345239493</t>
        </is>
      </c>
      <c r="C652" s="6" t="inlineStr">
        <is>
          <t>HM SMKD HAM 400G</t>
        </is>
      </c>
      <c r="D652" s="6" t="inlineStr">
        <is>
          <t>Smoked ham, 400g</t>
        </is>
      </c>
      <c r="E652" s="6" t="inlineStr">
        <is>
          <t>Harbour Market</t>
        </is>
      </c>
      <c r="F652" s="6" t="inlineStr">
        <is>
          <t>Deli</t>
        </is>
      </c>
      <c r="G652" s="6" t="inlineStr">
        <is>
          <t>Cooked Meats</t>
        </is>
      </c>
      <c r="H652" s="6" t="inlineStr">
        <is>
          <t>yes</t>
        </is>
      </c>
      <c r="I652" s="6" t="inlineStr">
        <is>
          <t>Animal core</t>
        </is>
      </c>
      <c r="J652" s="6" t="inlineStr">
        <is>
          <t>A</t>
        </is>
      </c>
      <c r="K652" s="6" t="inlineStr">
        <is>
          <t>All ingredients on one side</t>
        </is>
      </c>
      <c r="L652" s="6" t="n">
        <v>18.2</v>
      </c>
      <c r="M652" s="6" t="inlineStr">
        <is>
          <t>Declared by the retailer</t>
        </is>
      </c>
      <c r="N652" s="6" t="n">
        <v>0</v>
      </c>
      <c r="O652" s="6" t="n">
        <v>18.2</v>
      </c>
      <c r="P652" s="6" t="inlineStr">
        <is>
          <t>yes</t>
        </is>
      </c>
      <c r="Q652" s="6" t="inlineStr">
        <is>
          <t>whole</t>
        </is>
      </c>
      <c r="R652" s="6" t="inlineStr">
        <is>
          <t>FG1</t>
        </is>
      </c>
      <c r="S652" s="6" t="inlineStr">
        <is>
          <t>red meat</t>
        </is>
      </c>
      <c r="T652" s="6" t="inlineStr">
        <is>
          <t>animal</t>
        </is>
      </c>
      <c r="U652" s="6" t="n"/>
      <c r="V652" s="6" t="n"/>
      <c r="W652" s="6" t="n">
        <v>1</v>
      </c>
      <c r="X652" s="6" t="n">
        <v>0.4</v>
      </c>
      <c r="Y652" s="6" t="inlineStr">
        <is>
          <t>declared</t>
        </is>
      </c>
      <c r="Z652" s="8" t="n">
        <v>44591</v>
      </c>
      <c r="AA652" s="9">
        <f>IF(H652="yes",Z652*X652,0)</f>
        <v/>
      </c>
      <c r="AB652" s="9">
        <f>IF(H652="yes",AA652*N(L652)/100,0)</f>
        <v/>
      </c>
      <c r="AC652" s="9">
        <f>IF(H652="yes",AA652*N(N652)/100,0)</f>
        <v/>
      </c>
      <c r="AD652" s="9">
        <f>IF(H652="yes",AA652*N(O652)/100,0)</f>
        <v/>
      </c>
      <c r="AE652" s="10">
        <f>IF(P652="yes",AA652/1000,0)</f>
        <v/>
      </c>
      <c r="AF652" s="10">
        <f>IF(R652="FG2",AE652*W652,AE652)</f>
        <v/>
      </c>
    </row>
    <row r="653">
      <c r="A653" s="6" t="inlineStr">
        <is>
          <t>HM00651</t>
        </is>
      </c>
      <c r="B653" s="7" t="inlineStr">
        <is>
          <t>4012345338065</t>
        </is>
      </c>
      <c r="C653" s="6" t="inlineStr">
        <is>
          <t>HM WHOLE CHKN 500G</t>
        </is>
      </c>
      <c r="D653" s="6" t="inlineStr">
        <is>
          <t>Whole chicken, 500g</t>
        </is>
      </c>
      <c r="E653" s="6" t="inlineStr">
        <is>
          <t>Harbour Market</t>
        </is>
      </c>
      <c r="F653" s="6" t="inlineStr">
        <is>
          <t>Fresh Meat &amp; Poultry</t>
        </is>
      </c>
      <c r="G653" s="6" t="inlineStr">
        <is>
          <t>Poultry</t>
        </is>
      </c>
      <c r="H653" s="6" t="inlineStr">
        <is>
          <t>yes</t>
        </is>
      </c>
      <c r="I653" s="6" t="inlineStr">
        <is>
          <t>Animal core</t>
        </is>
      </c>
      <c r="J653" s="6" t="inlineStr">
        <is>
          <t>B</t>
        </is>
      </c>
      <c r="K653" s="6" t="inlineStr">
        <is>
          <t>Follows the class</t>
        </is>
      </c>
      <c r="L653" s="6" t="n">
        <v>22.2</v>
      </c>
      <c r="M653" s="6" t="inlineStr">
        <is>
          <t>Open Food Facts, by EAN</t>
        </is>
      </c>
      <c r="N653" s="6" t="n">
        <v>0</v>
      </c>
      <c r="O653" s="6" t="n">
        <v>22.2</v>
      </c>
      <c r="P653" s="6" t="inlineStr">
        <is>
          <t>yes</t>
        </is>
      </c>
      <c r="Q653" s="6" t="inlineStr">
        <is>
          <t>whole</t>
        </is>
      </c>
      <c r="R653" s="6" t="inlineStr">
        <is>
          <t>FG1</t>
        </is>
      </c>
      <c r="S653" s="6" t="inlineStr">
        <is>
          <t>poultry</t>
        </is>
      </c>
      <c r="T653" s="6" t="inlineStr">
        <is>
          <t>animal</t>
        </is>
      </c>
      <c r="U653" s="6" t="n"/>
      <c r="V653" s="6" t="n"/>
      <c r="W653" s="6" t="n">
        <v>1</v>
      </c>
      <c r="X653" s="6" t="n">
        <v>0.5</v>
      </c>
      <c r="Y653" s="6" t="inlineStr">
        <is>
          <t>declared</t>
        </is>
      </c>
      <c r="Z653" s="8" t="n">
        <v>51026</v>
      </c>
      <c r="AA653" s="9">
        <f>IF(H653="yes",Z653*X653,0)</f>
        <v/>
      </c>
      <c r="AB653" s="9">
        <f>IF(H653="yes",AA653*N(L653)/100,0)</f>
        <v/>
      </c>
      <c r="AC653" s="9">
        <f>IF(H653="yes",AA653*N(N653)/100,0)</f>
        <v/>
      </c>
      <c r="AD653" s="9">
        <f>IF(H653="yes",AA653*N(O653)/100,0)</f>
        <v/>
      </c>
      <c r="AE653" s="10">
        <f>IF(P653="yes",AA653/1000,0)</f>
        <v/>
      </c>
      <c r="AF653" s="10">
        <f>IF(R653="FG2",AE653*W653,AE653)</f>
        <v/>
      </c>
    </row>
    <row r="654">
      <c r="A654" s="6" t="inlineStr">
        <is>
          <t>HM00652</t>
        </is>
      </c>
      <c r="B654" s="7" t="inlineStr">
        <is>
          <t>8712345683108</t>
        </is>
      </c>
      <c r="C654" s="6" t="inlineStr">
        <is>
          <t>HM BOLOGNESE SCE BF 690G</t>
        </is>
      </c>
      <c r="D654" s="6" t="inlineStr">
        <is>
          <t>Beef bolognese sauce, 690g</t>
        </is>
      </c>
      <c r="E654" s="6" t="inlineStr">
        <is>
          <t>Harbour Market</t>
        </is>
      </c>
      <c r="F654" s="6" t="inlineStr">
        <is>
          <t>Grocery</t>
        </is>
      </c>
      <c r="G654" s="6" t="inlineStr">
        <is>
          <t>Cooking Sauces</t>
        </is>
      </c>
      <c r="H654" s="6" t="inlineStr">
        <is>
          <t>yes</t>
        </is>
      </c>
      <c r="I654" s="6" t="inlineStr">
        <is>
          <t>Animal &amp; plant composite</t>
        </is>
      </c>
      <c r="J654" s="6" t="inlineStr">
        <is>
          <t>A</t>
        </is>
      </c>
      <c r="K654" s="6" t="inlineStr">
        <is>
          <t>NEVO food table (ratio only)</t>
        </is>
      </c>
      <c r="L654" s="6" t="n">
        <v>5.8</v>
      </c>
      <c r="M654" s="6" t="inlineStr">
        <is>
          <t>Median of the family</t>
        </is>
      </c>
      <c r="N654" s="6" t="n">
        <v>1.04</v>
      </c>
      <c r="O654" s="6" t="n">
        <v>4.76</v>
      </c>
      <c r="P654" s="6" t="inlineStr">
        <is>
          <t>yes</t>
        </is>
      </c>
      <c r="Q654" s="6" t="inlineStr">
        <is>
          <t>composite</t>
        </is>
      </c>
      <c r="R654" s="6" t="n"/>
      <c r="S654" s="6" t="n"/>
      <c r="T654" s="6" t="n"/>
      <c r="U654" s="6" t="inlineStr">
        <is>
          <t>meat-based</t>
        </is>
      </c>
      <c r="V654" s="6" t="n"/>
      <c r="W654" s="6" t="n">
        <v>1</v>
      </c>
      <c r="X654" s="6" t="n">
        <v>0.6899999999999999</v>
      </c>
      <c r="Y654" s="6" t="inlineStr">
        <is>
          <t>declared</t>
        </is>
      </c>
      <c r="Z654" s="8" t="n">
        <v>15331</v>
      </c>
      <c r="AA654" s="9">
        <f>IF(H654="yes",Z654*X654,0)</f>
        <v/>
      </c>
      <c r="AB654" s="9">
        <f>IF(H654="yes",AA654*N(L654)/100,0)</f>
        <v/>
      </c>
      <c r="AC654" s="9">
        <f>IF(H654="yes",AA654*N(N654)/100,0)</f>
        <v/>
      </c>
      <c r="AD654" s="9">
        <f>IF(H654="yes",AA654*N(O654)/100,0)</f>
        <v/>
      </c>
      <c r="AE654" s="10">
        <f>IF(P654="yes",AA654/1000,0)</f>
        <v/>
      </c>
      <c r="AF654" s="10">
        <f>IF(R654="FG2",AE654*W654,AE654)</f>
        <v/>
      </c>
    </row>
    <row r="655">
      <c r="A655" s="6" t="inlineStr">
        <is>
          <t>HM00653</t>
        </is>
      </c>
      <c r="B655" s="7" t="inlineStr">
        <is>
          <t>3012345556842</t>
        </is>
      </c>
      <c r="C655" s="6" t="inlineStr">
        <is>
          <t>HM FARFALLE 500G</t>
        </is>
      </c>
      <c r="D655" s="6" t="inlineStr">
        <is>
          <t>Farfalle, 500g</t>
        </is>
      </c>
      <c r="E655" s="6" t="inlineStr">
        <is>
          <t>Harbour Market</t>
        </is>
      </c>
      <c r="F655" s="6" t="inlineStr">
        <is>
          <t>Grocery</t>
        </is>
      </c>
      <c r="G655" s="6" t="inlineStr">
        <is>
          <t>Pasta</t>
        </is>
      </c>
      <c r="H655" s="6" t="inlineStr">
        <is>
          <t>yes</t>
        </is>
      </c>
      <c r="I655" s="6" t="inlineStr">
        <is>
          <t>Plant-based non-core</t>
        </is>
      </c>
      <c r="J655" s="6" t="inlineStr">
        <is>
          <t>A</t>
        </is>
      </c>
      <c r="K655" s="6" t="inlineStr">
        <is>
          <t>All ingredients on one side</t>
        </is>
      </c>
      <c r="L655" s="6" t="n">
        <v>12.4</v>
      </c>
      <c r="M655" s="6" t="inlineStr">
        <is>
          <t>Open Food Facts, by EAN</t>
        </is>
      </c>
      <c r="N655" s="6" t="n">
        <v>12.4</v>
      </c>
      <c r="O655" s="6" t="n">
        <v>0</v>
      </c>
      <c r="P655" s="6" t="inlineStr">
        <is>
          <t>yes</t>
        </is>
      </c>
      <c r="Q655" s="6" t="inlineStr">
        <is>
          <t>whole</t>
        </is>
      </c>
      <c r="R655" s="6" t="inlineStr">
        <is>
          <t>FG5</t>
        </is>
      </c>
      <c r="S655" s="6" t="inlineStr">
        <is>
          <t>refined grain</t>
        </is>
      </c>
      <c r="T655" s="6" t="inlineStr">
        <is>
          <t>plant</t>
        </is>
      </c>
      <c r="U655" s="6" t="n"/>
      <c r="V655" s="6" t="n"/>
      <c r="W655" s="6" t="n">
        <v>1</v>
      </c>
      <c r="X655" s="6" t="n">
        <v>0.5</v>
      </c>
      <c r="Y655" s="6" t="inlineStr">
        <is>
          <t>declared</t>
        </is>
      </c>
      <c r="Z655" s="8" t="n">
        <v>11875</v>
      </c>
      <c r="AA655" s="9">
        <f>IF(H655="yes",Z655*X655,0)</f>
        <v/>
      </c>
      <c r="AB655" s="9">
        <f>IF(H655="yes",AA655*N(L655)/100,0)</f>
        <v/>
      </c>
      <c r="AC655" s="9">
        <f>IF(H655="yes",AA655*N(N655)/100,0)</f>
        <v/>
      </c>
      <c r="AD655" s="9">
        <f>IF(H655="yes",AA655*N(O655)/100,0)</f>
        <v/>
      </c>
      <c r="AE655" s="10">
        <f>IF(P655="yes",AA655/1000,0)</f>
        <v/>
      </c>
      <c r="AF655" s="10">
        <f>IF(R655="FG2",AE655*W655,AE655)</f>
        <v/>
      </c>
    </row>
    <row r="656">
      <c r="A656" s="6" t="inlineStr">
        <is>
          <t>HM00654</t>
        </is>
      </c>
      <c r="B656" s="7" t="inlineStr">
        <is>
          <t>8712345332105</t>
        </is>
      </c>
      <c r="C656" s="6" t="inlineStr">
        <is>
          <t>HM WHEAT BEER 12X440ML</t>
        </is>
      </c>
      <c r="D656" s="6" t="inlineStr">
        <is>
          <t>Wheat beer, 12x440ml</t>
        </is>
      </c>
      <c r="E656" s="6" t="inlineStr">
        <is>
          <t>Harbour Market</t>
        </is>
      </c>
      <c r="F656" s="6" t="inlineStr">
        <is>
          <t>Beer, Wine &amp; Spirits</t>
        </is>
      </c>
      <c r="G656" s="6" t="inlineStr">
        <is>
          <t>Beer &amp; Cider</t>
        </is>
      </c>
      <c r="H656" s="6" t="inlineStr">
        <is>
          <t>yes</t>
        </is>
      </c>
      <c r="I656" s="6" t="inlineStr">
        <is>
          <t>Plant-based non-core</t>
        </is>
      </c>
      <c r="J656" s="6" t="inlineStr">
        <is>
          <t>B</t>
        </is>
      </c>
      <c r="K656" s="6" t="inlineStr">
        <is>
          <t>Follows the class</t>
        </is>
      </c>
      <c r="L656" s="6" t="n">
        <v>0.48</v>
      </c>
      <c r="M656" s="6" t="inlineStr">
        <is>
          <t>Declared by the retailer</t>
        </is>
      </c>
      <c r="N656" s="6" t="n">
        <v>0.48</v>
      </c>
      <c r="O656" s="6" t="n">
        <v>0</v>
      </c>
      <c r="P656" s="6" t="inlineStr">
        <is>
          <t>no</t>
        </is>
      </c>
      <c r="Q656" s="6" t="n"/>
      <c r="R656" s="6" t="n"/>
      <c r="S656" s="6" t="n"/>
      <c r="T656" s="6" t="n"/>
      <c r="U656" s="6" t="n"/>
      <c r="V656" s="6" t="inlineStr">
        <is>
          <t>alcohol</t>
        </is>
      </c>
      <c r="W656" s="6" t="n">
        <v>1</v>
      </c>
      <c r="X656" s="6" t="n">
        <v>5.28</v>
      </c>
      <c r="Y656" s="6" t="inlineStr">
        <is>
          <t>label</t>
        </is>
      </c>
      <c r="Z656" s="8" t="n">
        <v>14736</v>
      </c>
      <c r="AA656" s="9">
        <f>IF(H656="yes",Z656*X656,0)</f>
        <v/>
      </c>
      <c r="AB656" s="9">
        <f>IF(H656="yes",AA656*N(L656)/100,0)</f>
        <v/>
      </c>
      <c r="AC656" s="9">
        <f>IF(H656="yes",AA656*N(N656)/100,0)</f>
        <v/>
      </c>
      <c r="AD656" s="9">
        <f>IF(H656="yes",AA656*N(O656)/100,0)</f>
        <v/>
      </c>
      <c r="AE656" s="10">
        <f>IF(P656="yes",AA656/1000,0)</f>
        <v/>
      </c>
      <c r="AF656" s="10">
        <f>IF(R656="FG2",AE656*W656,AE656)</f>
        <v/>
      </c>
    </row>
    <row r="657">
      <c r="A657" s="6" t="inlineStr">
        <is>
          <t>HM00655</t>
        </is>
      </c>
      <c r="B657" s="7" t="inlineStr">
        <is>
          <t>4012345274400</t>
        </is>
      </c>
      <c r="C657" s="6" t="inlineStr">
        <is>
          <t>HM BRIOCHE ROLLS 4PK 180G</t>
        </is>
      </c>
      <c r="D657" s="6" t="inlineStr">
        <is>
          <t>Brioche rolls, 4pk 180g</t>
        </is>
      </c>
      <c r="E657" s="6" t="inlineStr">
        <is>
          <t>Harbour Market</t>
        </is>
      </c>
      <c r="F657" s="6" t="inlineStr">
        <is>
          <t>Bakery</t>
        </is>
      </c>
      <c r="G657" s="6" t="inlineStr">
        <is>
          <t>Pastries</t>
        </is>
      </c>
      <c r="H657" s="6" t="inlineStr">
        <is>
          <t>yes</t>
        </is>
      </c>
      <c r="I657" s="6" t="inlineStr">
        <is>
          <t>Animal &amp; plant composite</t>
        </is>
      </c>
      <c r="J657" s="6" t="inlineStr">
        <is>
          <t>B</t>
        </is>
      </c>
      <c r="K657" s="6" t="inlineStr">
        <is>
          <t>50/50 convention</t>
        </is>
      </c>
      <c r="L657" s="6" t="n">
        <v>8.5</v>
      </c>
      <c r="M657" s="6" t="inlineStr">
        <is>
          <t>Declared by the retailer</t>
        </is>
      </c>
      <c r="N657" s="6" t="n">
        <v>4.25</v>
      </c>
      <c r="O657" s="6" t="n">
        <v>4.25</v>
      </c>
      <c r="P657" s="6" t="inlineStr">
        <is>
          <t>yes</t>
        </is>
      </c>
      <c r="Q657" s="6" t="inlineStr">
        <is>
          <t>whole</t>
        </is>
      </c>
      <c r="R657" s="6" t="inlineStr">
        <is>
          <t>FG7</t>
        </is>
      </c>
      <c r="S657" s="6" t="n"/>
      <c r="T657" s="6" t="inlineStr">
        <is>
          <t>plant</t>
        </is>
      </c>
      <c r="U657" s="6" t="n"/>
      <c r="V657" s="6" t="n"/>
      <c r="W657" s="6" t="n">
        <v>1</v>
      </c>
      <c r="X657" s="6" t="n">
        <v>0.18</v>
      </c>
      <c r="Y657" s="6" t="inlineStr">
        <is>
          <t>declared</t>
        </is>
      </c>
      <c r="Z657" s="8" t="n">
        <v>16348</v>
      </c>
      <c r="AA657" s="9">
        <f>IF(H657="yes",Z657*X657,0)</f>
        <v/>
      </c>
      <c r="AB657" s="9">
        <f>IF(H657="yes",AA657*N(L657)/100,0)</f>
        <v/>
      </c>
      <c r="AC657" s="9">
        <f>IF(H657="yes",AA657*N(N657)/100,0)</f>
        <v/>
      </c>
      <c r="AD657" s="9">
        <f>IF(H657="yes",AA657*N(O657)/100,0)</f>
        <v/>
      </c>
      <c r="AE657" s="10">
        <f>IF(P657="yes",AA657/1000,0)</f>
        <v/>
      </c>
      <c r="AF657" s="10">
        <f>IF(R657="FG2",AE657*W657,AE657)</f>
        <v/>
      </c>
    </row>
    <row r="658">
      <c r="A658" s="6" t="inlineStr">
        <is>
          <t>HM00656</t>
        </is>
      </c>
      <c r="B658" s="7" t="inlineStr">
        <is>
          <t>4012345407181</t>
        </is>
      </c>
      <c r="C658" s="6" t="inlineStr">
        <is>
          <t>ENGLISH BREAKFAST TEA 80PK 250G VELOCE</t>
        </is>
      </c>
      <c r="D658" s="6" t="inlineStr">
        <is>
          <t>English breakfast tea bags, 80pk 250g</t>
        </is>
      </c>
      <c r="E658" s="6" t="inlineStr">
        <is>
          <t>Veloce</t>
        </is>
      </c>
      <c r="F658" s="6" t="inlineStr">
        <is>
          <t>Grocery</t>
        </is>
      </c>
      <c r="G658" s="6" t="inlineStr">
        <is>
          <t>Tea &amp; Coffee</t>
        </is>
      </c>
      <c r="H658" s="6" t="inlineStr">
        <is>
          <t>yes</t>
        </is>
      </c>
      <c r="I658" s="6" t="inlineStr">
        <is>
          <t>Plant-based non-core</t>
        </is>
      </c>
      <c r="J658" s="6" t="inlineStr">
        <is>
          <t>B</t>
        </is>
      </c>
      <c r="K658" s="6" t="inlineStr">
        <is>
          <t>Follows the class</t>
        </is>
      </c>
      <c r="L658" s="6" t="n">
        <v>0</v>
      </c>
      <c r="M658" s="6" t="inlineStr">
        <is>
          <t>Declared by the retailer</t>
        </is>
      </c>
      <c r="N658" s="6" t="n">
        <v>0</v>
      </c>
      <c r="O658" s="6" t="n">
        <v>0</v>
      </c>
      <c r="P658" s="6" t="inlineStr">
        <is>
          <t>no</t>
        </is>
      </c>
      <c r="Q658" s="6" t="n"/>
      <c r="R658" s="6" t="n"/>
      <c r="S658" s="6" t="n"/>
      <c r="T658" s="6" t="n"/>
      <c r="U658" s="6" t="n"/>
      <c r="V658" s="6" t="inlineStr">
        <is>
          <t>coffee tea</t>
        </is>
      </c>
      <c r="W658" s="6" t="n">
        <v>1</v>
      </c>
      <c r="X658" s="6" t="n">
        <v>0.25</v>
      </c>
      <c r="Y658" s="6" t="inlineStr">
        <is>
          <t>declared</t>
        </is>
      </c>
      <c r="Z658" s="8" t="n">
        <v>18873</v>
      </c>
      <c r="AA658" s="9">
        <f>IF(H658="yes",Z658*X658,0)</f>
        <v/>
      </c>
      <c r="AB658" s="9">
        <f>IF(H658="yes",AA658*N(L658)/100,0)</f>
        <v/>
      </c>
      <c r="AC658" s="9">
        <f>IF(H658="yes",AA658*N(N658)/100,0)</f>
        <v/>
      </c>
      <c r="AD658" s="9">
        <f>IF(H658="yes",AA658*N(O658)/100,0)</f>
        <v/>
      </c>
      <c r="AE658" s="10">
        <f>IF(P658="yes",AA658/1000,0)</f>
        <v/>
      </c>
      <c r="AF658" s="10">
        <f>IF(R658="FG2",AE658*W658,AE658)</f>
        <v/>
      </c>
    </row>
    <row r="659">
      <c r="A659" s="6" t="inlineStr">
        <is>
          <t>HM00657</t>
        </is>
      </c>
      <c r="B659" s="7" t="inlineStr">
        <is>
          <t>4012345752496</t>
        </is>
      </c>
      <c r="C659" s="6" t="inlineStr">
        <is>
          <t>WHLWHT PENNE 500G ORVALIS</t>
        </is>
      </c>
      <c r="D659" s="6" t="inlineStr">
        <is>
          <t>Wholewheat penne, 500g</t>
        </is>
      </c>
      <c r="E659" s="6" t="inlineStr">
        <is>
          <t>Orvalis</t>
        </is>
      </c>
      <c r="F659" s="6" t="inlineStr">
        <is>
          <t>Grocery</t>
        </is>
      </c>
      <c r="G659" s="6" t="inlineStr">
        <is>
          <t>Pasta</t>
        </is>
      </c>
      <c r="H659" s="6" t="inlineStr">
        <is>
          <t>yes</t>
        </is>
      </c>
      <c r="I659" s="6" t="inlineStr">
        <is>
          <t>Plant-based non-core</t>
        </is>
      </c>
      <c r="J659" s="6" t="inlineStr">
        <is>
          <t>A</t>
        </is>
      </c>
      <c r="K659" s="6" t="inlineStr">
        <is>
          <t>All ingredients on one side</t>
        </is>
      </c>
      <c r="L659" s="6" t="n">
        <v>12.4</v>
      </c>
      <c r="M659" s="6" t="inlineStr">
        <is>
          <t>Declared by the retailer</t>
        </is>
      </c>
      <c r="N659" s="6" t="n">
        <v>12.4</v>
      </c>
      <c r="O659" s="6" t="n">
        <v>0</v>
      </c>
      <c r="P659" s="6" t="inlineStr">
        <is>
          <t>yes</t>
        </is>
      </c>
      <c r="Q659" s="6" t="inlineStr">
        <is>
          <t>whole</t>
        </is>
      </c>
      <c r="R659" s="6" t="inlineStr">
        <is>
          <t>FG5</t>
        </is>
      </c>
      <c r="S659" s="6" t="inlineStr">
        <is>
          <t>whole grain</t>
        </is>
      </c>
      <c r="T659" s="6" t="inlineStr">
        <is>
          <t>plant</t>
        </is>
      </c>
      <c r="U659" s="6" t="n"/>
      <c r="V659" s="6" t="n"/>
      <c r="W659" s="6" t="n">
        <v>1</v>
      </c>
      <c r="X659" s="6" t="n">
        <v>0.5</v>
      </c>
      <c r="Y659" s="6" t="inlineStr">
        <is>
          <t>declared</t>
        </is>
      </c>
      <c r="Z659" s="8" t="n">
        <v>13790</v>
      </c>
      <c r="AA659" s="9">
        <f>IF(H659="yes",Z659*X659,0)</f>
        <v/>
      </c>
      <c r="AB659" s="9">
        <f>IF(H659="yes",AA659*N(L659)/100,0)</f>
        <v/>
      </c>
      <c r="AC659" s="9">
        <f>IF(H659="yes",AA659*N(N659)/100,0)</f>
        <v/>
      </c>
      <c r="AD659" s="9">
        <f>IF(H659="yes",AA659*N(O659)/100,0)</f>
        <v/>
      </c>
      <c r="AE659" s="10">
        <f>IF(P659="yes",AA659/1000,0)</f>
        <v/>
      </c>
      <c r="AF659" s="10">
        <f>IF(R659="FG2",AE659*W659,AE659)</f>
        <v/>
      </c>
    </row>
    <row r="660">
      <c r="A660" s="6" t="inlineStr">
        <is>
          <t>HM00658</t>
        </is>
      </c>
      <c r="B660" s="7" t="inlineStr">
        <is>
          <t>4012345070026</t>
        </is>
      </c>
      <c r="C660" s="6" t="inlineStr">
        <is>
          <t>PARMESAN WEDGE 800G ALDERWICK</t>
        </is>
      </c>
      <c r="D660" s="6" t="inlineStr">
        <is>
          <t>Parmesan wedge, 800g</t>
        </is>
      </c>
      <c r="E660" s="6" t="inlineStr">
        <is>
          <t>Alderwick</t>
        </is>
      </c>
      <c r="F660" s="6" t="inlineStr">
        <is>
          <t>Cheese</t>
        </is>
      </c>
      <c r="G660" s="6" t="inlineStr">
        <is>
          <t>Hard Cheese</t>
        </is>
      </c>
      <c r="H660" s="6" t="inlineStr">
        <is>
          <t>yes</t>
        </is>
      </c>
      <c r="I660" s="6" t="inlineStr">
        <is>
          <t>Animal core</t>
        </is>
      </c>
      <c r="J660" s="6" t="inlineStr">
        <is>
          <t>B</t>
        </is>
      </c>
      <c r="K660" s="6" t="inlineStr">
        <is>
          <t>Follows the class</t>
        </is>
      </c>
      <c r="L660" s="6" t="n">
        <v>31.9</v>
      </c>
      <c r="M660" s="6" t="inlineStr">
        <is>
          <t>Declared by the retailer</t>
        </is>
      </c>
      <c r="N660" s="6" t="n">
        <v>0</v>
      </c>
      <c r="O660" s="6" t="n">
        <v>31.9</v>
      </c>
      <c r="P660" s="6" t="inlineStr">
        <is>
          <t>yes</t>
        </is>
      </c>
      <c r="Q660" s="6" t="inlineStr">
        <is>
          <t>whole</t>
        </is>
      </c>
      <c r="R660" s="6" t="inlineStr">
        <is>
          <t>FG2</t>
        </is>
      </c>
      <c r="S660" s="6" t="inlineStr">
        <is>
          <t>dairy</t>
        </is>
      </c>
      <c r="T660" s="6" t="inlineStr">
        <is>
          <t>animal</t>
        </is>
      </c>
      <c r="U660" s="6" t="n"/>
      <c r="V660" s="6" t="n"/>
      <c r="W660" s="6" t="n">
        <v>10</v>
      </c>
      <c r="X660" s="6" t="n">
        <v>0.8</v>
      </c>
      <c r="Y660" s="6" t="inlineStr">
        <is>
          <t>declared</t>
        </is>
      </c>
      <c r="Z660" s="8" t="n">
        <v>7372</v>
      </c>
      <c r="AA660" s="9">
        <f>IF(H660="yes",Z660*X660,0)</f>
        <v/>
      </c>
      <c r="AB660" s="9">
        <f>IF(H660="yes",AA660*N(L660)/100,0)</f>
        <v/>
      </c>
      <c r="AC660" s="9">
        <f>IF(H660="yes",AA660*N(N660)/100,0)</f>
        <v/>
      </c>
      <c r="AD660" s="9">
        <f>IF(H660="yes",AA660*N(O660)/100,0)</f>
        <v/>
      </c>
      <c r="AE660" s="10">
        <f>IF(P660="yes",AA660/1000,0)</f>
        <v/>
      </c>
      <c r="AF660" s="10">
        <f>IF(R660="FG2",AE660*W660,AE660)</f>
        <v/>
      </c>
    </row>
    <row r="661">
      <c r="A661" s="6" t="inlineStr">
        <is>
          <t>HM00659</t>
        </is>
      </c>
      <c r="B661" s="7" t="inlineStr">
        <is>
          <t>5012345313016</t>
        </is>
      </c>
      <c r="C661" s="6" t="inlineStr">
        <is>
          <t>HM WHOLE CHKN 650G</t>
        </is>
      </c>
      <c r="D661" s="6" t="inlineStr">
        <is>
          <t>Whole chicken, 650g</t>
        </is>
      </c>
      <c r="E661" s="6" t="inlineStr">
        <is>
          <t>Harbour Market</t>
        </is>
      </c>
      <c r="F661" s="6" t="inlineStr">
        <is>
          <t>Fresh Meat &amp; Poultry</t>
        </is>
      </c>
      <c r="G661" s="6" t="inlineStr">
        <is>
          <t>Poultry</t>
        </is>
      </c>
      <c r="H661" s="6" t="inlineStr">
        <is>
          <t>yes</t>
        </is>
      </c>
      <c r="I661" s="6" t="inlineStr">
        <is>
          <t>Animal core</t>
        </is>
      </c>
      <c r="J661" s="6" t="inlineStr">
        <is>
          <t>A</t>
        </is>
      </c>
      <c r="K661" s="6" t="inlineStr">
        <is>
          <t>All ingredients on one side</t>
        </is>
      </c>
      <c r="L661" s="6" t="n">
        <v>20.4</v>
      </c>
      <c r="M661" s="6" t="inlineStr">
        <is>
          <t>Open Food Facts, by EAN</t>
        </is>
      </c>
      <c r="N661" s="6" t="n">
        <v>0</v>
      </c>
      <c r="O661" s="6" t="n">
        <v>20.4</v>
      </c>
      <c r="P661" s="6" t="inlineStr">
        <is>
          <t>yes</t>
        </is>
      </c>
      <c r="Q661" s="6" t="inlineStr">
        <is>
          <t>whole</t>
        </is>
      </c>
      <c r="R661" s="6" t="inlineStr">
        <is>
          <t>FG1</t>
        </is>
      </c>
      <c r="S661" s="6" t="inlineStr">
        <is>
          <t>poultry</t>
        </is>
      </c>
      <c r="T661" s="6" t="inlineStr">
        <is>
          <t>animal</t>
        </is>
      </c>
      <c r="U661" s="6" t="n"/>
      <c r="V661" s="6" t="n"/>
      <c r="W661" s="6" t="n">
        <v>1</v>
      </c>
      <c r="X661" s="6" t="n">
        <v>0.65</v>
      </c>
      <c r="Y661" s="6" t="inlineStr">
        <is>
          <t>declared</t>
        </is>
      </c>
      <c r="Z661" s="8" t="n">
        <v>17088</v>
      </c>
      <c r="AA661" s="9">
        <f>IF(H661="yes",Z661*X661,0)</f>
        <v/>
      </c>
      <c r="AB661" s="9">
        <f>IF(H661="yes",AA661*N(L661)/100,0)</f>
        <v/>
      </c>
      <c r="AC661" s="9">
        <f>IF(H661="yes",AA661*N(N661)/100,0)</f>
        <v/>
      </c>
      <c r="AD661" s="9">
        <f>IF(H661="yes",AA661*N(O661)/100,0)</f>
        <v/>
      </c>
      <c r="AE661" s="10">
        <f>IF(P661="yes",AA661/1000,0)</f>
        <v/>
      </c>
      <c r="AF661" s="10">
        <f>IF(R661="FG2",AE661*W661,AE661)</f>
        <v/>
      </c>
    </row>
    <row r="662">
      <c r="A662" s="6" t="inlineStr">
        <is>
          <t>HM00660</t>
        </is>
      </c>
      <c r="B662" s="7" t="inlineStr">
        <is>
          <t>5012345503820</t>
        </is>
      </c>
      <c r="C662" s="6" t="inlineStr">
        <is>
          <t>PIZZA HAM MUSHROOM 2X320G QUILLAN</t>
        </is>
      </c>
      <c r="D662" s="6" t="inlineStr">
        <is>
          <t>Ham &amp; mushroom pizza, 2x320g</t>
        </is>
      </c>
      <c r="E662" s="6" t="inlineStr">
        <is>
          <t>Quillan</t>
        </is>
      </c>
      <c r="F662" s="6" t="inlineStr">
        <is>
          <t>Frozen</t>
        </is>
      </c>
      <c r="G662" s="6" t="inlineStr">
        <is>
          <t>Pizza</t>
        </is>
      </c>
      <c r="H662" s="6" t="inlineStr">
        <is>
          <t>yes</t>
        </is>
      </c>
      <c r="I662" s="6" t="inlineStr">
        <is>
          <t>Animal &amp; plant composite</t>
        </is>
      </c>
      <c r="J662" s="6" t="inlineStr">
        <is>
          <t>B</t>
        </is>
      </c>
      <c r="K662" s="6" t="inlineStr">
        <is>
          <t>50/50 convention</t>
        </is>
      </c>
      <c r="L662" s="6" t="n">
        <v>9.699999999999999</v>
      </c>
      <c r="M662" s="6" t="inlineStr">
        <is>
          <t>Name match (CIQUAL / NEVO)</t>
        </is>
      </c>
      <c r="N662" s="6" t="n">
        <v>4.85</v>
      </c>
      <c r="O662" s="6" t="n">
        <v>4.85</v>
      </c>
      <c r="P662" s="6" t="inlineStr">
        <is>
          <t>yes</t>
        </is>
      </c>
      <c r="Q662" s="6" t="inlineStr">
        <is>
          <t>composite</t>
        </is>
      </c>
      <c r="R662" s="6" t="n"/>
      <c r="S662" s="6" t="n"/>
      <c r="T662" s="6" t="n"/>
      <c r="U662" s="6" t="inlineStr">
        <is>
          <t>meat-based</t>
        </is>
      </c>
      <c r="V662" s="6" t="n"/>
      <c r="W662" s="6" t="n">
        <v>1</v>
      </c>
      <c r="X662" s="6" t="n">
        <v>0.64</v>
      </c>
      <c r="Y662" s="6" t="inlineStr">
        <is>
          <t>label</t>
        </is>
      </c>
      <c r="Z662" s="8" t="n">
        <v>19308</v>
      </c>
      <c r="AA662" s="9">
        <f>IF(H662="yes",Z662*X662,0)</f>
        <v/>
      </c>
      <c r="AB662" s="9">
        <f>IF(H662="yes",AA662*N(L662)/100,0)</f>
        <v/>
      </c>
      <c r="AC662" s="9">
        <f>IF(H662="yes",AA662*N(N662)/100,0)</f>
        <v/>
      </c>
      <c r="AD662" s="9">
        <f>IF(H662="yes",AA662*N(O662)/100,0)</f>
        <v/>
      </c>
      <c r="AE662" s="10">
        <f>IF(P662="yes",AA662/1000,0)</f>
        <v/>
      </c>
      <c r="AF662" s="10">
        <f>IF(R662="FG2",AE662*W662,AE662)</f>
        <v/>
      </c>
    </row>
    <row r="663">
      <c r="A663" s="6" t="inlineStr">
        <is>
          <t>HM00661</t>
        </is>
      </c>
      <c r="B663" s="7" t="inlineStr">
        <is>
          <t>4012345634723</t>
        </is>
      </c>
      <c r="C663" s="6" t="inlineStr">
        <is>
          <t>TARROW HONEY MUSTARD PORK 400G</t>
        </is>
      </c>
      <c r="D663" s="6" t="inlineStr">
        <is>
          <t>Honey &amp; mustard pork steaks, 400g</t>
        </is>
      </c>
      <c r="E663" s="6" t="inlineStr">
        <is>
          <t>Tarrow Farm</t>
        </is>
      </c>
      <c r="F663" s="6" t="inlineStr">
        <is>
          <t>Fresh Meat &amp; Poultry</t>
        </is>
      </c>
      <c r="G663" s="6" t="inlineStr">
        <is>
          <t>BBQ &amp; Marinated</t>
        </is>
      </c>
      <c r="H663" s="6" t="inlineStr">
        <is>
          <t>yes</t>
        </is>
      </c>
      <c r="I663" s="6" t="inlineStr">
        <is>
          <t>Animal core</t>
        </is>
      </c>
      <c r="J663" s="6" t="inlineStr">
        <is>
          <t>B</t>
        </is>
      </c>
      <c r="K663" s="6" t="inlineStr">
        <is>
          <t>First ingredient (step 4a)</t>
        </is>
      </c>
      <c r="L663" s="6" t="n">
        <v>16.8</v>
      </c>
      <c r="M663" s="6" t="inlineStr">
        <is>
          <t>Altera reference base</t>
        </is>
      </c>
      <c r="N663" s="6" t="n">
        <v>0</v>
      </c>
      <c r="O663" s="6" t="n">
        <v>16.8</v>
      </c>
      <c r="P663" s="6" t="inlineStr">
        <is>
          <t>yes</t>
        </is>
      </c>
      <c r="Q663" s="6" t="inlineStr">
        <is>
          <t>whole</t>
        </is>
      </c>
      <c r="R663" s="6" t="inlineStr">
        <is>
          <t>FG1</t>
        </is>
      </c>
      <c r="S663" s="6" t="inlineStr">
        <is>
          <t>red meat</t>
        </is>
      </c>
      <c r="T663" s="6" t="inlineStr">
        <is>
          <t>animal</t>
        </is>
      </c>
      <c r="U663" s="6" t="n"/>
      <c r="V663" s="6" t="n"/>
      <c r="W663" s="6" t="n">
        <v>1</v>
      </c>
      <c r="X663" s="6" t="n">
        <v>0.4</v>
      </c>
      <c r="Y663" s="6" t="inlineStr">
        <is>
          <t>declared</t>
        </is>
      </c>
      <c r="Z663" s="8" t="n">
        <v>13063</v>
      </c>
      <c r="AA663" s="9">
        <f>IF(H663="yes",Z663*X663,0)</f>
        <v/>
      </c>
      <c r="AB663" s="9">
        <f>IF(H663="yes",AA663*N(L663)/100,0)</f>
        <v/>
      </c>
      <c r="AC663" s="9">
        <f>IF(H663="yes",AA663*N(N663)/100,0)</f>
        <v/>
      </c>
      <c r="AD663" s="9">
        <f>IF(H663="yes",AA663*N(O663)/100,0)</f>
        <v/>
      </c>
      <c r="AE663" s="10">
        <f>IF(P663="yes",AA663/1000,0)</f>
        <v/>
      </c>
      <c r="AF663" s="10">
        <f>IF(R663="FG2",AE663*W663,AE663)</f>
        <v/>
      </c>
    </row>
    <row r="664">
      <c r="A664" s="6" t="inlineStr">
        <is>
          <t>HM00662</t>
        </is>
      </c>
      <c r="B664" s="7" t="inlineStr">
        <is>
          <t>8712345536688</t>
        </is>
      </c>
      <c r="C664" s="6" t="inlineStr">
        <is>
          <t>SOLVANE SOYA DRINK UNSWT 6X1L</t>
        </is>
      </c>
      <c r="D664" s="6" t="inlineStr">
        <is>
          <t>Unsweetened soya drink, 6x1l</t>
        </is>
      </c>
      <c r="E664" s="6" t="inlineStr">
        <is>
          <t>Solvane</t>
        </is>
      </c>
      <c r="F664" s="6" t="inlineStr">
        <is>
          <t>Plant-Based</t>
        </is>
      </c>
      <c r="G664" s="6" t="inlineStr">
        <is>
          <t>Plant Drinks</t>
        </is>
      </c>
      <c r="H664" s="6" t="inlineStr">
        <is>
          <t>yes</t>
        </is>
      </c>
      <c r="I664" s="6" t="inlineStr">
        <is>
          <t>Plant-based core</t>
        </is>
      </c>
      <c r="J664" s="6" t="inlineStr">
        <is>
          <t>A</t>
        </is>
      </c>
      <c r="K664" s="6" t="inlineStr">
        <is>
          <t>All ingredients on one side</t>
        </is>
      </c>
      <c r="L664" s="6" t="n">
        <v>3.3</v>
      </c>
      <c r="M664" s="6" t="inlineStr">
        <is>
          <t>Open Food Facts, by EAN</t>
        </is>
      </c>
      <c r="N664" s="6" t="n">
        <v>3.3</v>
      </c>
      <c r="O664" s="6" t="n">
        <v>0</v>
      </c>
      <c r="P664" s="6" t="inlineStr">
        <is>
          <t>yes</t>
        </is>
      </c>
      <c r="Q664" s="6" t="inlineStr">
        <is>
          <t>whole</t>
        </is>
      </c>
      <c r="R664" s="6" t="inlineStr">
        <is>
          <t>FG2</t>
        </is>
      </c>
      <c r="S664" s="6" t="inlineStr">
        <is>
          <t>dairy alternatives</t>
        </is>
      </c>
      <c r="T664" s="6" t="inlineStr">
        <is>
          <t>plant</t>
        </is>
      </c>
      <c r="U664" s="6" t="n"/>
      <c r="V664" s="6" t="n"/>
      <c r="W664" s="6" t="n">
        <v>1</v>
      </c>
      <c r="X664" s="6" t="n">
        <v>6.18</v>
      </c>
      <c r="Y664" s="6" t="inlineStr">
        <is>
          <t>declared</t>
        </is>
      </c>
      <c r="Z664" s="8" t="n">
        <v>24144</v>
      </c>
      <c r="AA664" s="9">
        <f>IF(H664="yes",Z664*X664,0)</f>
        <v/>
      </c>
      <c r="AB664" s="9">
        <f>IF(H664="yes",AA664*N(L664)/100,0)</f>
        <v/>
      </c>
      <c r="AC664" s="9">
        <f>IF(H664="yes",AA664*N(N664)/100,0)</f>
        <v/>
      </c>
      <c r="AD664" s="9">
        <f>IF(H664="yes",AA664*N(O664)/100,0)</f>
        <v/>
      </c>
      <c r="AE664" s="10">
        <f>IF(P664="yes",AA664/1000,0)</f>
        <v/>
      </c>
      <c r="AF664" s="10">
        <f>IF(R664="FG2",AE664*W664,AE664)</f>
        <v/>
      </c>
    </row>
    <row r="665">
      <c r="A665" s="6" t="inlineStr">
        <is>
          <t>HM00663</t>
        </is>
      </c>
      <c r="B665" s="7" t="inlineStr">
        <is>
          <t>8712345249090</t>
        </is>
      </c>
      <c r="C665" s="6" t="inlineStr">
        <is>
          <t>WHOLE MILK 4PT 2.27L FJELDA</t>
        </is>
      </c>
      <c r="D665" s="6" t="inlineStr">
        <is>
          <t>Whole milk, 4pt 2.27l</t>
        </is>
      </c>
      <c r="E665" s="6" t="inlineStr">
        <is>
          <t>Fjelda</t>
        </is>
      </c>
      <c r="F665" s="6" t="inlineStr">
        <is>
          <t>Dairy &amp; Eggs</t>
        </is>
      </c>
      <c r="G665" s="6" t="inlineStr">
        <is>
          <t>Milk</t>
        </is>
      </c>
      <c r="H665" s="6" t="inlineStr">
        <is>
          <t>yes</t>
        </is>
      </c>
      <c r="I665" s="6" t="inlineStr">
        <is>
          <t>Animal core</t>
        </is>
      </c>
      <c r="J665" s="6" t="inlineStr">
        <is>
          <t>A</t>
        </is>
      </c>
      <c r="K665" s="6" t="inlineStr">
        <is>
          <t>All ingredients on one side</t>
        </is>
      </c>
      <c r="L665" s="6" t="n">
        <v>3.3</v>
      </c>
      <c r="M665" s="6" t="inlineStr">
        <is>
          <t>Name match (CIQUAL / NEVO)</t>
        </is>
      </c>
      <c r="N665" s="6" t="n">
        <v>0</v>
      </c>
      <c r="O665" s="6" t="n">
        <v>3.3</v>
      </c>
      <c r="P665" s="6" t="inlineStr">
        <is>
          <t>yes</t>
        </is>
      </c>
      <c r="Q665" s="6" t="inlineStr">
        <is>
          <t>whole</t>
        </is>
      </c>
      <c r="R665" s="6" t="inlineStr">
        <is>
          <t>FG2</t>
        </is>
      </c>
      <c r="S665" s="6" t="inlineStr">
        <is>
          <t>dairy</t>
        </is>
      </c>
      <c r="T665" s="6" t="inlineStr">
        <is>
          <t>animal</t>
        </is>
      </c>
      <c r="U665" s="6" t="n"/>
      <c r="V665" s="6" t="n"/>
      <c r="W665" s="6" t="n">
        <v>1</v>
      </c>
      <c r="X665" s="6" t="n">
        <v>2.34</v>
      </c>
      <c r="Y665" s="6" t="inlineStr">
        <is>
          <t>declared</t>
        </is>
      </c>
      <c r="Z665" s="8" t="n">
        <v>100159</v>
      </c>
      <c r="AA665" s="9">
        <f>IF(H665="yes",Z665*X665,0)</f>
        <v/>
      </c>
      <c r="AB665" s="9">
        <f>IF(H665="yes",AA665*N(L665)/100,0)</f>
        <v/>
      </c>
      <c r="AC665" s="9">
        <f>IF(H665="yes",AA665*N(N665)/100,0)</f>
        <v/>
      </c>
      <c r="AD665" s="9">
        <f>IF(H665="yes",AA665*N(O665)/100,0)</f>
        <v/>
      </c>
      <c r="AE665" s="10">
        <f>IF(P665="yes",AA665/1000,0)</f>
        <v/>
      </c>
      <c r="AF665" s="10">
        <f>IF(R665="FG2",AE665*W665,AE665)</f>
        <v/>
      </c>
    </row>
    <row r="666">
      <c r="A666" s="6" t="inlineStr">
        <is>
          <t>HM00664</t>
        </is>
      </c>
      <c r="B666" s="7" t="inlineStr">
        <is>
          <t>4012345084641</t>
        </is>
      </c>
      <c r="C666" s="6" t="inlineStr">
        <is>
          <t>HM ICEBERG LETTUCE 1KG</t>
        </is>
      </c>
      <c r="D666" s="6" t="inlineStr">
        <is>
          <t>Iceberg lettuce, 1kg</t>
        </is>
      </c>
      <c r="E666" s="6" t="inlineStr">
        <is>
          <t>Harbour Market</t>
        </is>
      </c>
      <c r="F666" s="6" t="inlineStr">
        <is>
          <t>Fruit &amp; Vegetables</t>
        </is>
      </c>
      <c r="G666" s="6" t="inlineStr">
        <is>
          <t>Vegetables</t>
        </is>
      </c>
      <c r="H666" s="6" t="inlineStr">
        <is>
          <t>yes</t>
        </is>
      </c>
      <c r="I666" s="6" t="inlineStr">
        <is>
          <t>Plant-based non-core</t>
        </is>
      </c>
      <c r="J666" s="6" t="inlineStr">
        <is>
          <t>B</t>
        </is>
      </c>
      <c r="K666" s="6" t="inlineStr">
        <is>
          <t>Follows the class</t>
        </is>
      </c>
      <c r="L666" s="6" t="n">
        <v>1</v>
      </c>
      <c r="M666" s="6" t="inlineStr">
        <is>
          <t>Declared by the retailer</t>
        </is>
      </c>
      <c r="N666" s="6" t="n">
        <v>1</v>
      </c>
      <c r="O666" s="6" t="n">
        <v>0</v>
      </c>
      <c r="P666" s="6" t="inlineStr">
        <is>
          <t>yes</t>
        </is>
      </c>
      <c r="Q666" s="6" t="inlineStr">
        <is>
          <t>whole</t>
        </is>
      </c>
      <c r="R666" s="6" t="inlineStr">
        <is>
          <t>FG4</t>
        </is>
      </c>
      <c r="S666" s="6" t="n"/>
      <c r="T666" s="6" t="inlineStr">
        <is>
          <t>plant</t>
        </is>
      </c>
      <c r="U666" s="6" t="n"/>
      <c r="V666" s="6" t="n"/>
      <c r="W666" s="6" t="n">
        <v>1</v>
      </c>
      <c r="X666" s="6" t="n">
        <v>1</v>
      </c>
      <c r="Y666" s="6" t="inlineStr">
        <is>
          <t>declared</t>
        </is>
      </c>
      <c r="Z666" s="8" t="n">
        <v>53558</v>
      </c>
      <c r="AA666" s="9">
        <f>IF(H666="yes",Z666*X666,0)</f>
        <v/>
      </c>
      <c r="AB666" s="9">
        <f>IF(H666="yes",AA666*N(L666)/100,0)</f>
        <v/>
      </c>
      <c r="AC666" s="9">
        <f>IF(H666="yes",AA666*N(N666)/100,0)</f>
        <v/>
      </c>
      <c r="AD666" s="9">
        <f>IF(H666="yes",AA666*N(O666)/100,0)</f>
        <v/>
      </c>
      <c r="AE666" s="10">
        <f>IF(P666="yes",AA666/1000,0)</f>
        <v/>
      </c>
      <c r="AF666" s="10">
        <f>IF(R666="FG2",AE666*W666,AE666)</f>
        <v/>
      </c>
    </row>
    <row r="667">
      <c r="A667" s="6" t="inlineStr">
        <is>
          <t>HM00665</t>
        </is>
      </c>
      <c r="B667" s="7" t="inlineStr">
        <is>
          <t>5012345352473</t>
        </is>
      </c>
      <c r="C667" s="6" t="inlineStr">
        <is>
          <t>TOFU FIRM 280G SOLVANE</t>
        </is>
      </c>
      <c r="D667" s="6" t="inlineStr">
        <is>
          <t>Firm tofu, 280g</t>
        </is>
      </c>
      <c r="E667" s="6" t="inlineStr">
        <is>
          <t>Solvane</t>
        </is>
      </c>
      <c r="F667" s="6" t="inlineStr">
        <is>
          <t>Plant-Based</t>
        </is>
      </c>
      <c r="G667" s="6" t="inlineStr">
        <is>
          <t>Tofu &amp; Tempeh</t>
        </is>
      </c>
      <c r="H667" s="6" t="inlineStr">
        <is>
          <t>yes</t>
        </is>
      </c>
      <c r="I667" s="6" t="inlineStr">
        <is>
          <t>Plant-based core</t>
        </is>
      </c>
      <c r="J667" s="6" t="inlineStr">
        <is>
          <t>B</t>
        </is>
      </c>
      <c r="K667" s="6" t="inlineStr">
        <is>
          <t>Follows the class</t>
        </is>
      </c>
      <c r="L667" s="6" t="n">
        <v>12.5</v>
      </c>
      <c r="M667" s="6" t="inlineStr">
        <is>
          <t>Open Food Facts, by EAN</t>
        </is>
      </c>
      <c r="N667" s="6" t="n">
        <v>12.5</v>
      </c>
      <c r="O667" s="6" t="n">
        <v>0</v>
      </c>
      <c r="P667" s="6" t="inlineStr">
        <is>
          <t>yes</t>
        </is>
      </c>
      <c r="Q667" s="6" t="inlineStr">
        <is>
          <t>whole</t>
        </is>
      </c>
      <c r="R667" s="6" t="inlineStr">
        <is>
          <t>FG1</t>
        </is>
      </c>
      <c r="S667" s="6" t="inlineStr">
        <is>
          <t>tofu tempeh seitan</t>
        </is>
      </c>
      <c r="T667" s="6" t="inlineStr">
        <is>
          <t>plant</t>
        </is>
      </c>
      <c r="U667" s="6" t="n"/>
      <c r="V667" s="6" t="n"/>
      <c r="W667" s="6" t="n">
        <v>1</v>
      </c>
      <c r="X667" s="6" t="n">
        <v>0.28</v>
      </c>
      <c r="Y667" s="6" t="inlineStr">
        <is>
          <t>declared</t>
        </is>
      </c>
      <c r="Z667" s="8" t="n">
        <v>8400</v>
      </c>
      <c r="AA667" s="9">
        <f>IF(H667="yes",Z667*X667,0)</f>
        <v/>
      </c>
      <c r="AB667" s="9">
        <f>IF(H667="yes",AA667*N(L667)/100,0)</f>
        <v/>
      </c>
      <c r="AC667" s="9">
        <f>IF(H667="yes",AA667*N(N667)/100,0)</f>
        <v/>
      </c>
      <c r="AD667" s="9">
        <f>IF(H667="yes",AA667*N(O667)/100,0)</f>
        <v/>
      </c>
      <c r="AE667" s="10">
        <f>IF(P667="yes",AA667/1000,0)</f>
        <v/>
      </c>
      <c r="AF667" s="10">
        <f>IF(R667="FG2",AE667*W667,AE667)</f>
        <v/>
      </c>
    </row>
    <row r="668">
      <c r="A668" s="6" t="inlineStr">
        <is>
          <t>HM00666</t>
        </is>
      </c>
      <c r="B668" s="7" t="inlineStr">
        <is>
          <t>5012345329888</t>
        </is>
      </c>
      <c r="C668" s="6" t="inlineStr">
        <is>
          <t>MARLOWE VANILLA ICE CREAM 900ML</t>
        </is>
      </c>
      <c r="D668" s="6" t="inlineStr">
        <is>
          <t>Vanilla ice cream, 900ml</t>
        </is>
      </c>
      <c r="E668" s="6" t="inlineStr">
        <is>
          <t>Marlowe</t>
        </is>
      </c>
      <c r="F668" s="6" t="inlineStr">
        <is>
          <t>Frozen</t>
        </is>
      </c>
      <c r="G668" s="6" t="inlineStr">
        <is>
          <t>Ice Cream</t>
        </is>
      </c>
      <c r="H668" s="6" t="inlineStr">
        <is>
          <t>yes</t>
        </is>
      </c>
      <c r="I668" s="6" t="inlineStr">
        <is>
          <t>Animal core</t>
        </is>
      </c>
      <c r="J668" s="6" t="inlineStr">
        <is>
          <t>B</t>
        </is>
      </c>
      <c r="K668" s="6" t="inlineStr">
        <is>
          <t>First ingredient (step 4a)</t>
        </is>
      </c>
      <c r="L668" s="6" t="n">
        <v>3.4</v>
      </c>
      <c r="M668" s="6" t="inlineStr">
        <is>
          <t>Declared by the retailer</t>
        </is>
      </c>
      <c r="N668" s="6" t="n">
        <v>0</v>
      </c>
      <c r="O668" s="6" t="n">
        <v>3.4</v>
      </c>
      <c r="P668" s="6" t="inlineStr">
        <is>
          <t>yes</t>
        </is>
      </c>
      <c r="Q668" s="6" t="inlineStr">
        <is>
          <t>whole</t>
        </is>
      </c>
      <c r="R668" s="6" t="inlineStr">
        <is>
          <t>FG7</t>
        </is>
      </c>
      <c r="S668" s="6" t="n"/>
      <c r="T668" s="6" t="inlineStr">
        <is>
          <t>animal</t>
        </is>
      </c>
      <c r="U668" s="6" t="n"/>
      <c r="V668" s="6" t="n"/>
      <c r="W668" s="6" t="n">
        <v>1</v>
      </c>
      <c r="X668" s="6" t="n">
        <v>0.5</v>
      </c>
      <c r="Y668" s="6" t="inlineStr">
        <is>
          <t>declared</t>
        </is>
      </c>
      <c r="Z668" s="8" t="n">
        <v>10227</v>
      </c>
      <c r="AA668" s="9">
        <f>IF(H668="yes",Z668*X668,0)</f>
        <v/>
      </c>
      <c r="AB668" s="9">
        <f>IF(H668="yes",AA668*N(L668)/100,0)</f>
        <v/>
      </c>
      <c r="AC668" s="9">
        <f>IF(H668="yes",AA668*N(N668)/100,0)</f>
        <v/>
      </c>
      <c r="AD668" s="9">
        <f>IF(H668="yes",AA668*N(O668)/100,0)</f>
        <v/>
      </c>
      <c r="AE668" s="10">
        <f>IF(P668="yes",AA668/1000,0)</f>
        <v/>
      </c>
      <c r="AF668" s="10">
        <f>IF(R668="FG2",AE668*W668,AE668)</f>
        <v/>
      </c>
    </row>
    <row r="669">
      <c r="A669" s="6" t="inlineStr">
        <is>
          <t>HM00667</t>
        </is>
      </c>
      <c r="B669" s="7" t="inlineStr">
        <is>
          <t>5012345719054</t>
        </is>
      </c>
      <c r="C669" s="6" t="inlineStr">
        <is>
          <t>HM SPAG BOLOGNESE 2X400G</t>
        </is>
      </c>
      <c r="D669" s="6" t="inlineStr">
        <is>
          <t>Spaghetti bolognese, 2x400g</t>
        </is>
      </c>
      <c r="E669" s="6" t="inlineStr">
        <is>
          <t>Harbour Market</t>
        </is>
      </c>
      <c r="F669" s="6" t="inlineStr">
        <is>
          <t>Ready Meals</t>
        </is>
      </c>
      <c r="G669" s="6" t="inlineStr">
        <is>
          <t>Ready Meals</t>
        </is>
      </c>
      <c r="H669" s="6" t="inlineStr">
        <is>
          <t>yes</t>
        </is>
      </c>
      <c r="I669" s="6" t="inlineStr">
        <is>
          <t>Animal &amp; plant composite</t>
        </is>
      </c>
      <c r="J669" s="6" t="inlineStr">
        <is>
          <t>A</t>
        </is>
      </c>
      <c r="K669" s="6" t="inlineStr">
        <is>
          <t>NEVO food table (ratio only)</t>
        </is>
      </c>
      <c r="L669" s="6" t="n">
        <v>7.3</v>
      </c>
      <c r="M669" s="6" t="inlineStr">
        <is>
          <t>Open Food Facts, by EAN</t>
        </is>
      </c>
      <c r="N669" s="6" t="n">
        <v>2.55</v>
      </c>
      <c r="O669" s="6" t="n">
        <v>4.75</v>
      </c>
      <c r="P669" s="6" t="inlineStr">
        <is>
          <t>yes</t>
        </is>
      </c>
      <c r="Q669" s="6" t="inlineStr">
        <is>
          <t>composite</t>
        </is>
      </c>
      <c r="R669" s="6" t="n"/>
      <c r="S669" s="6" t="n"/>
      <c r="T669" s="6" t="n"/>
      <c r="U669" s="6" t="inlineStr">
        <is>
          <t>meat-based</t>
        </is>
      </c>
      <c r="V669" s="6" t="n"/>
      <c r="W669" s="6" t="n">
        <v>1</v>
      </c>
      <c r="X669" s="6" t="n">
        <v>0.8</v>
      </c>
      <c r="Y669" s="6" t="inlineStr">
        <is>
          <t>declared</t>
        </is>
      </c>
      <c r="Z669" s="8" t="n">
        <v>20631</v>
      </c>
      <c r="AA669" s="9">
        <f>IF(H669="yes",Z669*X669,0)</f>
        <v/>
      </c>
      <c r="AB669" s="9">
        <f>IF(H669="yes",AA669*N(L669)/100,0)</f>
        <v/>
      </c>
      <c r="AC669" s="9">
        <f>IF(H669="yes",AA669*N(N669)/100,0)</f>
        <v/>
      </c>
      <c r="AD669" s="9">
        <f>IF(H669="yes",AA669*N(O669)/100,0)</f>
        <v/>
      </c>
      <c r="AE669" s="10">
        <f>IF(P669="yes",AA669/1000,0)</f>
        <v/>
      </c>
      <c r="AF669" s="10">
        <f>IF(R669="FG2",AE669*W669,AE669)</f>
        <v/>
      </c>
    </row>
    <row r="670">
      <c r="A670" s="6" t="inlineStr">
        <is>
          <t>HM00668</t>
        </is>
      </c>
      <c r="B670" s="7" t="inlineStr">
        <is>
          <t>2088868832090</t>
        </is>
      </c>
      <c r="C670" s="6" t="inlineStr">
        <is>
          <t>HM CLEMENTINES LOOSE</t>
        </is>
      </c>
      <c r="D670" s="6" t="inlineStr">
        <is>
          <t>Clementines</t>
        </is>
      </c>
      <c r="E670" s="6" t="inlineStr">
        <is>
          <t>Harbour Market</t>
        </is>
      </c>
      <c r="F670" s="6" t="inlineStr">
        <is>
          <t>Fruit &amp; Vegetables</t>
        </is>
      </c>
      <c r="G670" s="6" t="inlineStr">
        <is>
          <t>Fruit</t>
        </is>
      </c>
      <c r="H670" s="6" t="inlineStr">
        <is>
          <t>yes</t>
        </is>
      </c>
      <c r="I670" s="6" t="inlineStr">
        <is>
          <t>Plant-based non-core</t>
        </is>
      </c>
      <c r="J670" s="6" t="inlineStr">
        <is>
          <t>B</t>
        </is>
      </c>
      <c r="K670" s="6" t="inlineStr">
        <is>
          <t>Follows the class</t>
        </is>
      </c>
      <c r="L670" s="6" t="n">
        <v>0.78</v>
      </c>
      <c r="M670" s="6" t="inlineStr">
        <is>
          <t>Declared by the retailer</t>
        </is>
      </c>
      <c r="N670" s="6" t="n">
        <v>0.78</v>
      </c>
      <c r="O670" s="6" t="n">
        <v>0</v>
      </c>
      <c r="P670" s="6" t="inlineStr">
        <is>
          <t>yes</t>
        </is>
      </c>
      <c r="Q670" s="6" t="inlineStr">
        <is>
          <t>whole</t>
        </is>
      </c>
      <c r="R670" s="6" t="inlineStr">
        <is>
          <t>FG4</t>
        </is>
      </c>
      <c r="S670" s="6" t="n"/>
      <c r="T670" s="6" t="inlineStr">
        <is>
          <t>plant</t>
        </is>
      </c>
      <c r="U670" s="6" t="n"/>
      <c r="V670" s="6" t="n"/>
      <c r="W670" s="6" t="n">
        <v>1</v>
      </c>
      <c r="X670" s="6" t="n">
        <v>1</v>
      </c>
      <c r="Y670" s="6" t="inlineStr">
        <is>
          <t>variable</t>
        </is>
      </c>
      <c r="Z670" s="8" t="n">
        <v>23537</v>
      </c>
      <c r="AA670" s="9">
        <f>IF(H670="yes",Z670*X670,0)</f>
        <v/>
      </c>
      <c r="AB670" s="9">
        <f>IF(H670="yes",AA670*N(L670)/100,0)</f>
        <v/>
      </c>
      <c r="AC670" s="9">
        <f>IF(H670="yes",AA670*N(N670)/100,0)</f>
        <v/>
      </c>
      <c r="AD670" s="9">
        <f>IF(H670="yes",AA670*N(O670)/100,0)</f>
        <v/>
      </c>
      <c r="AE670" s="10">
        <f>IF(P670="yes",AA670/1000,0)</f>
        <v/>
      </c>
      <c r="AF670" s="10">
        <f>IF(R670="FG2",AE670*W670,AE670)</f>
        <v/>
      </c>
    </row>
    <row r="671">
      <c r="A671" s="6" t="inlineStr">
        <is>
          <t>HM00669</t>
        </is>
      </c>
      <c r="B671" s="7" t="inlineStr">
        <is>
          <t>5012345672236</t>
        </is>
      </c>
      <c r="C671" s="6" t="inlineStr">
        <is>
          <t>HM PAIN AU CHOCOLAT 6PK 270G</t>
        </is>
      </c>
      <c r="D671" s="6" t="inlineStr">
        <is>
          <t>Pains au chocolat, 6pk 270g</t>
        </is>
      </c>
      <c r="E671" s="6" t="inlineStr">
        <is>
          <t>Harbour Market</t>
        </is>
      </c>
      <c r="F671" s="6" t="inlineStr">
        <is>
          <t>Bakery</t>
        </is>
      </c>
      <c r="G671" s="6" t="inlineStr">
        <is>
          <t>Pastries</t>
        </is>
      </c>
      <c r="H671" s="6" t="inlineStr">
        <is>
          <t>yes</t>
        </is>
      </c>
      <c r="I671" s="6" t="inlineStr">
        <is>
          <t>Animal &amp; plant composite</t>
        </is>
      </c>
      <c r="J671" s="6" t="inlineStr">
        <is>
          <t>A</t>
        </is>
      </c>
      <c r="K671" s="6" t="inlineStr">
        <is>
          <t>NEVO food table (ratio only)</t>
        </is>
      </c>
      <c r="L671" s="6" t="n">
        <v>8.1</v>
      </c>
      <c r="M671" s="6" t="inlineStr">
        <is>
          <t>Declared by the retailer</t>
        </is>
      </c>
      <c r="N671" s="6" t="n">
        <v>5.83</v>
      </c>
      <c r="O671" s="6" t="n">
        <v>2.27</v>
      </c>
      <c r="P671" s="6" t="inlineStr">
        <is>
          <t>yes</t>
        </is>
      </c>
      <c r="Q671" s="6" t="inlineStr">
        <is>
          <t>whole</t>
        </is>
      </c>
      <c r="R671" s="6" t="inlineStr">
        <is>
          <t>FG7</t>
        </is>
      </c>
      <c r="S671" s="6" t="n"/>
      <c r="T671" s="6" t="inlineStr">
        <is>
          <t>plant</t>
        </is>
      </c>
      <c r="U671" s="6" t="n"/>
      <c r="V671" s="6" t="n"/>
      <c r="W671" s="6" t="n">
        <v>1</v>
      </c>
      <c r="X671" s="6" t="n">
        <v>0.27</v>
      </c>
      <c r="Y671" s="6" t="inlineStr">
        <is>
          <t>declared</t>
        </is>
      </c>
      <c r="Z671" s="8" t="n">
        <v>21599</v>
      </c>
      <c r="AA671" s="9">
        <f>IF(H671="yes",Z671*X671,0)</f>
        <v/>
      </c>
      <c r="AB671" s="9">
        <f>IF(H671="yes",AA671*N(L671)/100,0)</f>
        <v/>
      </c>
      <c r="AC671" s="9">
        <f>IF(H671="yes",AA671*N(N671)/100,0)</f>
        <v/>
      </c>
      <c r="AD671" s="9">
        <f>IF(H671="yes",AA671*N(O671)/100,0)</f>
        <v/>
      </c>
      <c r="AE671" s="10">
        <f>IF(P671="yes",AA671/1000,0)</f>
        <v/>
      </c>
      <c r="AF671" s="10">
        <f>IF(R671="FG2",AE671*W671,AE671)</f>
        <v/>
      </c>
    </row>
    <row r="672">
      <c r="A672" s="6" t="inlineStr">
        <is>
          <t>HM00670</t>
        </is>
      </c>
      <c r="B672" s="7" t="inlineStr">
        <is>
          <t>5012345181929</t>
        </is>
      </c>
      <c r="C672" s="6" t="inlineStr">
        <is>
          <t>HM LEMONS 500G</t>
        </is>
      </c>
      <c r="D672" s="6" t="inlineStr">
        <is>
          <t>Lemons, 500g</t>
        </is>
      </c>
      <c r="E672" s="6" t="inlineStr">
        <is>
          <t>Harbour Market</t>
        </is>
      </c>
      <c r="F672" s="6" t="inlineStr">
        <is>
          <t>Fruit &amp; Vegetables</t>
        </is>
      </c>
      <c r="G672" s="6" t="inlineStr">
        <is>
          <t>Fruit</t>
        </is>
      </c>
      <c r="H672" s="6" t="inlineStr">
        <is>
          <t>yes</t>
        </is>
      </c>
      <c r="I672" s="6" t="inlineStr">
        <is>
          <t>Plant-based non-core</t>
        </is>
      </c>
      <c r="J672" s="6" t="inlineStr">
        <is>
          <t>B</t>
        </is>
      </c>
      <c r="K672" s="6" t="inlineStr">
        <is>
          <t>Follows the class</t>
        </is>
      </c>
      <c r="L672" s="6" t="n">
        <v>0.63</v>
      </c>
      <c r="M672" s="6" t="inlineStr">
        <is>
          <t>Declared by the retailer</t>
        </is>
      </c>
      <c r="N672" s="6" t="n">
        <v>0.63</v>
      </c>
      <c r="O672" s="6" t="n">
        <v>0</v>
      </c>
      <c r="P672" s="6" t="inlineStr">
        <is>
          <t>yes</t>
        </is>
      </c>
      <c r="Q672" s="6" t="inlineStr">
        <is>
          <t>whole</t>
        </is>
      </c>
      <c r="R672" s="6" t="inlineStr">
        <is>
          <t>FG4</t>
        </is>
      </c>
      <c r="S672" s="6" t="n"/>
      <c r="T672" s="6" t="inlineStr">
        <is>
          <t>plant</t>
        </is>
      </c>
      <c r="U672" s="6" t="n"/>
      <c r="V672" s="6" t="n"/>
      <c r="W672" s="6" t="n">
        <v>1</v>
      </c>
      <c r="X672" s="6" t="n">
        <v>0.5</v>
      </c>
      <c r="Y672" s="6" t="inlineStr">
        <is>
          <t>declared</t>
        </is>
      </c>
      <c r="Z672" s="8" t="n">
        <v>89037</v>
      </c>
      <c r="AA672" s="9">
        <f>IF(H672="yes",Z672*X672,0)</f>
        <v/>
      </c>
      <c r="AB672" s="9">
        <f>IF(H672="yes",AA672*N(L672)/100,0)</f>
        <v/>
      </c>
      <c r="AC672" s="9">
        <f>IF(H672="yes",AA672*N(N672)/100,0)</f>
        <v/>
      </c>
      <c r="AD672" s="9">
        <f>IF(H672="yes",AA672*N(O672)/100,0)</f>
        <v/>
      </c>
      <c r="AE672" s="10">
        <f>IF(P672="yes",AA672/1000,0)</f>
        <v/>
      </c>
      <c r="AF672" s="10">
        <f>IF(R672="FG2",AE672*W672,AE672)</f>
        <v/>
      </c>
    </row>
    <row r="673">
      <c r="A673" s="6" t="inlineStr">
        <is>
          <t>HM00671</t>
        </is>
      </c>
      <c r="B673" s="7" t="inlineStr">
        <is>
          <t>3012345892193</t>
        </is>
      </c>
      <c r="C673" s="6" t="inlineStr">
        <is>
          <t>SOLVANE PLANT MINCE 226G</t>
        </is>
      </c>
      <c r="D673" s="6" t="inlineStr">
        <is>
          <t>Plant-based mince, 226g</t>
        </is>
      </c>
      <c r="E673" s="6" t="inlineStr">
        <is>
          <t>Solvane</t>
        </is>
      </c>
      <c r="F673" s="6" t="inlineStr">
        <is>
          <t>Plant-Based</t>
        </is>
      </c>
      <c r="G673" s="6" t="inlineStr">
        <is>
          <t>Meat Alternatives</t>
        </is>
      </c>
      <c r="H673" s="6" t="inlineStr">
        <is>
          <t>yes</t>
        </is>
      </c>
      <c r="I673" s="6" t="inlineStr">
        <is>
          <t>Plant-based core</t>
        </is>
      </c>
      <c r="J673" s="6" t="inlineStr">
        <is>
          <t>A</t>
        </is>
      </c>
      <c r="K673" s="6" t="inlineStr">
        <is>
          <t>All ingredients on one side</t>
        </is>
      </c>
      <c r="L673" s="6" t="n">
        <v>17.1</v>
      </c>
      <c r="M673" s="6" t="inlineStr">
        <is>
          <t>Declared by the retailer</t>
        </is>
      </c>
      <c r="N673" s="6" t="n">
        <v>17.1</v>
      </c>
      <c r="O673" s="6" t="n">
        <v>0</v>
      </c>
      <c r="P673" s="6" t="inlineStr">
        <is>
          <t>yes</t>
        </is>
      </c>
      <c r="Q673" s="6" t="inlineStr">
        <is>
          <t>whole</t>
        </is>
      </c>
      <c r="R673" s="6" t="inlineStr">
        <is>
          <t>FG1</t>
        </is>
      </c>
      <c r="S673" s="6" t="inlineStr">
        <is>
          <t>alternative products</t>
        </is>
      </c>
      <c r="T673" s="6" t="inlineStr">
        <is>
          <t>plant</t>
        </is>
      </c>
      <c r="U673" s="6" t="n"/>
      <c r="V673" s="6" t="n"/>
      <c r="W673" s="6" t="n">
        <v>1</v>
      </c>
      <c r="X673" s="6" t="n">
        <v>0.226</v>
      </c>
      <c r="Y673" s="6" t="inlineStr">
        <is>
          <t>declared</t>
        </is>
      </c>
      <c r="Z673" s="8" t="n">
        <v>17907</v>
      </c>
      <c r="AA673" s="9">
        <f>IF(H673="yes",Z673*X673,0)</f>
        <v/>
      </c>
      <c r="AB673" s="9">
        <f>IF(H673="yes",AA673*N(L673)/100,0)</f>
        <v/>
      </c>
      <c r="AC673" s="9">
        <f>IF(H673="yes",AA673*N(N673)/100,0)</f>
        <v/>
      </c>
      <c r="AD673" s="9">
        <f>IF(H673="yes",AA673*N(O673)/100,0)</f>
        <v/>
      </c>
      <c r="AE673" s="10">
        <f>IF(P673="yes",AA673/1000,0)</f>
        <v/>
      </c>
      <c r="AF673" s="10">
        <f>IF(R673="FG2",AE673*W673,AE673)</f>
        <v/>
      </c>
    </row>
    <row r="674">
      <c r="A674" s="6" t="inlineStr">
        <is>
          <t>HM00672</t>
        </is>
      </c>
      <c r="B674" s="7" t="inlineStr">
        <is>
          <t>3012345299794</t>
        </is>
      </c>
      <c r="C674" s="6" t="inlineStr">
        <is>
          <t>EGG LASAGNE SHEETS 250G ORVALIS</t>
        </is>
      </c>
      <c r="D674" s="6" t="inlineStr">
        <is>
          <t>Egg lasagne sheets, 250g</t>
        </is>
      </c>
      <c r="E674" s="6" t="inlineStr">
        <is>
          <t>Orvalis</t>
        </is>
      </c>
      <c r="F674" s="6" t="inlineStr">
        <is>
          <t>Grocery</t>
        </is>
      </c>
      <c r="G674" s="6" t="inlineStr">
        <is>
          <t>Fresh Pasta</t>
        </is>
      </c>
      <c r="H674" s="6" t="inlineStr">
        <is>
          <t>yes</t>
        </is>
      </c>
      <c r="I674" s="6" t="inlineStr">
        <is>
          <t>Animal &amp; plant composite</t>
        </is>
      </c>
      <c r="J674" s="6" t="inlineStr">
        <is>
          <t>A</t>
        </is>
      </c>
      <c r="K674" s="6" t="inlineStr">
        <is>
          <t>Ingredient list</t>
        </is>
      </c>
      <c r="L674" s="6" t="n">
        <v>13.5</v>
      </c>
      <c r="M674" s="6" t="inlineStr">
        <is>
          <t>Declared by the retailer</t>
        </is>
      </c>
      <c r="N674" s="6" t="n">
        <v>10.53</v>
      </c>
      <c r="O674" s="6" t="n">
        <v>2.97</v>
      </c>
      <c r="P674" s="6" t="inlineStr">
        <is>
          <t>yes</t>
        </is>
      </c>
      <c r="Q674" s="6" t="inlineStr">
        <is>
          <t>composite</t>
        </is>
      </c>
      <c r="R674" s="6" t="n"/>
      <c r="S674" s="6" t="n"/>
      <c r="T674" s="6" t="n"/>
      <c r="U674" s="6" t="inlineStr">
        <is>
          <t>vegetarian</t>
        </is>
      </c>
      <c r="V674" s="6" t="n"/>
      <c r="W674" s="6" t="n">
        <v>1</v>
      </c>
      <c r="X674" s="6" t="n">
        <v>0.25</v>
      </c>
      <c r="Y674" s="6" t="inlineStr">
        <is>
          <t>declared</t>
        </is>
      </c>
      <c r="Z674" s="8" t="n">
        <v>116586</v>
      </c>
      <c r="AA674" s="9">
        <f>IF(H674="yes",Z674*X674,0)</f>
        <v/>
      </c>
      <c r="AB674" s="9">
        <f>IF(H674="yes",AA674*N(L674)/100,0)</f>
        <v/>
      </c>
      <c r="AC674" s="9">
        <f>IF(H674="yes",AA674*N(N674)/100,0)</f>
        <v/>
      </c>
      <c r="AD674" s="9">
        <f>IF(H674="yes",AA674*N(O674)/100,0)</f>
        <v/>
      </c>
      <c r="AE674" s="10">
        <f>IF(P674="yes",AA674/1000,0)</f>
        <v/>
      </c>
      <c r="AF674" s="10">
        <f>IF(R674="FG2",AE674*W674,AE674)</f>
        <v/>
      </c>
    </row>
    <row r="675">
      <c r="A675" s="6" t="inlineStr">
        <is>
          <t>HM00673</t>
        </is>
      </c>
      <c r="B675" s="7" t="inlineStr">
        <is>
          <t>3012345058216</t>
        </is>
      </c>
      <c r="C675" s="6" t="inlineStr">
        <is>
          <t>HM SKMD MILK 1L</t>
        </is>
      </c>
      <c r="D675" s="6" t="inlineStr">
        <is>
          <t>Skimmed milk, 1l</t>
        </is>
      </c>
      <c r="E675" s="6" t="inlineStr">
        <is>
          <t>Harbour Market</t>
        </is>
      </c>
      <c r="F675" s="6" t="inlineStr">
        <is>
          <t>Dairy &amp; Eggs</t>
        </is>
      </c>
      <c r="G675" s="6" t="inlineStr">
        <is>
          <t>Milk</t>
        </is>
      </c>
      <c r="H675" s="6" t="inlineStr">
        <is>
          <t>yes</t>
        </is>
      </c>
      <c r="I675" s="6" t="inlineStr">
        <is>
          <t>Animal core</t>
        </is>
      </c>
      <c r="J675" s="6" t="inlineStr">
        <is>
          <t>A</t>
        </is>
      </c>
      <c r="K675" s="6" t="inlineStr">
        <is>
          <t>All ingredients on one side</t>
        </is>
      </c>
      <c r="L675" s="6" t="n">
        <v>3.6</v>
      </c>
      <c r="M675" s="6" t="inlineStr">
        <is>
          <t>Declared by the retailer</t>
        </is>
      </c>
      <c r="N675" s="6" t="n">
        <v>0</v>
      </c>
      <c r="O675" s="6" t="n">
        <v>3.6</v>
      </c>
      <c r="P675" s="6" t="inlineStr">
        <is>
          <t>yes</t>
        </is>
      </c>
      <c r="Q675" s="6" t="inlineStr">
        <is>
          <t>whole</t>
        </is>
      </c>
      <c r="R675" s="6" t="inlineStr">
        <is>
          <t>FG2</t>
        </is>
      </c>
      <c r="S675" s="6" t="inlineStr">
        <is>
          <t>dairy</t>
        </is>
      </c>
      <c r="T675" s="6" t="inlineStr">
        <is>
          <t>animal</t>
        </is>
      </c>
      <c r="U675" s="6" t="n"/>
      <c r="V675" s="6" t="n"/>
      <c r="W675" s="6" t="n">
        <v>1</v>
      </c>
      <c r="X675" s="6" t="n">
        <v>1.03</v>
      </c>
      <c r="Y675" s="6" t="inlineStr">
        <is>
          <t>declared</t>
        </is>
      </c>
      <c r="Z675" s="8" t="n">
        <v>156630</v>
      </c>
      <c r="AA675" s="9">
        <f>IF(H675="yes",Z675*X675,0)</f>
        <v/>
      </c>
      <c r="AB675" s="9">
        <f>IF(H675="yes",AA675*N(L675)/100,0)</f>
        <v/>
      </c>
      <c r="AC675" s="9">
        <f>IF(H675="yes",AA675*N(N675)/100,0)</f>
        <v/>
      </c>
      <c r="AD675" s="9">
        <f>IF(H675="yes",AA675*N(O675)/100,0)</f>
        <v/>
      </c>
      <c r="AE675" s="10">
        <f>IF(P675="yes",AA675/1000,0)</f>
        <v/>
      </c>
      <c r="AF675" s="10">
        <f>IF(R675="FG2",AE675*W675,AE675)</f>
        <v/>
      </c>
    </row>
    <row r="676">
      <c r="A676" s="6" t="inlineStr">
        <is>
          <t>HM00674</t>
        </is>
      </c>
      <c r="B676" s="7" t="inlineStr">
        <is>
          <t>4012345334944</t>
        </is>
      </c>
      <c r="C676" s="6" t="inlineStr">
        <is>
          <t>HM OAT DRINK 6X1L</t>
        </is>
      </c>
      <c r="D676" s="6" t="inlineStr">
        <is>
          <t>Oat drink, 6x1l</t>
        </is>
      </c>
      <c r="E676" s="6" t="inlineStr">
        <is>
          <t>Harbour Market</t>
        </is>
      </c>
      <c r="F676" s="6" t="inlineStr">
        <is>
          <t>Plant-Based</t>
        </is>
      </c>
      <c r="G676" s="6" t="inlineStr">
        <is>
          <t>Plant Drinks</t>
        </is>
      </c>
      <c r="H676" s="6" t="inlineStr">
        <is>
          <t>yes</t>
        </is>
      </c>
      <c r="I676" s="6" t="inlineStr">
        <is>
          <t>Plant-based core</t>
        </is>
      </c>
      <c r="J676" s="6" t="inlineStr">
        <is>
          <t>A</t>
        </is>
      </c>
      <c r="K676" s="6" t="inlineStr">
        <is>
          <t>All ingredients on one side</t>
        </is>
      </c>
      <c r="L676" s="6" t="n">
        <v>0.95</v>
      </c>
      <c r="M676" s="6" t="inlineStr">
        <is>
          <t>Open Food Facts, by EAN</t>
        </is>
      </c>
      <c r="N676" s="6" t="n">
        <v>0.95</v>
      </c>
      <c r="O676" s="6" t="n">
        <v>0</v>
      </c>
      <c r="P676" s="6" t="inlineStr">
        <is>
          <t>yes</t>
        </is>
      </c>
      <c r="Q676" s="6" t="inlineStr">
        <is>
          <t>whole</t>
        </is>
      </c>
      <c r="R676" s="6" t="inlineStr">
        <is>
          <t>FG2</t>
        </is>
      </c>
      <c r="S676" s="6" t="inlineStr">
        <is>
          <t>dairy alternatives</t>
        </is>
      </c>
      <c r="T676" s="6" t="inlineStr">
        <is>
          <t>plant</t>
        </is>
      </c>
      <c r="U676" s="6" t="n"/>
      <c r="V676" s="6" t="n"/>
      <c r="W676" s="6" t="n">
        <v>1</v>
      </c>
      <c r="X676" s="6" t="n">
        <v>6.18</v>
      </c>
      <c r="Y676" s="6" t="inlineStr">
        <is>
          <t>label</t>
        </is>
      </c>
      <c r="Z676" s="8" t="n">
        <v>12459</v>
      </c>
      <c r="AA676" s="9">
        <f>IF(H676="yes",Z676*X676,0)</f>
        <v/>
      </c>
      <c r="AB676" s="9">
        <f>IF(H676="yes",AA676*N(L676)/100,0)</f>
        <v/>
      </c>
      <c r="AC676" s="9">
        <f>IF(H676="yes",AA676*N(N676)/100,0)</f>
        <v/>
      </c>
      <c r="AD676" s="9">
        <f>IF(H676="yes",AA676*N(O676)/100,0)</f>
        <v/>
      </c>
      <c r="AE676" s="10">
        <f>IF(P676="yes",AA676/1000,0)</f>
        <v/>
      </c>
      <c r="AF676" s="10">
        <f>IF(R676="FG2",AE676*W676,AE676)</f>
        <v/>
      </c>
    </row>
    <row r="677">
      <c r="A677" s="6" t="inlineStr">
        <is>
          <t>HM00675</t>
        </is>
      </c>
      <c r="B677" s="7" t="inlineStr">
        <is>
          <t>8712345165192</t>
        </is>
      </c>
      <c r="C677" s="6" t="inlineStr">
        <is>
          <t>WHOLE ALMONDS 200G PENROCK</t>
        </is>
      </c>
      <c r="D677" s="6" t="inlineStr">
        <is>
          <t>Whole almonds, 200g</t>
        </is>
      </c>
      <c r="E677" s="6" t="inlineStr">
        <is>
          <t>Penrock</t>
        </is>
      </c>
      <c r="F677" s="6" t="inlineStr">
        <is>
          <t>Grocery</t>
        </is>
      </c>
      <c r="G677" s="6" t="inlineStr">
        <is>
          <t>Nuts &amp; Seeds</t>
        </is>
      </c>
      <c r="H677" s="6" t="inlineStr">
        <is>
          <t>yes</t>
        </is>
      </c>
      <c r="I677" s="6" t="inlineStr">
        <is>
          <t>Plant-based core</t>
        </is>
      </c>
      <c r="J677" s="6" t="inlineStr">
        <is>
          <t>A</t>
        </is>
      </c>
      <c r="K677" s="6" t="inlineStr">
        <is>
          <t>All ingredients on one side</t>
        </is>
      </c>
      <c r="L677" s="6" t="n">
        <v>21.4</v>
      </c>
      <c r="M677" s="6" t="inlineStr">
        <is>
          <t>Altera reference base</t>
        </is>
      </c>
      <c r="N677" s="6" t="n">
        <v>21.4</v>
      </c>
      <c r="O677" s="6" t="n">
        <v>0</v>
      </c>
      <c r="P677" s="6" t="inlineStr">
        <is>
          <t>yes</t>
        </is>
      </c>
      <c r="Q677" s="6" t="inlineStr">
        <is>
          <t>whole</t>
        </is>
      </c>
      <c r="R677" s="6" t="inlineStr">
        <is>
          <t>FG1</t>
        </is>
      </c>
      <c r="S677" s="6" t="inlineStr">
        <is>
          <t>nuts</t>
        </is>
      </c>
      <c r="T677" s="6" t="inlineStr">
        <is>
          <t>plant</t>
        </is>
      </c>
      <c r="U677" s="6" t="n"/>
      <c r="V677" s="6" t="n"/>
      <c r="W677" s="6" t="n">
        <v>1</v>
      </c>
      <c r="X677" s="6" t="n">
        <v>0.2</v>
      </c>
      <c r="Y677" s="6" t="inlineStr">
        <is>
          <t>declared</t>
        </is>
      </c>
      <c r="Z677" s="8" t="n">
        <v>16370</v>
      </c>
      <c r="AA677" s="9">
        <f>IF(H677="yes",Z677*X677,0)</f>
        <v/>
      </c>
      <c r="AB677" s="9">
        <f>IF(H677="yes",AA677*N(L677)/100,0)</f>
        <v/>
      </c>
      <c r="AC677" s="9">
        <f>IF(H677="yes",AA677*N(N677)/100,0)</f>
        <v/>
      </c>
      <c r="AD677" s="9">
        <f>IF(H677="yes",AA677*N(O677)/100,0)</f>
        <v/>
      </c>
      <c r="AE677" s="10">
        <f>IF(P677="yes",AA677/1000,0)</f>
        <v/>
      </c>
      <c r="AF677" s="10">
        <f>IF(R677="FG2",AE677*W677,AE677)</f>
        <v/>
      </c>
    </row>
    <row r="678">
      <c r="A678" s="6" t="inlineStr">
        <is>
          <t>HM00676</t>
        </is>
      </c>
      <c r="B678" s="7" t="inlineStr">
        <is>
          <t>8712345077921</t>
        </is>
      </c>
      <c r="C678" s="6" t="inlineStr">
        <is>
          <t>SKYR NAT 4X125G FJELDA</t>
        </is>
      </c>
      <c r="D678" s="6" t="inlineStr">
        <is>
          <t>Natural skyr, 4x125g</t>
        </is>
      </c>
      <c r="E678" s="6" t="inlineStr">
        <is>
          <t>Fjelda</t>
        </is>
      </c>
      <c r="F678" s="6" t="inlineStr">
        <is>
          <t>Dairy &amp; Eggs</t>
        </is>
      </c>
      <c r="G678" s="6" t="inlineStr">
        <is>
          <t>Yoghurt</t>
        </is>
      </c>
      <c r="H678" s="6" t="inlineStr">
        <is>
          <t>yes</t>
        </is>
      </c>
      <c r="I678" s="6" t="inlineStr">
        <is>
          <t>Animal core</t>
        </is>
      </c>
      <c r="J678" s="6" t="inlineStr">
        <is>
          <t>A</t>
        </is>
      </c>
      <c r="K678" s="6" t="inlineStr">
        <is>
          <t>All ingredients on one side</t>
        </is>
      </c>
      <c r="L678" s="6" t="n">
        <v>11.4</v>
      </c>
      <c r="M678" s="6" t="inlineStr">
        <is>
          <t>Declared by the retailer</t>
        </is>
      </c>
      <c r="N678" s="6" t="n">
        <v>0</v>
      </c>
      <c r="O678" s="6" t="n">
        <v>11.4</v>
      </c>
      <c r="P678" s="6" t="inlineStr">
        <is>
          <t>yes</t>
        </is>
      </c>
      <c r="Q678" s="6" t="inlineStr">
        <is>
          <t>whole</t>
        </is>
      </c>
      <c r="R678" s="6" t="inlineStr">
        <is>
          <t>FG2</t>
        </is>
      </c>
      <c r="S678" s="6" t="inlineStr">
        <is>
          <t>dairy</t>
        </is>
      </c>
      <c r="T678" s="6" t="inlineStr">
        <is>
          <t>animal</t>
        </is>
      </c>
      <c r="U678" s="6" t="n"/>
      <c r="V678" s="6" t="n"/>
      <c r="W678" s="6" t="n">
        <v>1</v>
      </c>
      <c r="X678" s="6" t="n">
        <v>0.5</v>
      </c>
      <c r="Y678" s="6" t="inlineStr">
        <is>
          <t>declared</t>
        </is>
      </c>
      <c r="Z678" s="8" t="n">
        <v>123668</v>
      </c>
      <c r="AA678" s="9">
        <f>IF(H678="yes",Z678*X678,0)</f>
        <v/>
      </c>
      <c r="AB678" s="9">
        <f>IF(H678="yes",AA678*N(L678)/100,0)</f>
        <v/>
      </c>
      <c r="AC678" s="9">
        <f>IF(H678="yes",AA678*N(N678)/100,0)</f>
        <v/>
      </c>
      <c r="AD678" s="9">
        <f>IF(H678="yes",AA678*N(O678)/100,0)</f>
        <v/>
      </c>
      <c r="AE678" s="10">
        <f>IF(P678="yes",AA678/1000,0)</f>
        <v/>
      </c>
      <c r="AF678" s="10">
        <f>IF(R678="FG2",AE678*W678,AE678)</f>
        <v/>
      </c>
    </row>
    <row r="679">
      <c r="A679" s="6" t="inlineStr">
        <is>
          <t>HM00677</t>
        </is>
      </c>
      <c r="B679" s="7" t="inlineStr">
        <is>
          <t>5012345111018</t>
        </is>
      </c>
      <c r="C679" s="6" t="inlineStr">
        <is>
          <t>HM YELLOW SPLIT PEAS 1KG</t>
        </is>
      </c>
      <c r="D679" s="6" t="inlineStr">
        <is>
          <t>Yellow split peas, 1kg</t>
        </is>
      </c>
      <c r="E679" s="6" t="inlineStr">
        <is>
          <t>Harbour Market</t>
        </is>
      </c>
      <c r="F679" s="6" t="inlineStr">
        <is>
          <t>Grocery</t>
        </is>
      </c>
      <c r="G679" s="6" t="inlineStr">
        <is>
          <t>Pulses</t>
        </is>
      </c>
      <c r="H679" s="6" t="inlineStr">
        <is>
          <t>yes</t>
        </is>
      </c>
      <c r="I679" s="6" t="inlineStr">
        <is>
          <t>Plant-based core</t>
        </is>
      </c>
      <c r="J679" s="6" t="inlineStr">
        <is>
          <t>A</t>
        </is>
      </c>
      <c r="K679" s="6" t="inlineStr">
        <is>
          <t>All ingredients on one side</t>
        </is>
      </c>
      <c r="L679" s="6" t="n">
        <v>20.9</v>
      </c>
      <c r="M679" s="6" t="inlineStr">
        <is>
          <t>Declared by the retailer</t>
        </is>
      </c>
      <c r="N679" s="6" t="n">
        <v>20.9</v>
      </c>
      <c r="O679" s="6" t="n">
        <v>0</v>
      </c>
      <c r="P679" s="6" t="inlineStr">
        <is>
          <t>yes</t>
        </is>
      </c>
      <c r="Q679" s="6" t="inlineStr">
        <is>
          <t>whole</t>
        </is>
      </c>
      <c r="R679" s="6" t="inlineStr">
        <is>
          <t>FG1</t>
        </is>
      </c>
      <c r="S679" s="6" t="inlineStr">
        <is>
          <t>pulses</t>
        </is>
      </c>
      <c r="T679" s="6" t="inlineStr">
        <is>
          <t>plant</t>
        </is>
      </c>
      <c r="U679" s="6" t="n"/>
      <c r="V679" s="6" t="n"/>
      <c r="W679" s="6" t="n">
        <v>1</v>
      </c>
      <c r="X679" s="6" t="n">
        <v>1</v>
      </c>
      <c r="Y679" s="6" t="inlineStr">
        <is>
          <t>declared</t>
        </is>
      </c>
      <c r="Z679" s="8" t="n">
        <v>13729</v>
      </c>
      <c r="AA679" s="9">
        <f>IF(H679="yes",Z679*X679,0)</f>
        <v/>
      </c>
      <c r="AB679" s="9">
        <f>IF(H679="yes",AA679*N(L679)/100,0)</f>
        <v/>
      </c>
      <c r="AC679" s="9">
        <f>IF(H679="yes",AA679*N(N679)/100,0)</f>
        <v/>
      </c>
      <c r="AD679" s="9">
        <f>IF(H679="yes",AA679*N(O679)/100,0)</f>
        <v/>
      </c>
      <c r="AE679" s="10">
        <f>IF(P679="yes",AA679/1000,0)</f>
        <v/>
      </c>
      <c r="AF679" s="10">
        <f>IF(R679="FG2",AE679*W679,AE679)</f>
        <v/>
      </c>
    </row>
    <row r="680">
      <c r="A680" s="6" t="inlineStr">
        <is>
          <t>HM00678</t>
        </is>
      </c>
      <c r="B680" s="7" t="inlineStr">
        <is>
          <t>8712345338312</t>
        </is>
      </c>
      <c r="C680" s="6" t="inlineStr">
        <is>
          <t>FETA 200G ALDERWICK</t>
        </is>
      </c>
      <c r="D680" s="6" t="inlineStr">
        <is>
          <t>Feta, 200g</t>
        </is>
      </c>
      <c r="E680" s="6" t="inlineStr">
        <is>
          <t>Alderwick</t>
        </is>
      </c>
      <c r="F680" s="6" t="inlineStr">
        <is>
          <t>Cheese</t>
        </is>
      </c>
      <c r="G680" s="6" t="inlineStr">
        <is>
          <t>Soft Cheese</t>
        </is>
      </c>
      <c r="H680" s="6" t="inlineStr">
        <is>
          <t>yes</t>
        </is>
      </c>
      <c r="I680" s="6" t="inlineStr">
        <is>
          <t>Animal core</t>
        </is>
      </c>
      <c r="J680" s="6" t="inlineStr">
        <is>
          <t>B</t>
        </is>
      </c>
      <c r="K680" s="6" t="inlineStr">
        <is>
          <t>Follows the class</t>
        </is>
      </c>
      <c r="L680" s="6" t="n">
        <v>17.2</v>
      </c>
      <c r="M680" s="6" t="inlineStr">
        <is>
          <t>Declared by the retailer</t>
        </is>
      </c>
      <c r="N680" s="6" t="n">
        <v>0</v>
      </c>
      <c r="O680" s="6" t="n">
        <v>17.2</v>
      </c>
      <c r="P680" s="6" t="inlineStr">
        <is>
          <t>yes</t>
        </is>
      </c>
      <c r="Q680" s="6" t="inlineStr">
        <is>
          <t>whole</t>
        </is>
      </c>
      <c r="R680" s="6" t="inlineStr">
        <is>
          <t>FG2</t>
        </is>
      </c>
      <c r="S680" s="6" t="inlineStr">
        <is>
          <t>dairy</t>
        </is>
      </c>
      <c r="T680" s="6" t="inlineStr">
        <is>
          <t>animal</t>
        </is>
      </c>
      <c r="U680" s="6" t="n"/>
      <c r="V680" s="6" t="n"/>
      <c r="W680" s="6" t="n">
        <v>10</v>
      </c>
      <c r="X680" s="6" t="n">
        <v>0.2</v>
      </c>
      <c r="Y680" s="6" t="inlineStr">
        <is>
          <t>declared</t>
        </is>
      </c>
      <c r="Z680" s="8" t="n">
        <v>14704</v>
      </c>
      <c r="AA680" s="9">
        <f>IF(H680="yes",Z680*X680,0)</f>
        <v/>
      </c>
      <c r="AB680" s="9">
        <f>IF(H680="yes",AA680*N(L680)/100,0)</f>
        <v/>
      </c>
      <c r="AC680" s="9">
        <f>IF(H680="yes",AA680*N(N680)/100,0)</f>
        <v/>
      </c>
      <c r="AD680" s="9">
        <f>IF(H680="yes",AA680*N(O680)/100,0)</f>
        <v/>
      </c>
      <c r="AE680" s="10">
        <f>IF(P680="yes",AA680/1000,0)</f>
        <v/>
      </c>
      <c r="AF680" s="10">
        <f>IF(R680="FG2",AE680*W680,AE680)</f>
        <v/>
      </c>
    </row>
    <row r="681">
      <c r="A681" s="6" t="inlineStr">
        <is>
          <t>HM00679</t>
        </is>
      </c>
      <c r="B681" s="7" t="inlineStr">
        <is>
          <t>3012345424110</t>
        </is>
      </c>
      <c r="C681" s="6" t="inlineStr">
        <is>
          <t>MILK CHOC BUTTONS 4X40G MARLOWE</t>
        </is>
      </c>
      <c r="D681" s="6" t="inlineStr">
        <is>
          <t>Milk chocolate buttons, 4x40g</t>
        </is>
      </c>
      <c r="E681" s="6" t="inlineStr">
        <is>
          <t>Marlowe</t>
        </is>
      </c>
      <c r="F681" s="6" t="inlineStr">
        <is>
          <t>Breakfast &amp; Snacks</t>
        </is>
      </c>
      <c r="G681" s="6" t="inlineStr">
        <is>
          <t>Chocolate</t>
        </is>
      </c>
      <c r="H681" s="6" t="inlineStr">
        <is>
          <t>yes</t>
        </is>
      </c>
      <c r="I681" s="6" t="inlineStr">
        <is>
          <t>Animal &amp; plant composite</t>
        </is>
      </c>
      <c r="J681" s="6" t="inlineStr">
        <is>
          <t>A</t>
        </is>
      </c>
      <c r="K681" s="6" t="inlineStr">
        <is>
          <t>Ingredient list</t>
        </is>
      </c>
      <c r="L681" s="6" t="n">
        <v>7.6</v>
      </c>
      <c r="M681" s="6" t="inlineStr">
        <is>
          <t>Altera reference base</t>
        </is>
      </c>
      <c r="N681" s="6" t="n">
        <v>3.5</v>
      </c>
      <c r="O681" s="6" t="n">
        <v>4.1</v>
      </c>
      <c r="P681" s="6" t="inlineStr">
        <is>
          <t>yes</t>
        </is>
      </c>
      <c r="Q681" s="6" t="inlineStr">
        <is>
          <t>whole</t>
        </is>
      </c>
      <c r="R681" s="6" t="inlineStr">
        <is>
          <t>FG7</t>
        </is>
      </c>
      <c r="S681" s="6" t="n"/>
      <c r="T681" s="6" t="inlineStr">
        <is>
          <t>plant</t>
        </is>
      </c>
      <c r="U681" s="6" t="n"/>
      <c r="V681" s="6" t="n"/>
      <c r="W681" s="6" t="n">
        <v>1</v>
      </c>
      <c r="X681" s="6" t="n">
        <v>0.16</v>
      </c>
      <c r="Y681" s="6" t="inlineStr">
        <is>
          <t>declared</t>
        </is>
      </c>
      <c r="Z681" s="8" t="n">
        <v>87727</v>
      </c>
      <c r="AA681" s="9">
        <f>IF(H681="yes",Z681*X681,0)</f>
        <v/>
      </c>
      <c r="AB681" s="9">
        <f>IF(H681="yes",AA681*N(L681)/100,0)</f>
        <v/>
      </c>
      <c r="AC681" s="9">
        <f>IF(H681="yes",AA681*N(N681)/100,0)</f>
        <v/>
      </c>
      <c r="AD681" s="9">
        <f>IF(H681="yes",AA681*N(O681)/100,0)</f>
        <v/>
      </c>
      <c r="AE681" s="10">
        <f>IF(P681="yes",AA681/1000,0)</f>
        <v/>
      </c>
      <c r="AF681" s="10">
        <f>IF(R681="FG2",AE681*W681,AE681)</f>
        <v/>
      </c>
    </row>
    <row r="682">
      <c r="A682" s="6" t="inlineStr">
        <is>
          <t>HM00680</t>
        </is>
      </c>
      <c r="B682" s="7" t="inlineStr">
        <is>
          <t>2344057077190</t>
        </is>
      </c>
      <c r="C682" s="6" t="inlineStr">
        <is>
          <t>HM SWEETCORN COBS KG</t>
        </is>
      </c>
      <c r="D682" s="6" t="inlineStr">
        <is>
          <t>Sweetcorn cobs</t>
        </is>
      </c>
      <c r="E682" s="6" t="inlineStr">
        <is>
          <t>Harbour Market</t>
        </is>
      </c>
      <c r="F682" s="6" t="inlineStr">
        <is>
          <t>Fruit &amp; Vegetables</t>
        </is>
      </c>
      <c r="G682" s="6" t="inlineStr">
        <is>
          <t>Vegetables</t>
        </is>
      </c>
      <c r="H682" s="6" t="inlineStr">
        <is>
          <t>yes</t>
        </is>
      </c>
      <c r="I682" s="6" t="inlineStr">
        <is>
          <t>Plant-based non-core</t>
        </is>
      </c>
      <c r="J682" s="6" t="inlineStr">
        <is>
          <t>B</t>
        </is>
      </c>
      <c r="K682" s="6" t="inlineStr">
        <is>
          <t>Follows the class</t>
        </is>
      </c>
      <c r="L682" s="6" t="n">
        <v>3.3</v>
      </c>
      <c r="M682" s="6" t="inlineStr">
        <is>
          <t>Name match (CIQUAL / NEVO)</t>
        </is>
      </c>
      <c r="N682" s="6" t="n">
        <v>3.3</v>
      </c>
      <c r="O682" s="6" t="n">
        <v>0</v>
      </c>
      <c r="P682" s="6" t="inlineStr">
        <is>
          <t>yes</t>
        </is>
      </c>
      <c r="Q682" s="6" t="inlineStr">
        <is>
          <t>whole</t>
        </is>
      </c>
      <c r="R682" s="6" t="inlineStr">
        <is>
          <t>FG4</t>
        </is>
      </c>
      <c r="S682" s="6" t="n"/>
      <c r="T682" s="6" t="inlineStr">
        <is>
          <t>plant</t>
        </is>
      </c>
      <c r="U682" s="6" t="n"/>
      <c r="V682" s="6" t="n"/>
      <c r="W682" s="6" t="n">
        <v>1</v>
      </c>
      <c r="X682" s="6" t="n">
        <v>1</v>
      </c>
      <c r="Y682" s="6" t="inlineStr">
        <is>
          <t>variable</t>
        </is>
      </c>
      <c r="Z682" s="8" t="n">
        <v>28385</v>
      </c>
      <c r="AA682" s="9">
        <f>IF(H682="yes",Z682*X682,0)</f>
        <v/>
      </c>
      <c r="AB682" s="9">
        <f>IF(H682="yes",AA682*N(L682)/100,0)</f>
        <v/>
      </c>
      <c r="AC682" s="9">
        <f>IF(H682="yes",AA682*N(N682)/100,0)</f>
        <v/>
      </c>
      <c r="AD682" s="9">
        <f>IF(H682="yes",AA682*N(O682)/100,0)</f>
        <v/>
      </c>
      <c r="AE682" s="10">
        <f>IF(P682="yes",AA682/1000,0)</f>
        <v/>
      </c>
      <c r="AF682" s="10">
        <f>IF(R682="FG2",AE682*W682,AE682)</f>
        <v/>
      </c>
    </row>
    <row r="683">
      <c r="A683" s="6" t="inlineStr">
        <is>
          <t>HM00681</t>
        </is>
      </c>
      <c r="B683" s="7" t="inlineStr">
        <is>
          <t>4012345317305</t>
        </is>
      </c>
      <c r="C683" s="6" t="inlineStr">
        <is>
          <t>HM PLANT NUGGETS 6PK 270G</t>
        </is>
      </c>
      <c r="D683" s="6" t="inlineStr">
        <is>
          <t>Plant-based nuggets, 6pk 270g</t>
        </is>
      </c>
      <c r="E683" s="6" t="inlineStr">
        <is>
          <t>Harbour Market</t>
        </is>
      </c>
      <c r="F683" s="6" t="inlineStr">
        <is>
          <t>Plant-Based</t>
        </is>
      </c>
      <c r="G683" s="6" t="inlineStr">
        <is>
          <t>Meat Alternatives</t>
        </is>
      </c>
      <c r="H683" s="6" t="inlineStr">
        <is>
          <t>yes</t>
        </is>
      </c>
      <c r="I683" s="6" t="inlineStr">
        <is>
          <t>Plant-based core</t>
        </is>
      </c>
      <c r="J683" s="6" t="inlineStr">
        <is>
          <t>A</t>
        </is>
      </c>
      <c r="K683" s="6" t="inlineStr">
        <is>
          <t>All ingredients on one side</t>
        </is>
      </c>
      <c r="L683" s="6" t="n">
        <v>12.6</v>
      </c>
      <c r="M683" s="6" t="inlineStr">
        <is>
          <t>Declared by the retailer</t>
        </is>
      </c>
      <c r="N683" s="6" t="n">
        <v>12.6</v>
      </c>
      <c r="O683" s="6" t="n">
        <v>0</v>
      </c>
      <c r="P683" s="6" t="inlineStr">
        <is>
          <t>yes</t>
        </is>
      </c>
      <c r="Q683" s="6" t="inlineStr">
        <is>
          <t>whole</t>
        </is>
      </c>
      <c r="R683" s="6" t="inlineStr">
        <is>
          <t>FG1</t>
        </is>
      </c>
      <c r="S683" s="6" t="inlineStr">
        <is>
          <t>alternative products</t>
        </is>
      </c>
      <c r="T683" s="6" t="inlineStr">
        <is>
          <t>plant</t>
        </is>
      </c>
      <c r="U683" s="6" t="n"/>
      <c r="V683" s="6" t="n"/>
      <c r="W683" s="6" t="n">
        <v>1</v>
      </c>
      <c r="X683" s="6" t="n">
        <v>0.27</v>
      </c>
      <c r="Y683" s="6" t="inlineStr">
        <is>
          <t>declared</t>
        </is>
      </c>
      <c r="Z683" s="8" t="n">
        <v>22193</v>
      </c>
      <c r="AA683" s="9">
        <f>IF(H683="yes",Z683*X683,0)</f>
        <v/>
      </c>
      <c r="AB683" s="9">
        <f>IF(H683="yes",AA683*N(L683)/100,0)</f>
        <v/>
      </c>
      <c r="AC683" s="9">
        <f>IF(H683="yes",AA683*N(N683)/100,0)</f>
        <v/>
      </c>
      <c r="AD683" s="9">
        <f>IF(H683="yes",AA683*N(O683)/100,0)</f>
        <v/>
      </c>
      <c r="AE683" s="10">
        <f>IF(P683="yes",AA683/1000,0)</f>
        <v/>
      </c>
      <c r="AF683" s="10">
        <f>IF(R683="FG2",AE683*W683,AE683)</f>
        <v/>
      </c>
    </row>
    <row r="684">
      <c r="A684" s="6" t="inlineStr">
        <is>
          <t>HM00682</t>
        </is>
      </c>
      <c r="B684" s="7" t="inlineStr">
        <is>
          <t>8712345699499</t>
        </is>
      </c>
      <c r="C684" s="6" t="inlineStr">
        <is>
          <t>HM SEEDED BATCH 800G</t>
        </is>
      </c>
      <c r="D684" s="6" t="inlineStr">
        <is>
          <t>Seeded batch loaf, 800g</t>
        </is>
      </c>
      <c r="E684" s="6" t="inlineStr">
        <is>
          <t>Harbour Market</t>
        </is>
      </c>
      <c r="F684" s="6" t="inlineStr">
        <is>
          <t>Bakery</t>
        </is>
      </c>
      <c r="G684" s="6" t="inlineStr">
        <is>
          <t>Bread</t>
        </is>
      </c>
      <c r="H684" s="6" t="inlineStr">
        <is>
          <t>yes</t>
        </is>
      </c>
      <c r="I684" s="6" t="inlineStr">
        <is>
          <t>Plant-based non-core</t>
        </is>
      </c>
      <c r="J684" s="6" t="inlineStr">
        <is>
          <t>A</t>
        </is>
      </c>
      <c r="K684" s="6" t="inlineStr">
        <is>
          <t>All ingredients on one side</t>
        </is>
      </c>
      <c r="L684" s="6" t="n">
        <v>10.4</v>
      </c>
      <c r="M684" s="6" t="inlineStr">
        <is>
          <t>Declared by the retailer</t>
        </is>
      </c>
      <c r="N684" s="6" t="n">
        <v>10.4</v>
      </c>
      <c r="O684" s="6" t="n">
        <v>0</v>
      </c>
      <c r="P684" s="6" t="inlineStr">
        <is>
          <t>yes</t>
        </is>
      </c>
      <c r="Q684" s="6" t="inlineStr">
        <is>
          <t>whole</t>
        </is>
      </c>
      <c r="R684" s="6" t="inlineStr">
        <is>
          <t>FG5</t>
        </is>
      </c>
      <c r="S684" s="6" t="inlineStr">
        <is>
          <t>refined grain</t>
        </is>
      </c>
      <c r="T684" s="6" t="inlineStr">
        <is>
          <t>plant</t>
        </is>
      </c>
      <c r="U684" s="6" t="n"/>
      <c r="V684" s="6" t="n"/>
      <c r="W684" s="6" t="n">
        <v>1</v>
      </c>
      <c r="X684" s="6" t="n">
        <v>0.8</v>
      </c>
      <c r="Y684" s="6" t="inlineStr">
        <is>
          <t>declared</t>
        </is>
      </c>
      <c r="Z684" s="8" t="n">
        <v>48591</v>
      </c>
      <c r="AA684" s="9">
        <f>IF(H684="yes",Z684*X684,0)</f>
        <v/>
      </c>
      <c r="AB684" s="9">
        <f>IF(H684="yes",AA684*N(L684)/100,0)</f>
        <v/>
      </c>
      <c r="AC684" s="9">
        <f>IF(H684="yes",AA684*N(N684)/100,0)</f>
        <v/>
      </c>
      <c r="AD684" s="9">
        <f>IF(H684="yes",AA684*N(O684)/100,0)</f>
        <v/>
      </c>
      <c r="AE684" s="10">
        <f>IF(P684="yes",AA684/1000,0)</f>
        <v/>
      </c>
      <c r="AF684" s="10">
        <f>IF(R684="FG2",AE684*W684,AE684)</f>
        <v/>
      </c>
    </row>
    <row r="685">
      <c r="A685" s="6" t="inlineStr">
        <is>
          <t>HM00683</t>
        </is>
      </c>
      <c r="B685" s="7" t="inlineStr">
        <is>
          <t>8712345136239</t>
        </is>
      </c>
      <c r="C685" s="6" t="inlineStr">
        <is>
          <t>VEG CHILLI RICE 400G QUILLAN</t>
        </is>
      </c>
      <c r="D685" s="6" t="inlineStr">
        <is>
          <t>Vegetable chilli with rice, 400g</t>
        </is>
      </c>
      <c r="E685" s="6" t="inlineStr">
        <is>
          <t>Quillan</t>
        </is>
      </c>
      <c r="F685" s="6" t="inlineStr">
        <is>
          <t>Ready Meals</t>
        </is>
      </c>
      <c r="G685" s="6" t="inlineStr">
        <is>
          <t>Ready Meals</t>
        </is>
      </c>
      <c r="H685" s="6" t="inlineStr">
        <is>
          <t>yes</t>
        </is>
      </c>
      <c r="I685" s="6" t="inlineStr">
        <is>
          <t>Plant-based non-core</t>
        </is>
      </c>
      <c r="J685" s="6" t="inlineStr">
        <is>
          <t>A</t>
        </is>
      </c>
      <c r="K685" s="6" t="inlineStr">
        <is>
          <t>All ingredients on one side</t>
        </is>
      </c>
      <c r="L685" s="6" t="n">
        <v>4.2</v>
      </c>
      <c r="M685" s="6" t="inlineStr">
        <is>
          <t>Declared by the retailer</t>
        </is>
      </c>
      <c r="N685" s="6" t="n">
        <v>4.2</v>
      </c>
      <c r="O685" s="6" t="n">
        <v>0</v>
      </c>
      <c r="P685" s="6" t="inlineStr">
        <is>
          <t>yes</t>
        </is>
      </c>
      <c r="Q685" s="6" t="inlineStr">
        <is>
          <t>composite</t>
        </is>
      </c>
      <c r="R685" s="6" t="n"/>
      <c r="S685" s="6" t="n"/>
      <c r="T685" s="6" t="n"/>
      <c r="U685" s="6" t="inlineStr">
        <is>
          <t>vegan</t>
        </is>
      </c>
      <c r="V685" s="6" t="n"/>
      <c r="W685" s="6" t="n">
        <v>1</v>
      </c>
      <c r="X685" s="6" t="n">
        <v>0.4</v>
      </c>
      <c r="Y685" s="6" t="inlineStr">
        <is>
          <t>declared</t>
        </is>
      </c>
      <c r="Z685" s="8" t="n">
        <v>3884</v>
      </c>
      <c r="AA685" s="9">
        <f>IF(H685="yes",Z685*X685,0)</f>
        <v/>
      </c>
      <c r="AB685" s="9">
        <f>IF(H685="yes",AA685*N(L685)/100,0)</f>
        <v/>
      </c>
      <c r="AC685" s="9">
        <f>IF(H685="yes",AA685*N(N685)/100,0)</f>
        <v/>
      </c>
      <c r="AD685" s="9">
        <f>IF(H685="yes",AA685*N(O685)/100,0)</f>
        <v/>
      </c>
      <c r="AE685" s="10">
        <f>IF(P685="yes",AA685/1000,0)</f>
        <v/>
      </c>
      <c r="AF685" s="10">
        <f>IF(R685="FG2",AE685*W685,AE685)</f>
        <v/>
      </c>
    </row>
    <row r="686">
      <c r="A686" s="6" t="inlineStr">
        <is>
          <t>HM00684</t>
        </is>
      </c>
      <c r="B686" s="7" t="inlineStr">
        <is>
          <t>8712345783174</t>
        </is>
      </c>
      <c r="C686" s="6" t="inlineStr">
        <is>
          <t>FJELDA PROTEIN SHAKE VAN 330ML</t>
        </is>
      </c>
      <c r="D686" s="6" t="inlineStr">
        <is>
          <t>Vanilla protein shake, 330ml</t>
        </is>
      </c>
      <c r="E686" s="6" t="inlineStr">
        <is>
          <t>Fjelda</t>
        </is>
      </c>
      <c r="F686" s="6" t="inlineStr">
        <is>
          <t>Soft Drinks &amp; Water</t>
        </is>
      </c>
      <c r="G686" s="6" t="inlineStr">
        <is>
          <t>Sports Nutrition</t>
        </is>
      </c>
      <c r="H686" s="6" t="inlineStr">
        <is>
          <t>yes</t>
        </is>
      </c>
      <c r="I686" s="6" t="inlineStr">
        <is>
          <t>Animal core</t>
        </is>
      </c>
      <c r="J686" s="6" t="inlineStr">
        <is>
          <t>B</t>
        </is>
      </c>
      <c r="K686" s="6" t="inlineStr">
        <is>
          <t>First ingredient (step 4a)</t>
        </is>
      </c>
      <c r="L686" s="6" t="n">
        <v>7.7</v>
      </c>
      <c r="M686" s="6" t="inlineStr">
        <is>
          <t>Declared by the retailer</t>
        </is>
      </c>
      <c r="N686" s="6" t="n">
        <v>0</v>
      </c>
      <c r="O686" s="6" t="n">
        <v>7.7</v>
      </c>
      <c r="P686" s="6" t="inlineStr">
        <is>
          <t>yes</t>
        </is>
      </c>
      <c r="Q686" s="6" t="inlineStr">
        <is>
          <t>whole</t>
        </is>
      </c>
      <c r="R686" s="6" t="inlineStr">
        <is>
          <t>FG2</t>
        </is>
      </c>
      <c r="S686" s="6" t="inlineStr">
        <is>
          <t>dairy</t>
        </is>
      </c>
      <c r="T686" s="6" t="inlineStr">
        <is>
          <t>animal</t>
        </is>
      </c>
      <c r="U686" s="6" t="n"/>
      <c r="V686" s="6" t="n"/>
      <c r="W686" s="6" t="n">
        <v>1</v>
      </c>
      <c r="X686" s="6" t="n">
        <v>0.34</v>
      </c>
      <c r="Y686" s="6" t="inlineStr">
        <is>
          <t>declared</t>
        </is>
      </c>
      <c r="Z686" s="8" t="n">
        <v>4219</v>
      </c>
      <c r="AA686" s="9">
        <f>IF(H686="yes",Z686*X686,0)</f>
        <v/>
      </c>
      <c r="AB686" s="9">
        <f>IF(H686="yes",AA686*N(L686)/100,0)</f>
        <v/>
      </c>
      <c r="AC686" s="9">
        <f>IF(H686="yes",AA686*N(N686)/100,0)</f>
        <v/>
      </c>
      <c r="AD686" s="9">
        <f>IF(H686="yes",AA686*N(O686)/100,0)</f>
        <v/>
      </c>
      <c r="AE686" s="10">
        <f>IF(P686="yes",AA686/1000,0)</f>
        <v/>
      </c>
      <c r="AF686" s="10">
        <f>IF(R686="FG2",AE686*W686,AE686)</f>
        <v/>
      </c>
    </row>
    <row r="687">
      <c r="A687" s="6" t="inlineStr">
        <is>
          <t>HM00685</t>
        </is>
      </c>
      <c r="B687" s="7" t="inlineStr">
        <is>
          <t>8712345128807</t>
        </is>
      </c>
      <c r="C687" s="6" t="inlineStr">
        <is>
          <t>HM PASSATA 500G</t>
        </is>
      </c>
      <c r="D687" s="6" t="inlineStr">
        <is>
          <t>Sieved tomatoes (passata), 500g</t>
        </is>
      </c>
      <c r="E687" s="6" t="inlineStr">
        <is>
          <t>Harbour Market</t>
        </is>
      </c>
      <c r="F687" s="6" t="inlineStr">
        <is>
          <t>Grocery</t>
        </is>
      </c>
      <c r="G687" s="6" t="inlineStr">
        <is>
          <t>Canned Vegetables</t>
        </is>
      </c>
      <c r="H687" s="6" t="inlineStr">
        <is>
          <t>yes</t>
        </is>
      </c>
      <c r="I687" s="6" t="inlineStr">
        <is>
          <t>Plant-based non-core</t>
        </is>
      </c>
      <c r="J687" s="6" t="inlineStr">
        <is>
          <t>A</t>
        </is>
      </c>
      <c r="K687" s="6" t="inlineStr">
        <is>
          <t>All ingredients on one side</t>
        </is>
      </c>
      <c r="L687" s="6" t="n">
        <v>1</v>
      </c>
      <c r="M687" s="6" t="inlineStr">
        <is>
          <t>Declared by the retailer</t>
        </is>
      </c>
      <c r="N687" s="6" t="n">
        <v>1</v>
      </c>
      <c r="O687" s="6" t="n">
        <v>0</v>
      </c>
      <c r="P687" s="6" t="inlineStr">
        <is>
          <t>yes</t>
        </is>
      </c>
      <c r="Q687" s="6" t="inlineStr">
        <is>
          <t>whole</t>
        </is>
      </c>
      <c r="R687" s="6" t="inlineStr">
        <is>
          <t>FG4</t>
        </is>
      </c>
      <c r="S687" s="6" t="n"/>
      <c r="T687" s="6" t="inlineStr">
        <is>
          <t>plant</t>
        </is>
      </c>
      <c r="U687" s="6" t="n"/>
      <c r="V687" s="6" t="n"/>
      <c r="W687" s="6" t="n">
        <v>1</v>
      </c>
      <c r="X687" s="6" t="n">
        <v>0.5</v>
      </c>
      <c r="Y687" s="6" t="inlineStr">
        <is>
          <t>declared</t>
        </is>
      </c>
      <c r="Z687" s="8" t="n">
        <v>165867</v>
      </c>
      <c r="AA687" s="9">
        <f>IF(H687="yes",Z687*X687,0)</f>
        <v/>
      </c>
      <c r="AB687" s="9">
        <f>IF(H687="yes",AA687*N(L687)/100,0)</f>
        <v/>
      </c>
      <c r="AC687" s="9">
        <f>IF(H687="yes",AA687*N(N687)/100,0)</f>
        <v/>
      </c>
      <c r="AD687" s="9">
        <f>IF(H687="yes",AA687*N(O687)/100,0)</f>
        <v/>
      </c>
      <c r="AE687" s="10">
        <f>IF(P687="yes",AA687/1000,0)</f>
        <v/>
      </c>
      <c r="AF687" s="10">
        <f>IF(R687="FG2",AE687*W687,AE687)</f>
        <v/>
      </c>
    </row>
    <row r="688">
      <c r="A688" s="6" t="inlineStr">
        <is>
          <t>HM00686</t>
        </is>
      </c>
      <c r="B688" s="7" t="inlineStr">
        <is>
          <t>5012345278599</t>
        </is>
      </c>
      <c r="C688" s="6" t="inlineStr">
        <is>
          <t>MAC CHEESE 2X400G QUILLAN</t>
        </is>
      </c>
      <c r="D688" s="6" t="inlineStr">
        <is>
          <t>Macaroni cheese, 2x400g</t>
        </is>
      </c>
      <c r="E688" s="6" t="inlineStr">
        <is>
          <t>Quillan</t>
        </is>
      </c>
      <c r="F688" s="6" t="inlineStr">
        <is>
          <t>Ready Meals</t>
        </is>
      </c>
      <c r="G688" s="6" t="inlineStr">
        <is>
          <t>Ready Meals</t>
        </is>
      </c>
      <c r="H688" s="6" t="inlineStr">
        <is>
          <t>yes</t>
        </is>
      </c>
      <c r="I688" s="6" t="inlineStr">
        <is>
          <t>Animal &amp; plant composite</t>
        </is>
      </c>
      <c r="J688" s="6" t="inlineStr">
        <is>
          <t>B</t>
        </is>
      </c>
      <c r="K688" s="6" t="inlineStr">
        <is>
          <t>50/50 convention</t>
        </is>
      </c>
      <c r="L688" s="6" t="n">
        <v>8</v>
      </c>
      <c r="M688" s="6" t="inlineStr">
        <is>
          <t>Name match (CIQUAL / NEVO)</t>
        </is>
      </c>
      <c r="N688" s="6" t="n">
        <v>4</v>
      </c>
      <c r="O688" s="6" t="n">
        <v>4</v>
      </c>
      <c r="P688" s="6" t="inlineStr">
        <is>
          <t>yes</t>
        </is>
      </c>
      <c r="Q688" s="6" t="inlineStr">
        <is>
          <t>composite</t>
        </is>
      </c>
      <c r="R688" s="6" t="n"/>
      <c r="S688" s="6" t="n"/>
      <c r="T688" s="6" t="n"/>
      <c r="U688" s="6" t="inlineStr">
        <is>
          <t>vegetarian</t>
        </is>
      </c>
      <c r="V688" s="6" t="n"/>
      <c r="W688" s="6" t="n">
        <v>1</v>
      </c>
      <c r="X688" s="6" t="n">
        <v>0.8</v>
      </c>
      <c r="Y688" s="6" t="inlineStr">
        <is>
          <t>declared</t>
        </is>
      </c>
      <c r="Z688" s="8" t="n">
        <v>6604</v>
      </c>
      <c r="AA688" s="9">
        <f>IF(H688="yes",Z688*X688,0)</f>
        <v/>
      </c>
      <c r="AB688" s="9">
        <f>IF(H688="yes",AA688*N(L688)/100,0)</f>
        <v/>
      </c>
      <c r="AC688" s="9">
        <f>IF(H688="yes",AA688*N(N688)/100,0)</f>
        <v/>
      </c>
      <c r="AD688" s="9">
        <f>IF(H688="yes",AA688*N(O688)/100,0)</f>
        <v/>
      </c>
      <c r="AE688" s="10">
        <f>IF(P688="yes",AA688/1000,0)</f>
        <v/>
      </c>
      <c r="AF688" s="10">
        <f>IF(R688="FG2",AE688*W688,AE688)</f>
        <v/>
      </c>
    </row>
    <row r="689">
      <c r="A689" s="6" t="inlineStr">
        <is>
          <t>HM00687</t>
        </is>
      </c>
      <c r="B689" s="7" t="inlineStr">
        <is>
          <t>5012345248189</t>
        </is>
      </c>
      <c r="C689" s="6" t="inlineStr">
        <is>
          <t>SMKD HAM 400G TARROW</t>
        </is>
      </c>
      <c r="D689" s="6" t="inlineStr">
        <is>
          <t>Smoked ham, 400g</t>
        </is>
      </c>
      <c r="E689" s="6" t="inlineStr">
        <is>
          <t>Tarrow Farm</t>
        </is>
      </c>
      <c r="F689" s="6" t="inlineStr">
        <is>
          <t>Deli</t>
        </is>
      </c>
      <c r="G689" s="6" t="inlineStr">
        <is>
          <t>Cooked Meats</t>
        </is>
      </c>
      <c r="H689" s="6" t="inlineStr">
        <is>
          <t>yes</t>
        </is>
      </c>
      <c r="I689" s="6" t="inlineStr">
        <is>
          <t>Animal core</t>
        </is>
      </c>
      <c r="J689" s="6" t="inlineStr">
        <is>
          <t>B</t>
        </is>
      </c>
      <c r="K689" s="6" t="inlineStr">
        <is>
          <t>Follows the class</t>
        </is>
      </c>
      <c r="L689" s="6" t="n">
        <v>18.7</v>
      </c>
      <c r="M689" s="6" t="inlineStr">
        <is>
          <t>Declared by the retailer</t>
        </is>
      </c>
      <c r="N689" s="6" t="n">
        <v>0</v>
      </c>
      <c r="O689" s="6" t="n">
        <v>18.7</v>
      </c>
      <c r="P689" s="6" t="inlineStr">
        <is>
          <t>yes</t>
        </is>
      </c>
      <c r="Q689" s="6" t="inlineStr">
        <is>
          <t>whole</t>
        </is>
      </c>
      <c r="R689" s="6" t="inlineStr">
        <is>
          <t>FG1</t>
        </is>
      </c>
      <c r="S689" s="6" t="inlineStr">
        <is>
          <t>red meat</t>
        </is>
      </c>
      <c r="T689" s="6" t="inlineStr">
        <is>
          <t>animal</t>
        </is>
      </c>
      <c r="U689" s="6" t="n"/>
      <c r="V689" s="6" t="n"/>
      <c r="W689" s="6" t="n">
        <v>1</v>
      </c>
      <c r="X689" s="6" t="n">
        <v>0.4</v>
      </c>
      <c r="Y689" s="6" t="inlineStr">
        <is>
          <t>declared</t>
        </is>
      </c>
      <c r="Z689" s="8" t="n">
        <v>60347</v>
      </c>
      <c r="AA689" s="9">
        <f>IF(H689="yes",Z689*X689,0)</f>
        <v/>
      </c>
      <c r="AB689" s="9">
        <f>IF(H689="yes",AA689*N(L689)/100,0)</f>
        <v/>
      </c>
      <c r="AC689" s="9">
        <f>IF(H689="yes",AA689*N(N689)/100,0)</f>
        <v/>
      </c>
      <c r="AD689" s="9">
        <f>IF(H689="yes",AA689*N(O689)/100,0)</f>
        <v/>
      </c>
      <c r="AE689" s="10">
        <f>IF(P689="yes",AA689/1000,0)</f>
        <v/>
      </c>
      <c r="AF689" s="10">
        <f>IF(R689="FG2",AE689*W689,AE689)</f>
        <v/>
      </c>
    </row>
    <row r="690">
      <c r="A690" s="6" t="inlineStr">
        <is>
          <t>HM00688</t>
        </is>
      </c>
      <c r="B690" s="7" t="inlineStr">
        <is>
          <t>3012345809092</t>
        </is>
      </c>
      <c r="C690" s="6" t="inlineStr">
        <is>
          <t>CHKN THIGHS 650G TARROW</t>
        </is>
      </c>
      <c r="D690" s="6" t="inlineStr">
        <is>
          <t>Chicken thighs, 650g</t>
        </is>
      </c>
      <c r="E690" s="6" t="inlineStr">
        <is>
          <t>Tarrow Farm</t>
        </is>
      </c>
      <c r="F690" s="6" t="inlineStr">
        <is>
          <t>Fresh Meat &amp; Poultry</t>
        </is>
      </c>
      <c r="G690" s="6" t="inlineStr">
        <is>
          <t>Poultry</t>
        </is>
      </c>
      <c r="H690" s="6" t="inlineStr">
        <is>
          <t>yes</t>
        </is>
      </c>
      <c r="I690" s="6" t="inlineStr">
        <is>
          <t>Animal core</t>
        </is>
      </c>
      <c r="J690" s="6" t="inlineStr">
        <is>
          <t>A</t>
        </is>
      </c>
      <c r="K690" s="6" t="inlineStr">
        <is>
          <t>All ingredients on one side</t>
        </is>
      </c>
      <c r="L690" s="6" t="n">
        <v>19</v>
      </c>
      <c r="M690" s="6" t="inlineStr">
        <is>
          <t>Median of the family</t>
        </is>
      </c>
      <c r="N690" s="6" t="n">
        <v>0</v>
      </c>
      <c r="O690" s="6" t="n">
        <v>19</v>
      </c>
      <c r="P690" s="6" t="inlineStr">
        <is>
          <t>yes</t>
        </is>
      </c>
      <c r="Q690" s="6" t="inlineStr">
        <is>
          <t>whole</t>
        </is>
      </c>
      <c r="R690" s="6" t="inlineStr">
        <is>
          <t>FG1</t>
        </is>
      </c>
      <c r="S690" s="6" t="inlineStr">
        <is>
          <t>poultry</t>
        </is>
      </c>
      <c r="T690" s="6" t="inlineStr">
        <is>
          <t>animal</t>
        </is>
      </c>
      <c r="U690" s="6" t="n"/>
      <c r="V690" s="6" t="n"/>
      <c r="W690" s="6" t="n">
        <v>1</v>
      </c>
      <c r="X690" s="6" t="n">
        <v>0.65</v>
      </c>
      <c r="Y690" s="6" t="inlineStr">
        <is>
          <t>declared</t>
        </is>
      </c>
      <c r="Z690" s="8" t="n">
        <v>108349</v>
      </c>
      <c r="AA690" s="9">
        <f>IF(H690="yes",Z690*X690,0)</f>
        <v/>
      </c>
      <c r="AB690" s="9">
        <f>IF(H690="yes",AA690*N(L690)/100,0)</f>
        <v/>
      </c>
      <c r="AC690" s="9">
        <f>IF(H690="yes",AA690*N(N690)/100,0)</f>
        <v/>
      </c>
      <c r="AD690" s="9">
        <f>IF(H690="yes",AA690*N(O690)/100,0)</f>
        <v/>
      </c>
      <c r="AE690" s="10">
        <f>IF(P690="yes",AA690/1000,0)</f>
        <v/>
      </c>
      <c r="AF690" s="10">
        <f>IF(R690="FG2",AE690*W690,AE690)</f>
        <v/>
      </c>
    </row>
    <row r="691">
      <c r="A691" s="6" t="inlineStr">
        <is>
          <t>HM00689</t>
        </is>
      </c>
      <c r="B691" s="7" t="inlineStr">
        <is>
          <t>8712345519063</t>
        </is>
      </c>
      <c r="C691" s="6" t="inlineStr">
        <is>
          <t>PENWARD LONDON DRY GIN 70CL</t>
        </is>
      </c>
      <c r="D691" s="6" t="inlineStr">
        <is>
          <t>London dry gin, 70cl</t>
        </is>
      </c>
      <c r="E691" s="6" t="inlineStr">
        <is>
          <t>Penward</t>
        </is>
      </c>
      <c r="F691" s="6" t="inlineStr">
        <is>
          <t>Beer, Wine &amp; Spirits</t>
        </is>
      </c>
      <c r="G691" s="6" t="inlineStr">
        <is>
          <t>Spirits</t>
        </is>
      </c>
      <c r="H691" s="6" t="inlineStr">
        <is>
          <t>yes</t>
        </is>
      </c>
      <c r="I691" s="6" t="inlineStr">
        <is>
          <t>Plant-based non-core</t>
        </is>
      </c>
      <c r="J691" s="6" t="inlineStr">
        <is>
          <t>A</t>
        </is>
      </c>
      <c r="K691" s="6" t="inlineStr">
        <is>
          <t>All ingredients on one side</t>
        </is>
      </c>
      <c r="L691" s="6" t="n">
        <v>0</v>
      </c>
      <c r="M691" s="6" t="inlineStr">
        <is>
          <t>Altera reference base</t>
        </is>
      </c>
      <c r="N691" s="6" t="n">
        <v>0</v>
      </c>
      <c r="O691" s="6" t="n">
        <v>0</v>
      </c>
      <c r="P691" s="6" t="inlineStr">
        <is>
          <t>no</t>
        </is>
      </c>
      <c r="Q691" s="6" t="n"/>
      <c r="R691" s="6" t="n"/>
      <c r="S691" s="6" t="n"/>
      <c r="T691" s="6" t="n"/>
      <c r="U691" s="6" t="n"/>
      <c r="V691" s="6" t="inlineStr">
        <is>
          <t>alcohol</t>
        </is>
      </c>
      <c r="W691" s="6" t="n">
        <v>1</v>
      </c>
      <c r="X691" s="6" t="n">
        <v>0.7</v>
      </c>
      <c r="Y691" s="6" t="inlineStr">
        <is>
          <t>declared</t>
        </is>
      </c>
      <c r="Z691" s="8" t="n">
        <v>5893</v>
      </c>
      <c r="AA691" s="9">
        <f>IF(H691="yes",Z691*X691,0)</f>
        <v/>
      </c>
      <c r="AB691" s="9">
        <f>IF(H691="yes",AA691*N(L691)/100,0)</f>
        <v/>
      </c>
      <c r="AC691" s="9">
        <f>IF(H691="yes",AA691*N(N691)/100,0)</f>
        <v/>
      </c>
      <c r="AD691" s="9">
        <f>IF(H691="yes",AA691*N(O691)/100,0)</f>
        <v/>
      </c>
      <c r="AE691" s="10">
        <f>IF(P691="yes",AA691/1000,0)</f>
        <v/>
      </c>
      <c r="AF691" s="10">
        <f>IF(R691="FG2",AE691*W691,AE691)</f>
        <v/>
      </c>
    </row>
    <row r="692">
      <c r="A692" s="6" t="inlineStr">
        <is>
          <t>HM00690</t>
        </is>
      </c>
      <c r="B692" s="7" t="inlineStr">
        <is>
          <t>5012345388328</t>
        </is>
      </c>
      <c r="C692" s="6" t="inlineStr">
        <is>
          <t>SOLVANE PLANT NUGGETS 300G</t>
        </is>
      </c>
      <c r="D692" s="6" t="inlineStr">
        <is>
          <t>Plant-based nuggets, 300g</t>
        </is>
      </c>
      <c r="E692" s="6" t="inlineStr">
        <is>
          <t>Solvane</t>
        </is>
      </c>
      <c r="F692" s="6" t="inlineStr">
        <is>
          <t>Plant-Based</t>
        </is>
      </c>
      <c r="G692" s="6" t="inlineStr">
        <is>
          <t>Meat Alternatives</t>
        </is>
      </c>
      <c r="H692" s="6" t="inlineStr">
        <is>
          <t>yes</t>
        </is>
      </c>
      <c r="I692" s="6" t="inlineStr">
        <is>
          <t>Plant-based core</t>
        </is>
      </c>
      <c r="J692" s="6" t="inlineStr">
        <is>
          <t>A</t>
        </is>
      </c>
      <c r="K692" s="6" t="inlineStr">
        <is>
          <t>All ingredients on one side</t>
        </is>
      </c>
      <c r="L692" s="6" t="n">
        <v>12.9</v>
      </c>
      <c r="M692" s="6" t="inlineStr">
        <is>
          <t>Declared by the retailer</t>
        </is>
      </c>
      <c r="N692" s="6" t="n">
        <v>12.9</v>
      </c>
      <c r="O692" s="6" t="n">
        <v>0</v>
      </c>
      <c r="P692" s="6" t="inlineStr">
        <is>
          <t>yes</t>
        </is>
      </c>
      <c r="Q692" s="6" t="inlineStr">
        <is>
          <t>whole</t>
        </is>
      </c>
      <c r="R692" s="6" t="inlineStr">
        <is>
          <t>FG1</t>
        </is>
      </c>
      <c r="S692" s="6" t="inlineStr">
        <is>
          <t>alternative products</t>
        </is>
      </c>
      <c r="T692" s="6" t="inlineStr">
        <is>
          <t>plant</t>
        </is>
      </c>
      <c r="U692" s="6" t="n"/>
      <c r="V692" s="6" t="n"/>
      <c r="W692" s="6" t="n">
        <v>1</v>
      </c>
      <c r="X692" s="6" t="n">
        <v>0.3</v>
      </c>
      <c r="Y692" s="6" t="inlineStr">
        <is>
          <t>declared</t>
        </is>
      </c>
      <c r="Z692" s="8" t="n">
        <v>23221</v>
      </c>
      <c r="AA692" s="9">
        <f>IF(H692="yes",Z692*X692,0)</f>
        <v/>
      </c>
      <c r="AB692" s="9">
        <f>IF(H692="yes",AA692*N(L692)/100,0)</f>
        <v/>
      </c>
      <c r="AC692" s="9">
        <f>IF(H692="yes",AA692*N(N692)/100,0)</f>
        <v/>
      </c>
      <c r="AD692" s="9">
        <f>IF(H692="yes",AA692*N(O692)/100,0)</f>
        <v/>
      </c>
      <c r="AE692" s="10">
        <f>IF(P692="yes",AA692/1000,0)</f>
        <v/>
      </c>
      <c r="AF692" s="10">
        <f>IF(R692="FG2",AE692*W692,AE692)</f>
        <v/>
      </c>
    </row>
    <row r="693">
      <c r="A693" s="6" t="inlineStr">
        <is>
          <t>HM00691</t>
        </is>
      </c>
      <c r="B693" s="7" t="inlineStr">
        <is>
          <t>3012345314992</t>
        </is>
      </c>
      <c r="C693" s="6" t="inlineStr">
        <is>
          <t>HM LAMB LEG STEAKS 500G</t>
        </is>
      </c>
      <c r="D693" s="6" t="inlineStr">
        <is>
          <t>Lamb leg steaks, 500g</t>
        </is>
      </c>
      <c r="E693" s="6" t="inlineStr">
        <is>
          <t>Harbour Market</t>
        </is>
      </c>
      <c r="F693" s="6" t="inlineStr">
        <is>
          <t>Fresh Meat &amp; Poultry</t>
        </is>
      </c>
      <c r="G693" s="6" t="inlineStr">
        <is>
          <t>Turkey &amp; Lamb</t>
        </is>
      </c>
      <c r="H693" s="6" t="inlineStr">
        <is>
          <t>yes</t>
        </is>
      </c>
      <c r="I693" s="6" t="inlineStr">
        <is>
          <t>Animal core</t>
        </is>
      </c>
      <c r="J693" s="6" t="inlineStr">
        <is>
          <t>B</t>
        </is>
      </c>
      <c r="K693" s="6" t="inlineStr">
        <is>
          <t>Follows the class</t>
        </is>
      </c>
      <c r="L693" s="6" t="n">
        <v>20.8</v>
      </c>
      <c r="M693" s="6" t="inlineStr">
        <is>
          <t>Altera reference base</t>
        </is>
      </c>
      <c r="N693" s="6" t="n">
        <v>0</v>
      </c>
      <c r="O693" s="6" t="n">
        <v>20.8</v>
      </c>
      <c r="P693" s="6" t="inlineStr">
        <is>
          <t>yes</t>
        </is>
      </c>
      <c r="Q693" s="6" t="inlineStr">
        <is>
          <t>whole</t>
        </is>
      </c>
      <c r="R693" s="6" t="inlineStr">
        <is>
          <t>FG1</t>
        </is>
      </c>
      <c r="S693" s="6" t="inlineStr">
        <is>
          <t>red meat</t>
        </is>
      </c>
      <c r="T693" s="6" t="inlineStr">
        <is>
          <t>animal</t>
        </is>
      </c>
      <c r="U693" s="6" t="n"/>
      <c r="V693" s="6" t="n"/>
      <c r="W693" s="6" t="n">
        <v>1</v>
      </c>
      <c r="X693" s="6" t="n">
        <v>0.5</v>
      </c>
      <c r="Y693" s="6" t="inlineStr">
        <is>
          <t>declared</t>
        </is>
      </c>
      <c r="Z693" s="8" t="n">
        <v>4784</v>
      </c>
      <c r="AA693" s="9">
        <f>IF(H693="yes",Z693*X693,0)</f>
        <v/>
      </c>
      <c r="AB693" s="9">
        <f>IF(H693="yes",AA693*N(L693)/100,0)</f>
        <v/>
      </c>
      <c r="AC693" s="9">
        <f>IF(H693="yes",AA693*N(N693)/100,0)</f>
        <v/>
      </c>
      <c r="AD693" s="9">
        <f>IF(H693="yes",AA693*N(O693)/100,0)</f>
        <v/>
      </c>
      <c r="AE693" s="10">
        <f>IF(P693="yes",AA693/1000,0)</f>
        <v/>
      </c>
      <c r="AF693" s="10">
        <f>IF(R693="FG2",AE693*W693,AE693)</f>
        <v/>
      </c>
    </row>
    <row r="694">
      <c r="A694" s="6" t="inlineStr">
        <is>
          <t>HM00692</t>
        </is>
      </c>
      <c r="B694" s="7" t="inlineStr">
        <is>
          <t>8712345998424</t>
        </is>
      </c>
      <c r="C694" s="6" t="inlineStr">
        <is>
          <t>HM PALE ALE 4X440ML</t>
        </is>
      </c>
      <c r="D694" s="6" t="inlineStr">
        <is>
          <t>Pale ale, 4x440ml</t>
        </is>
      </c>
      <c r="E694" s="6" t="inlineStr">
        <is>
          <t>Harbour Market</t>
        </is>
      </c>
      <c r="F694" s="6" t="inlineStr">
        <is>
          <t>Beer, Wine &amp; Spirits</t>
        </is>
      </c>
      <c r="G694" s="6" t="inlineStr">
        <is>
          <t>Beer &amp; Cider</t>
        </is>
      </c>
      <c r="H694" s="6" t="inlineStr">
        <is>
          <t>yes</t>
        </is>
      </c>
      <c r="I694" s="6" t="inlineStr">
        <is>
          <t>Plant-based non-core</t>
        </is>
      </c>
      <c r="J694" s="6" t="inlineStr">
        <is>
          <t>A</t>
        </is>
      </c>
      <c r="K694" s="6" t="inlineStr">
        <is>
          <t>All ingredients on one side</t>
        </is>
      </c>
      <c r="L694" s="6" t="n">
        <v>0.39</v>
      </c>
      <c r="M694" s="6" t="inlineStr">
        <is>
          <t>Median of the family</t>
        </is>
      </c>
      <c r="N694" s="6" t="n">
        <v>0.39</v>
      </c>
      <c r="O694" s="6" t="n">
        <v>0</v>
      </c>
      <c r="P694" s="6" t="inlineStr">
        <is>
          <t>no</t>
        </is>
      </c>
      <c r="Q694" s="6" t="n"/>
      <c r="R694" s="6" t="n"/>
      <c r="S694" s="6" t="n"/>
      <c r="T694" s="6" t="n"/>
      <c r="U694" s="6" t="n"/>
      <c r="V694" s="6" t="inlineStr">
        <is>
          <t>alcohol</t>
        </is>
      </c>
      <c r="W694" s="6" t="n">
        <v>1</v>
      </c>
      <c r="X694" s="6" t="n">
        <v>1.76</v>
      </c>
      <c r="Y694" s="6" t="inlineStr">
        <is>
          <t>declared</t>
        </is>
      </c>
      <c r="Z694" s="8" t="n">
        <v>56621</v>
      </c>
      <c r="AA694" s="9">
        <f>IF(H694="yes",Z694*X694,0)</f>
        <v/>
      </c>
      <c r="AB694" s="9">
        <f>IF(H694="yes",AA694*N(L694)/100,0)</f>
        <v/>
      </c>
      <c r="AC694" s="9">
        <f>IF(H694="yes",AA694*N(N694)/100,0)</f>
        <v/>
      </c>
      <c r="AD694" s="9">
        <f>IF(H694="yes",AA694*N(O694)/100,0)</f>
        <v/>
      </c>
      <c r="AE694" s="10">
        <f>IF(P694="yes",AA694/1000,0)</f>
        <v/>
      </c>
      <c r="AF694" s="10">
        <f>IF(R694="FG2",AE694*W694,AE694)</f>
        <v/>
      </c>
    </row>
    <row r="695">
      <c r="A695" s="6" t="inlineStr">
        <is>
          <t>HM00693</t>
        </is>
      </c>
      <c r="B695" s="7" t="inlineStr">
        <is>
          <t>5012345053172</t>
        </is>
      </c>
      <c r="C695" s="6" t="inlineStr">
        <is>
          <t>HM BROCCOLI 1KG</t>
        </is>
      </c>
      <c r="D695" s="6" t="inlineStr">
        <is>
          <t>Broccoli, 1kg</t>
        </is>
      </c>
      <c r="E695" s="6" t="inlineStr">
        <is>
          <t>Harbour Market</t>
        </is>
      </c>
      <c r="F695" s="6" t="inlineStr">
        <is>
          <t>Fruit &amp; Vegetables</t>
        </is>
      </c>
      <c r="G695" s="6" t="inlineStr">
        <is>
          <t>Vegetables</t>
        </is>
      </c>
      <c r="H695" s="6" t="inlineStr">
        <is>
          <t>yes</t>
        </is>
      </c>
      <c r="I695" s="6" t="inlineStr">
        <is>
          <t>Plant-based non-core</t>
        </is>
      </c>
      <c r="J695" s="6" t="inlineStr">
        <is>
          <t>B</t>
        </is>
      </c>
      <c r="K695" s="6" t="inlineStr">
        <is>
          <t>Follows the class</t>
        </is>
      </c>
      <c r="L695" s="6" t="n">
        <v>2.9</v>
      </c>
      <c r="M695" s="6" t="inlineStr">
        <is>
          <t>Declared by the retailer</t>
        </is>
      </c>
      <c r="N695" s="6" t="n">
        <v>2.9</v>
      </c>
      <c r="O695" s="6" t="n">
        <v>0</v>
      </c>
      <c r="P695" s="6" t="inlineStr">
        <is>
          <t>yes</t>
        </is>
      </c>
      <c r="Q695" s="6" t="inlineStr">
        <is>
          <t>whole</t>
        </is>
      </c>
      <c r="R695" s="6" t="inlineStr">
        <is>
          <t>FG4</t>
        </is>
      </c>
      <c r="S695" s="6" t="n"/>
      <c r="T695" s="6" t="inlineStr">
        <is>
          <t>plant</t>
        </is>
      </c>
      <c r="U695" s="6" t="n"/>
      <c r="V695" s="6" t="n"/>
      <c r="W695" s="6" t="n">
        <v>1</v>
      </c>
      <c r="X695" s="6" t="n">
        <v>1</v>
      </c>
      <c r="Y695" s="6" t="inlineStr">
        <is>
          <t>declared</t>
        </is>
      </c>
      <c r="Z695" s="8" t="n">
        <v>60296</v>
      </c>
      <c r="AA695" s="9">
        <f>IF(H695="yes",Z695*X695,0)</f>
        <v/>
      </c>
      <c r="AB695" s="9">
        <f>IF(H695="yes",AA695*N(L695)/100,0)</f>
        <v/>
      </c>
      <c r="AC695" s="9">
        <f>IF(H695="yes",AA695*N(N695)/100,0)</f>
        <v/>
      </c>
      <c r="AD695" s="9">
        <f>IF(H695="yes",AA695*N(O695)/100,0)</f>
        <v/>
      </c>
      <c r="AE695" s="10">
        <f>IF(P695="yes",AA695/1000,0)</f>
        <v/>
      </c>
      <c r="AF695" s="10">
        <f>IF(R695="FG2",AE695*W695,AE695)</f>
        <v/>
      </c>
    </row>
    <row r="696">
      <c r="A696" s="6" t="inlineStr">
        <is>
          <t>HM00694</t>
        </is>
      </c>
      <c r="B696" s="7" t="inlineStr">
        <is>
          <t>4012345206678</t>
        </is>
      </c>
      <c r="C696" s="6" t="inlineStr">
        <is>
          <t>HM APPLES PINK LADY 250G</t>
        </is>
      </c>
      <c r="D696" s="6" t="inlineStr">
        <is>
          <t>Pink Lady apples, 250g</t>
        </is>
      </c>
      <c r="E696" s="6" t="inlineStr">
        <is>
          <t>Harbour Market</t>
        </is>
      </c>
      <c r="F696" s="6" t="inlineStr">
        <is>
          <t>Fruit &amp; Vegetables</t>
        </is>
      </c>
      <c r="G696" s="6" t="inlineStr">
        <is>
          <t>Fruit</t>
        </is>
      </c>
      <c r="H696" s="6" t="inlineStr">
        <is>
          <t>yes</t>
        </is>
      </c>
      <c r="I696" s="6" t="inlineStr">
        <is>
          <t>Plant-based non-core</t>
        </is>
      </c>
      <c r="J696" s="6" t="inlineStr">
        <is>
          <t>B</t>
        </is>
      </c>
      <c r="K696" s="6" t="inlineStr">
        <is>
          <t>Follows the class</t>
        </is>
      </c>
      <c r="L696" s="6" t="n">
        <v>0.31</v>
      </c>
      <c r="M696" s="6" t="inlineStr">
        <is>
          <t>Declared by the retailer</t>
        </is>
      </c>
      <c r="N696" s="6" t="n">
        <v>0.31</v>
      </c>
      <c r="O696" s="6" t="n">
        <v>0</v>
      </c>
      <c r="P696" s="6" t="inlineStr">
        <is>
          <t>yes</t>
        </is>
      </c>
      <c r="Q696" s="6" t="inlineStr">
        <is>
          <t>whole</t>
        </is>
      </c>
      <c r="R696" s="6" t="inlineStr">
        <is>
          <t>FG4</t>
        </is>
      </c>
      <c r="S696" s="6" t="n"/>
      <c r="T696" s="6" t="inlineStr">
        <is>
          <t>plant</t>
        </is>
      </c>
      <c r="U696" s="6" t="n"/>
      <c r="V696" s="6" t="n"/>
      <c r="W696" s="6" t="n">
        <v>1</v>
      </c>
      <c r="X696" s="6" t="n">
        <v>0.25</v>
      </c>
      <c r="Y696" s="6" t="inlineStr">
        <is>
          <t>declared</t>
        </is>
      </c>
      <c r="Z696" s="8" t="n">
        <v>71463</v>
      </c>
      <c r="AA696" s="9">
        <f>IF(H696="yes",Z696*X696,0)</f>
        <v/>
      </c>
      <c r="AB696" s="9">
        <f>IF(H696="yes",AA696*N(L696)/100,0)</f>
        <v/>
      </c>
      <c r="AC696" s="9">
        <f>IF(H696="yes",AA696*N(N696)/100,0)</f>
        <v/>
      </c>
      <c r="AD696" s="9">
        <f>IF(H696="yes",AA696*N(O696)/100,0)</f>
        <v/>
      </c>
      <c r="AE696" s="10">
        <f>IF(P696="yes",AA696/1000,0)</f>
        <v/>
      </c>
      <c r="AF696" s="10">
        <f>IF(R696="FG2",AE696*W696,AE696)</f>
        <v/>
      </c>
    </row>
    <row r="697">
      <c r="A697" s="6" t="inlineStr">
        <is>
          <t>HM00695</t>
        </is>
      </c>
      <c r="B697" s="7" t="inlineStr">
        <is>
          <t>4012345737370</t>
        </is>
      </c>
      <c r="C697" s="6" t="inlineStr">
        <is>
          <t>HM CRINKLE CUT CHIPS 900G</t>
        </is>
      </c>
      <c r="D697" s="6" t="inlineStr">
        <is>
          <t>Crinkle-cut chips, 900g</t>
        </is>
      </c>
      <c r="E697" s="6" t="inlineStr">
        <is>
          <t>Harbour Market</t>
        </is>
      </c>
      <c r="F697" s="6" t="inlineStr">
        <is>
          <t>Frozen</t>
        </is>
      </c>
      <c r="G697" s="6" t="inlineStr">
        <is>
          <t>Frozen Potatoes</t>
        </is>
      </c>
      <c r="H697" s="6" t="inlineStr">
        <is>
          <t>yes</t>
        </is>
      </c>
      <c r="I697" s="6" t="inlineStr">
        <is>
          <t>Plant-based non-core</t>
        </is>
      </c>
      <c r="J697" s="6" t="inlineStr">
        <is>
          <t>A</t>
        </is>
      </c>
      <c r="K697" s="6" t="inlineStr">
        <is>
          <t>All ingredients on one side</t>
        </is>
      </c>
      <c r="L697" s="6" t="n">
        <v>2.5</v>
      </c>
      <c r="M697" s="6" t="inlineStr">
        <is>
          <t>Declared by the retailer</t>
        </is>
      </c>
      <c r="N697" s="6" t="n">
        <v>2.5</v>
      </c>
      <c r="O697" s="6" t="n">
        <v>0</v>
      </c>
      <c r="P697" s="6" t="inlineStr">
        <is>
          <t>yes</t>
        </is>
      </c>
      <c r="Q697" s="6" t="inlineStr">
        <is>
          <t>whole</t>
        </is>
      </c>
      <c r="R697" s="6" t="inlineStr">
        <is>
          <t>FG7</t>
        </is>
      </c>
      <c r="S697" s="6" t="n"/>
      <c r="T697" s="6" t="inlineStr">
        <is>
          <t>plant</t>
        </is>
      </c>
      <c r="U697" s="6" t="n"/>
      <c r="V697" s="6" t="n"/>
      <c r="W697" s="6" t="n">
        <v>1</v>
      </c>
      <c r="X697" s="6" t="n">
        <v>0.9</v>
      </c>
      <c r="Y697" s="6" t="inlineStr">
        <is>
          <t>declared</t>
        </is>
      </c>
      <c r="Z697" s="8" t="n">
        <v>18310</v>
      </c>
      <c r="AA697" s="9">
        <f>IF(H697="yes",Z697*X697,0)</f>
        <v/>
      </c>
      <c r="AB697" s="9">
        <f>IF(H697="yes",AA697*N(L697)/100,0)</f>
        <v/>
      </c>
      <c r="AC697" s="9">
        <f>IF(H697="yes",AA697*N(N697)/100,0)</f>
        <v/>
      </c>
      <c r="AD697" s="9">
        <f>IF(H697="yes",AA697*N(O697)/100,0)</f>
        <v/>
      </c>
      <c r="AE697" s="10">
        <f>IF(P697="yes",AA697/1000,0)</f>
        <v/>
      </c>
      <c r="AF697" s="10">
        <f>IF(R697="FG2",AE697*W697,AE697)</f>
        <v/>
      </c>
    </row>
    <row r="698">
      <c r="A698" s="6" t="inlineStr">
        <is>
          <t>HM00696</t>
        </is>
      </c>
      <c r="B698" s="7" t="inlineStr">
        <is>
          <t>5012345447377</t>
        </is>
      </c>
      <c r="C698" s="6" t="inlineStr">
        <is>
          <t>TARROW HAM TRIM 125G</t>
        </is>
      </c>
      <c r="D698" s="6" t="inlineStr">
        <is>
          <t>Ham trimmings, 125g</t>
        </is>
      </c>
      <c r="E698" s="6" t="inlineStr">
        <is>
          <t>Tarrow Farm</t>
        </is>
      </c>
      <c r="F698" s="6" t="inlineStr">
        <is>
          <t>Deli</t>
        </is>
      </c>
      <c r="G698" s="6" t="inlineStr">
        <is>
          <t>Cooked Meats</t>
        </is>
      </c>
      <c r="H698" s="6" t="inlineStr">
        <is>
          <t>yes</t>
        </is>
      </c>
      <c r="I698" s="6" t="inlineStr">
        <is>
          <t>Animal core</t>
        </is>
      </c>
      <c r="J698" s="6" t="inlineStr">
        <is>
          <t>A</t>
        </is>
      </c>
      <c r="K698" s="6" t="inlineStr">
        <is>
          <t>All ingredients on one side</t>
        </is>
      </c>
      <c r="L698" s="6" t="n">
        <v>17.3</v>
      </c>
      <c r="M698" s="6" t="inlineStr">
        <is>
          <t>Declared by the retailer</t>
        </is>
      </c>
      <c r="N698" s="6" t="n">
        <v>0</v>
      </c>
      <c r="O698" s="6" t="n">
        <v>17.3</v>
      </c>
      <c r="P698" s="6" t="inlineStr">
        <is>
          <t>yes</t>
        </is>
      </c>
      <c r="Q698" s="6" t="inlineStr">
        <is>
          <t>whole</t>
        </is>
      </c>
      <c r="R698" s="6" t="inlineStr">
        <is>
          <t>FG1</t>
        </is>
      </c>
      <c r="S698" s="6" t="inlineStr">
        <is>
          <t>red meat</t>
        </is>
      </c>
      <c r="T698" s="6" t="inlineStr">
        <is>
          <t>animal</t>
        </is>
      </c>
      <c r="U698" s="6" t="n"/>
      <c r="V698" s="6" t="n"/>
      <c r="W698" s="6" t="n">
        <v>1</v>
      </c>
      <c r="X698" s="6" t="n">
        <v>0.125</v>
      </c>
      <c r="Y698" s="6" t="inlineStr">
        <is>
          <t>declared</t>
        </is>
      </c>
      <c r="Z698" s="8" t="n">
        <v>77716</v>
      </c>
      <c r="AA698" s="9">
        <f>IF(H698="yes",Z698*X698,0)</f>
        <v/>
      </c>
      <c r="AB698" s="9">
        <f>IF(H698="yes",AA698*N(L698)/100,0)</f>
        <v/>
      </c>
      <c r="AC698" s="9">
        <f>IF(H698="yes",AA698*N(N698)/100,0)</f>
        <v/>
      </c>
      <c r="AD698" s="9">
        <f>IF(H698="yes",AA698*N(O698)/100,0)</f>
        <v/>
      </c>
      <c r="AE698" s="10">
        <f>IF(P698="yes",AA698/1000,0)</f>
        <v/>
      </c>
      <c r="AF698" s="10">
        <f>IF(R698="FG2",AE698*W698,AE698)</f>
        <v/>
      </c>
    </row>
    <row r="699">
      <c r="A699" s="6" t="inlineStr">
        <is>
          <t>HM00697</t>
        </is>
      </c>
      <c r="B699" s="7" t="inlineStr">
        <is>
          <t>4012345041392</t>
        </is>
      </c>
      <c r="C699" s="6" t="inlineStr">
        <is>
          <t>HM PAPER NAPKINS 2PK</t>
        </is>
      </c>
      <c r="D699" s="6" t="inlineStr">
        <is>
          <t>Paper napkins, 2pk</t>
        </is>
      </c>
      <c r="E699" s="6" t="inlineStr">
        <is>
          <t>Harbour Market</t>
        </is>
      </c>
      <c r="F699" s="6" t="inlineStr">
        <is>
          <t>Household</t>
        </is>
      </c>
      <c r="G699" s="6" t="inlineStr">
        <is>
          <t>Household</t>
        </is>
      </c>
      <c r="H699" s="6" t="inlineStr">
        <is>
          <t>no</t>
        </is>
      </c>
      <c r="I699" s="6" t="n"/>
      <c r="J699" s="6" t="n"/>
      <c r="K699" s="6" t="n"/>
      <c r="L699" s="6" t="n"/>
      <c r="M699" s="6" t="n"/>
      <c r="N699" s="6" t="n"/>
      <c r="O699" s="6" t="n"/>
      <c r="P699" s="6" t="inlineStr">
        <is>
          <t>no</t>
        </is>
      </c>
      <c r="Q699" s="6" t="n"/>
      <c r="R699" s="6" t="n"/>
      <c r="S699" s="6" t="n"/>
      <c r="T699" s="6" t="n"/>
      <c r="U699" s="6" t="n"/>
      <c r="V699" s="6" t="n"/>
      <c r="W699" s="6" t="n">
        <v>1</v>
      </c>
      <c r="X699" s="6" t="n">
        <v>0.3</v>
      </c>
      <c r="Y699" s="6" t="inlineStr">
        <is>
          <t>declared</t>
        </is>
      </c>
      <c r="Z699" s="8" t="n">
        <v>15139</v>
      </c>
      <c r="AA699" s="9">
        <f>IF(H699="yes",Z699*X699,0)</f>
        <v/>
      </c>
      <c r="AB699" s="9">
        <f>IF(H699="yes",AA699*N(L699)/100,0)</f>
        <v/>
      </c>
      <c r="AC699" s="9">
        <f>IF(H699="yes",AA699*N(N699)/100,0)</f>
        <v/>
      </c>
      <c r="AD699" s="9">
        <f>IF(H699="yes",AA699*N(O699)/100,0)</f>
        <v/>
      </c>
      <c r="AE699" s="10">
        <f>IF(P699="yes",AA699/1000,0)</f>
        <v/>
      </c>
      <c r="AF699" s="10">
        <f>IF(R699="FG2",AE699*W699,AE699)</f>
        <v/>
      </c>
    </row>
    <row r="700">
      <c r="A700" s="6" t="inlineStr">
        <is>
          <t>HM00698</t>
        </is>
      </c>
      <c r="B700" s="7" t="inlineStr">
        <is>
          <t>4012345671766</t>
        </is>
      </c>
      <c r="C700" s="6" t="inlineStr">
        <is>
          <t>HM CLOSED CUP MUSHROOMS 300G</t>
        </is>
      </c>
      <c r="D700" s="6" t="inlineStr">
        <is>
          <t>Closed cup mushrooms, 300g</t>
        </is>
      </c>
      <c r="E700" s="6" t="inlineStr">
        <is>
          <t>Harbour Market</t>
        </is>
      </c>
      <c r="F700" s="6" t="inlineStr">
        <is>
          <t>Fruit &amp; Vegetables</t>
        </is>
      </c>
      <c r="G700" s="6" t="inlineStr">
        <is>
          <t>Vegetables</t>
        </is>
      </c>
      <c r="H700" s="6" t="inlineStr">
        <is>
          <t>yes</t>
        </is>
      </c>
      <c r="I700" s="6" t="inlineStr">
        <is>
          <t>Plant-based non-core</t>
        </is>
      </c>
      <c r="J700" s="6" t="inlineStr">
        <is>
          <t>B</t>
        </is>
      </c>
      <c r="K700" s="6" t="inlineStr">
        <is>
          <t>Follows the class</t>
        </is>
      </c>
      <c r="L700" s="6" t="n">
        <v>3.2</v>
      </c>
      <c r="M700" s="6" t="inlineStr">
        <is>
          <t>Declared by the retailer</t>
        </is>
      </c>
      <c r="N700" s="6" t="n">
        <v>3.2</v>
      </c>
      <c r="O700" s="6" t="n">
        <v>0</v>
      </c>
      <c r="P700" s="6" t="inlineStr">
        <is>
          <t>yes</t>
        </is>
      </c>
      <c r="Q700" s="6" t="inlineStr">
        <is>
          <t>whole</t>
        </is>
      </c>
      <c r="R700" s="6" t="inlineStr">
        <is>
          <t>FG4</t>
        </is>
      </c>
      <c r="S700" s="6" t="n"/>
      <c r="T700" s="6" t="inlineStr">
        <is>
          <t>plant</t>
        </is>
      </c>
      <c r="U700" s="6" t="n"/>
      <c r="V700" s="6" t="n"/>
      <c r="W700" s="6" t="n">
        <v>1</v>
      </c>
      <c r="X700" s="6" t="n">
        <v>0.3</v>
      </c>
      <c r="Y700" s="6" t="inlineStr">
        <is>
          <t>declared</t>
        </is>
      </c>
      <c r="Z700" s="8" t="n">
        <v>53199</v>
      </c>
      <c r="AA700" s="9">
        <f>IF(H700="yes",Z700*X700,0)</f>
        <v/>
      </c>
      <c r="AB700" s="9">
        <f>IF(H700="yes",AA700*N(L700)/100,0)</f>
        <v/>
      </c>
      <c r="AC700" s="9">
        <f>IF(H700="yes",AA700*N(N700)/100,0)</f>
        <v/>
      </c>
      <c r="AD700" s="9">
        <f>IF(H700="yes",AA700*N(O700)/100,0)</f>
        <v/>
      </c>
      <c r="AE700" s="10">
        <f>IF(P700="yes",AA700/1000,0)</f>
        <v/>
      </c>
      <c r="AF700" s="10">
        <f>IF(R700="FG2",AE700*W700,AE700)</f>
        <v/>
      </c>
    </row>
    <row r="701">
      <c r="A701" s="6" t="inlineStr">
        <is>
          <t>HM00699</t>
        </is>
      </c>
      <c r="B701" s="7" t="inlineStr">
        <is>
          <t>8712345765408</t>
        </is>
      </c>
      <c r="C701" s="6" t="inlineStr">
        <is>
          <t>HM UNSALTED BUTTER 500G</t>
        </is>
      </c>
      <c r="D701" s="6" t="inlineStr">
        <is>
          <t>Unsalted butter, 500g</t>
        </is>
      </c>
      <c r="E701" s="6" t="inlineStr">
        <is>
          <t>Harbour Market</t>
        </is>
      </c>
      <c r="F701" s="6" t="inlineStr">
        <is>
          <t>Dairy &amp; Eggs</t>
        </is>
      </c>
      <c r="G701" s="6" t="inlineStr">
        <is>
          <t>Butter &amp; Spreads</t>
        </is>
      </c>
      <c r="H701" s="6" t="inlineStr">
        <is>
          <t>yes</t>
        </is>
      </c>
      <c r="I701" s="6" t="inlineStr">
        <is>
          <t>Animal core</t>
        </is>
      </c>
      <c r="J701" s="6" t="inlineStr">
        <is>
          <t>A</t>
        </is>
      </c>
      <c r="K701" s="6" t="inlineStr">
        <is>
          <t>All ingredients on one side</t>
        </is>
      </c>
      <c r="L701" s="6" t="n">
        <v>0.58</v>
      </c>
      <c r="M701" s="6" t="inlineStr">
        <is>
          <t>Declared by the retailer</t>
        </is>
      </c>
      <c r="N701" s="6" t="n">
        <v>0</v>
      </c>
      <c r="O701" s="6" t="n">
        <v>0.58</v>
      </c>
      <c r="P701" s="6" t="inlineStr">
        <is>
          <t>yes</t>
        </is>
      </c>
      <c r="Q701" s="6" t="inlineStr">
        <is>
          <t>whole</t>
        </is>
      </c>
      <c r="R701" s="6" t="inlineStr">
        <is>
          <t>FG3</t>
        </is>
      </c>
      <c r="S701" s="6" t="inlineStr">
        <is>
          <t>animal fat</t>
        </is>
      </c>
      <c r="T701" s="6" t="inlineStr">
        <is>
          <t>animal</t>
        </is>
      </c>
      <c r="U701" s="6" t="n"/>
      <c r="V701" s="6" t="n"/>
      <c r="W701" s="6" t="n">
        <v>1</v>
      </c>
      <c r="X701" s="6" t="n">
        <v>0.5</v>
      </c>
      <c r="Y701" s="6" t="inlineStr">
        <is>
          <t>declared</t>
        </is>
      </c>
      <c r="Z701" s="8" t="n">
        <v>61744</v>
      </c>
      <c r="AA701" s="9">
        <f>IF(H701="yes",Z701*X701,0)</f>
        <v/>
      </c>
      <c r="AB701" s="9">
        <f>IF(H701="yes",AA701*N(L701)/100,0)</f>
        <v/>
      </c>
      <c r="AC701" s="9">
        <f>IF(H701="yes",AA701*N(N701)/100,0)</f>
        <v/>
      </c>
      <c r="AD701" s="9">
        <f>IF(H701="yes",AA701*N(O701)/100,0)</f>
        <v/>
      </c>
      <c r="AE701" s="10">
        <f>IF(P701="yes",AA701/1000,0)</f>
        <v/>
      </c>
      <c r="AF701" s="10">
        <f>IF(R701="FG2",AE701*W701,AE701)</f>
        <v/>
      </c>
    </row>
    <row r="702">
      <c r="A702" s="6" t="inlineStr">
        <is>
          <t>HM00700</t>
        </is>
      </c>
      <c r="B702" s="7" t="inlineStr">
        <is>
          <t>8712345556891</t>
        </is>
      </c>
      <c r="C702" s="6" t="inlineStr">
        <is>
          <t>HM ICEBERG LETTUCE 500G</t>
        </is>
      </c>
      <c r="D702" s="6" t="inlineStr">
        <is>
          <t>Iceberg lettuce, 500g</t>
        </is>
      </c>
      <c r="E702" s="6" t="inlineStr">
        <is>
          <t>Harbour Market</t>
        </is>
      </c>
      <c r="F702" s="6" t="inlineStr">
        <is>
          <t>Fruit &amp; Vegetables</t>
        </is>
      </c>
      <c r="G702" s="6" t="inlineStr">
        <is>
          <t>Vegetables</t>
        </is>
      </c>
      <c r="H702" s="6" t="inlineStr">
        <is>
          <t>yes</t>
        </is>
      </c>
      <c r="I702" s="6" t="inlineStr">
        <is>
          <t>Plant-based non-core</t>
        </is>
      </c>
      <c r="J702" s="6" t="inlineStr">
        <is>
          <t>B</t>
        </is>
      </c>
      <c r="K702" s="6" t="inlineStr">
        <is>
          <t>Follows the class</t>
        </is>
      </c>
      <c r="L702" s="6" t="n">
        <v>1</v>
      </c>
      <c r="M702" s="6" t="inlineStr">
        <is>
          <t>Open Food Facts, by EAN</t>
        </is>
      </c>
      <c r="N702" s="6" t="n">
        <v>1</v>
      </c>
      <c r="O702" s="6" t="n">
        <v>0</v>
      </c>
      <c r="P702" s="6" t="inlineStr">
        <is>
          <t>yes</t>
        </is>
      </c>
      <c r="Q702" s="6" t="inlineStr">
        <is>
          <t>whole</t>
        </is>
      </c>
      <c r="R702" s="6" t="inlineStr">
        <is>
          <t>FG4</t>
        </is>
      </c>
      <c r="S702" s="6" t="n"/>
      <c r="T702" s="6" t="inlineStr">
        <is>
          <t>plant</t>
        </is>
      </c>
      <c r="U702" s="6" t="n"/>
      <c r="V702" s="6" t="n"/>
      <c r="W702" s="6" t="n">
        <v>1</v>
      </c>
      <c r="X702" s="6" t="n">
        <v>0.5</v>
      </c>
      <c r="Y702" s="6" t="inlineStr">
        <is>
          <t>declared</t>
        </is>
      </c>
      <c r="Z702" s="8" t="n">
        <v>82630</v>
      </c>
      <c r="AA702" s="9">
        <f>IF(H702="yes",Z702*X702,0)</f>
        <v/>
      </c>
      <c r="AB702" s="9">
        <f>IF(H702="yes",AA702*N(L702)/100,0)</f>
        <v/>
      </c>
      <c r="AC702" s="9">
        <f>IF(H702="yes",AA702*N(N702)/100,0)</f>
        <v/>
      </c>
      <c r="AD702" s="9">
        <f>IF(H702="yes",AA702*N(O702)/100,0)</f>
        <v/>
      </c>
      <c r="AE702" s="10">
        <f>IF(P702="yes",AA702/1000,0)</f>
        <v/>
      </c>
      <c r="AF702" s="10">
        <f>IF(R702="FG2",AE702*W702,AE702)</f>
        <v/>
      </c>
    </row>
    <row r="703">
      <c r="A703" s="6" t="inlineStr">
        <is>
          <t>HM00701</t>
        </is>
      </c>
      <c r="B703" s="7" t="inlineStr">
        <is>
          <t>2268106057400</t>
        </is>
      </c>
      <c r="C703" s="6" t="inlineStr">
        <is>
          <t>HM ICEBERG LETTUCE KG</t>
        </is>
      </c>
      <c r="D703" s="6" t="inlineStr">
        <is>
          <t>Iceberg lettuce</t>
        </is>
      </c>
      <c r="E703" s="6" t="inlineStr">
        <is>
          <t>Harbour Market</t>
        </is>
      </c>
      <c r="F703" s="6" t="inlineStr">
        <is>
          <t>Fruit &amp; Vegetables</t>
        </is>
      </c>
      <c r="G703" s="6" t="inlineStr">
        <is>
          <t>Vegetables</t>
        </is>
      </c>
      <c r="H703" s="6" t="inlineStr">
        <is>
          <t>yes</t>
        </is>
      </c>
      <c r="I703" s="6" t="inlineStr">
        <is>
          <t>Plant-based non-core</t>
        </is>
      </c>
      <c r="J703" s="6" t="inlineStr">
        <is>
          <t>B</t>
        </is>
      </c>
      <c r="K703" s="6" t="inlineStr">
        <is>
          <t>Follows the class</t>
        </is>
      </c>
      <c r="L703" s="6" t="n">
        <v>1</v>
      </c>
      <c r="M703" s="6" t="inlineStr">
        <is>
          <t>Declared by the retailer</t>
        </is>
      </c>
      <c r="N703" s="6" t="n">
        <v>1</v>
      </c>
      <c r="O703" s="6" t="n">
        <v>0</v>
      </c>
      <c r="P703" s="6" t="inlineStr">
        <is>
          <t>yes</t>
        </is>
      </c>
      <c r="Q703" s="6" t="inlineStr">
        <is>
          <t>whole</t>
        </is>
      </c>
      <c r="R703" s="6" t="inlineStr">
        <is>
          <t>FG4</t>
        </is>
      </c>
      <c r="S703" s="6" t="n"/>
      <c r="T703" s="6" t="inlineStr">
        <is>
          <t>plant</t>
        </is>
      </c>
      <c r="U703" s="6" t="n"/>
      <c r="V703" s="6" t="n"/>
      <c r="W703" s="6" t="n">
        <v>1</v>
      </c>
      <c r="X703" s="6" t="n">
        <v>1</v>
      </c>
      <c r="Y703" s="6" t="inlineStr">
        <is>
          <t>variable</t>
        </is>
      </c>
      <c r="Z703" s="8" t="n">
        <v>9128</v>
      </c>
      <c r="AA703" s="9">
        <f>IF(H703="yes",Z703*X703,0)</f>
        <v/>
      </c>
      <c r="AB703" s="9">
        <f>IF(H703="yes",AA703*N(L703)/100,0)</f>
        <v/>
      </c>
      <c r="AC703" s="9">
        <f>IF(H703="yes",AA703*N(N703)/100,0)</f>
        <v/>
      </c>
      <c r="AD703" s="9">
        <f>IF(H703="yes",AA703*N(O703)/100,0)</f>
        <v/>
      </c>
      <c r="AE703" s="10">
        <f>IF(P703="yes",AA703/1000,0)</f>
        <v/>
      </c>
      <c r="AF703" s="10">
        <f>IF(R703="FG2",AE703*W703,AE703)</f>
        <v/>
      </c>
    </row>
    <row r="704">
      <c r="A704" s="6" t="inlineStr">
        <is>
          <t>HM00702</t>
        </is>
      </c>
      <c r="B704" s="7" t="inlineStr">
        <is>
          <t>4012345936698</t>
        </is>
      </c>
      <c r="C704" s="6" t="inlineStr">
        <is>
          <t>HM LACTOSE FREE MILK 1L</t>
        </is>
      </c>
      <c r="D704" s="6" t="inlineStr">
        <is>
          <t>Lactose-free semi-skimmed milk, 1l</t>
        </is>
      </c>
      <c r="E704" s="6" t="inlineStr">
        <is>
          <t>Harbour Market</t>
        </is>
      </c>
      <c r="F704" s="6" t="inlineStr">
        <is>
          <t>Dairy &amp; Eggs</t>
        </is>
      </c>
      <c r="G704" s="6" t="inlineStr">
        <is>
          <t>Milk</t>
        </is>
      </c>
      <c r="H704" s="6" t="inlineStr">
        <is>
          <t>yes</t>
        </is>
      </c>
      <c r="I704" s="6" t="inlineStr">
        <is>
          <t>Animal core</t>
        </is>
      </c>
      <c r="J704" s="6" t="inlineStr">
        <is>
          <t>A</t>
        </is>
      </c>
      <c r="K704" s="6" t="inlineStr">
        <is>
          <t>All ingredients on one side</t>
        </is>
      </c>
      <c r="L704" s="6" t="n">
        <v>3.5</v>
      </c>
      <c r="M704" s="6" t="inlineStr">
        <is>
          <t>Name match (CIQUAL / NEVO)</t>
        </is>
      </c>
      <c r="N704" s="6" t="n">
        <v>0</v>
      </c>
      <c r="O704" s="6" t="n">
        <v>3.5</v>
      </c>
      <c r="P704" s="6" t="inlineStr">
        <is>
          <t>yes</t>
        </is>
      </c>
      <c r="Q704" s="6" t="inlineStr">
        <is>
          <t>whole</t>
        </is>
      </c>
      <c r="R704" s="6" t="inlineStr">
        <is>
          <t>FG2</t>
        </is>
      </c>
      <c r="S704" s="6" t="inlineStr">
        <is>
          <t>dairy</t>
        </is>
      </c>
      <c r="T704" s="6" t="inlineStr">
        <is>
          <t>animal</t>
        </is>
      </c>
      <c r="U704" s="6" t="n"/>
      <c r="V704" s="6" t="n"/>
      <c r="W704" s="6" t="n">
        <v>1</v>
      </c>
      <c r="X704" s="6" t="n">
        <v>1.03</v>
      </c>
      <c r="Y704" s="6" t="inlineStr">
        <is>
          <t>label</t>
        </is>
      </c>
      <c r="Z704" s="8" t="n">
        <v>63957</v>
      </c>
      <c r="AA704" s="9">
        <f>IF(H704="yes",Z704*X704,0)</f>
        <v/>
      </c>
      <c r="AB704" s="9">
        <f>IF(H704="yes",AA704*N(L704)/100,0)</f>
        <v/>
      </c>
      <c r="AC704" s="9">
        <f>IF(H704="yes",AA704*N(N704)/100,0)</f>
        <v/>
      </c>
      <c r="AD704" s="9">
        <f>IF(H704="yes",AA704*N(O704)/100,0)</f>
        <v/>
      </c>
      <c r="AE704" s="10">
        <f>IF(P704="yes",AA704/1000,0)</f>
        <v/>
      </c>
      <c r="AF704" s="10">
        <f>IF(R704="FG2",AE704*W704,AE704)</f>
        <v/>
      </c>
    </row>
    <row r="705">
      <c r="A705" s="6" t="inlineStr">
        <is>
          <t>HM00703</t>
        </is>
      </c>
      <c r="B705" s="7" t="inlineStr">
        <is>
          <t>8712345830281</t>
        </is>
      </c>
      <c r="C705" s="6" t="inlineStr">
        <is>
          <t>HM CHKN MAYO SANDWICH 170G</t>
        </is>
      </c>
      <c r="D705" s="6" t="inlineStr">
        <is>
          <t>Chicken mayo sandwich, 170g</t>
        </is>
      </c>
      <c r="E705" s="6" t="inlineStr">
        <is>
          <t>Harbour Market</t>
        </is>
      </c>
      <c r="F705" s="6" t="inlineStr">
        <is>
          <t>Ready Meals</t>
        </is>
      </c>
      <c r="G705" s="6" t="inlineStr">
        <is>
          <t>Sandwiches</t>
        </is>
      </c>
      <c r="H705" s="6" t="inlineStr">
        <is>
          <t>yes</t>
        </is>
      </c>
      <c r="I705" s="6" t="inlineStr">
        <is>
          <t>Animal &amp; plant composite</t>
        </is>
      </c>
      <c r="J705" s="6" t="inlineStr">
        <is>
          <t>B</t>
        </is>
      </c>
      <c r="K705" s="6" t="inlineStr">
        <is>
          <t>50/50 convention</t>
        </is>
      </c>
      <c r="L705" s="6" t="n">
        <v>10.9</v>
      </c>
      <c r="M705" s="6" t="inlineStr">
        <is>
          <t>Declared by the retailer</t>
        </is>
      </c>
      <c r="N705" s="6" t="n">
        <v>5.45</v>
      </c>
      <c r="O705" s="6" t="n">
        <v>5.45</v>
      </c>
      <c r="P705" s="6" t="inlineStr">
        <is>
          <t>yes</t>
        </is>
      </c>
      <c r="Q705" s="6" t="inlineStr">
        <is>
          <t>composite</t>
        </is>
      </c>
      <c r="R705" s="6" t="n"/>
      <c r="S705" s="6" t="n"/>
      <c r="T705" s="6" t="n"/>
      <c r="U705" s="6" t="inlineStr">
        <is>
          <t>meat-based</t>
        </is>
      </c>
      <c r="V705" s="6" t="n"/>
      <c r="W705" s="6" t="n">
        <v>1</v>
      </c>
      <c r="X705" s="6" t="n">
        <v>0.17</v>
      </c>
      <c r="Y705" s="6" t="inlineStr">
        <is>
          <t>declared</t>
        </is>
      </c>
      <c r="Z705" s="8" t="n">
        <v>16542</v>
      </c>
      <c r="AA705" s="9">
        <f>IF(H705="yes",Z705*X705,0)</f>
        <v/>
      </c>
      <c r="AB705" s="9">
        <f>IF(H705="yes",AA705*N(L705)/100,0)</f>
        <v/>
      </c>
      <c r="AC705" s="9">
        <f>IF(H705="yes",AA705*N(N705)/100,0)</f>
        <v/>
      </c>
      <c r="AD705" s="9">
        <f>IF(H705="yes",AA705*N(O705)/100,0)</f>
        <v/>
      </c>
      <c r="AE705" s="10">
        <f>IF(P705="yes",AA705/1000,0)</f>
        <v/>
      </c>
      <c r="AF705" s="10">
        <f>IF(R705="FG2",AE705*W705,AE705)</f>
        <v/>
      </c>
    </row>
    <row r="706">
      <c r="A706" s="6" t="inlineStr">
        <is>
          <t>HM00704</t>
        </is>
      </c>
      <c r="B706" s="7" t="inlineStr">
        <is>
          <t>0012345072130</t>
        </is>
      </c>
      <c r="C706" s="6" t="inlineStr">
        <is>
          <t>HM PAPER NAPKINS 4PK</t>
        </is>
      </c>
      <c r="D706" s="6" t="inlineStr">
        <is>
          <t>Paper napkins, 4pk</t>
        </is>
      </c>
      <c r="E706" s="6" t="inlineStr">
        <is>
          <t>Harbour Market</t>
        </is>
      </c>
      <c r="F706" s="6" t="inlineStr">
        <is>
          <t>Household</t>
        </is>
      </c>
      <c r="G706" s="6" t="inlineStr">
        <is>
          <t>Household</t>
        </is>
      </c>
      <c r="H706" s="6" t="inlineStr">
        <is>
          <t>no</t>
        </is>
      </c>
      <c r="I706" s="6" t="n"/>
      <c r="J706" s="6" t="n"/>
      <c r="K706" s="6" t="n"/>
      <c r="L706" s="6" t="n"/>
      <c r="M706" s="6" t="n"/>
      <c r="N706" s="6" t="n"/>
      <c r="O706" s="6" t="n"/>
      <c r="P706" s="6" t="inlineStr">
        <is>
          <t>no</t>
        </is>
      </c>
      <c r="Q706" s="6" t="n"/>
      <c r="R706" s="6" t="n"/>
      <c r="S706" s="6" t="n"/>
      <c r="T706" s="6" t="n"/>
      <c r="U706" s="6" t="n"/>
      <c r="V706" s="6" t="n"/>
      <c r="W706" s="6" t="n">
        <v>1</v>
      </c>
      <c r="X706" s="6" t="n">
        <v>0.5</v>
      </c>
      <c r="Y706" s="6" t="inlineStr">
        <is>
          <t>declared</t>
        </is>
      </c>
      <c r="Z706" s="8" t="n">
        <v>2303</v>
      </c>
      <c r="AA706" s="9">
        <f>IF(H706="yes",Z706*X706,0)</f>
        <v/>
      </c>
      <c r="AB706" s="9">
        <f>IF(H706="yes",AA706*N(L706)/100,0)</f>
        <v/>
      </c>
      <c r="AC706" s="9">
        <f>IF(H706="yes",AA706*N(N706)/100,0)</f>
        <v/>
      </c>
      <c r="AD706" s="9">
        <f>IF(H706="yes",AA706*N(O706)/100,0)</f>
        <v/>
      </c>
      <c r="AE706" s="10">
        <f>IF(P706="yes",AA706/1000,0)</f>
        <v/>
      </c>
      <c r="AF706" s="10">
        <f>IF(R706="FG2",AE706*W706,AE706)</f>
        <v/>
      </c>
    </row>
    <row r="707">
      <c r="A707" s="6" t="inlineStr">
        <is>
          <t>HM00705</t>
        </is>
      </c>
      <c r="B707" s="7" t="inlineStr">
        <is>
          <t>5012345294360</t>
        </is>
      </c>
      <c r="C707" s="6" t="inlineStr">
        <is>
          <t>NUVELLE ICED TEA PEACH 2L</t>
        </is>
      </c>
      <c r="D707" s="6" t="inlineStr">
        <is>
          <t>Peach iced tea, 2l</t>
        </is>
      </c>
      <c r="E707" s="6" t="inlineStr">
        <is>
          <t>Nuvelle</t>
        </is>
      </c>
      <c r="F707" s="6" t="inlineStr">
        <is>
          <t>Soft Drinks &amp; Water</t>
        </is>
      </c>
      <c r="G707" s="6" t="inlineStr">
        <is>
          <t>Soft Drinks</t>
        </is>
      </c>
      <c r="H707" s="6" t="inlineStr">
        <is>
          <t>yes</t>
        </is>
      </c>
      <c r="I707" s="6" t="inlineStr">
        <is>
          <t>Plant-based non-core</t>
        </is>
      </c>
      <c r="J707" s="6" t="inlineStr">
        <is>
          <t>B</t>
        </is>
      </c>
      <c r="K707" s="6" t="inlineStr">
        <is>
          <t>Follows the class</t>
        </is>
      </c>
      <c r="L707" s="6" t="n">
        <v>0</v>
      </c>
      <c r="M707" s="6" t="inlineStr">
        <is>
          <t>Altera reference base</t>
        </is>
      </c>
      <c r="N707" s="6" t="n">
        <v>0</v>
      </c>
      <c r="O707" s="6" t="n">
        <v>0</v>
      </c>
      <c r="P707" s="6" t="inlineStr">
        <is>
          <t>no</t>
        </is>
      </c>
      <c r="Q707" s="6" t="n"/>
      <c r="R707" s="6" t="n"/>
      <c r="S707" s="6" t="n"/>
      <c r="T707" s="6" t="n"/>
      <c r="U707" s="6" t="n"/>
      <c r="V707" s="6" t="inlineStr">
        <is>
          <t>beverage</t>
        </is>
      </c>
      <c r="W707" s="6" t="n">
        <v>1</v>
      </c>
      <c r="X707" s="6" t="n">
        <v>2</v>
      </c>
      <c r="Y707" s="6" t="inlineStr">
        <is>
          <t>label</t>
        </is>
      </c>
      <c r="Z707" s="8" t="n">
        <v>29159</v>
      </c>
      <c r="AA707" s="9">
        <f>IF(H707="yes",Z707*X707,0)</f>
        <v/>
      </c>
      <c r="AB707" s="9">
        <f>IF(H707="yes",AA707*N(L707)/100,0)</f>
        <v/>
      </c>
      <c r="AC707" s="9">
        <f>IF(H707="yes",AA707*N(N707)/100,0)</f>
        <v/>
      </c>
      <c r="AD707" s="9">
        <f>IF(H707="yes",AA707*N(O707)/100,0)</f>
        <v/>
      </c>
      <c r="AE707" s="10">
        <f>IF(P707="yes",AA707/1000,0)</f>
        <v/>
      </c>
      <c r="AF707" s="10">
        <f>IF(R707="FG2",AE707*W707,AE707)</f>
        <v/>
      </c>
    </row>
    <row r="708">
      <c r="A708" s="6" t="inlineStr">
        <is>
          <t>HM00706</t>
        </is>
      </c>
      <c r="B708" s="7" t="inlineStr">
        <is>
          <t>3012345149075</t>
        </is>
      </c>
      <c r="C708" s="6" t="inlineStr">
        <is>
          <t>HM CHKN THIGHS 500G</t>
        </is>
      </c>
      <c r="D708" s="6" t="inlineStr">
        <is>
          <t>Chicken thighs, 500g</t>
        </is>
      </c>
      <c r="E708" s="6" t="inlineStr">
        <is>
          <t>Harbour Market</t>
        </is>
      </c>
      <c r="F708" s="6" t="inlineStr">
        <is>
          <t>Fresh Meat &amp; Poultry</t>
        </is>
      </c>
      <c r="G708" s="6" t="inlineStr">
        <is>
          <t>Poultry</t>
        </is>
      </c>
      <c r="H708" s="6" t="inlineStr">
        <is>
          <t>yes</t>
        </is>
      </c>
      <c r="I708" s="6" t="inlineStr">
        <is>
          <t>Animal core</t>
        </is>
      </c>
      <c r="J708" s="6" t="inlineStr">
        <is>
          <t>A</t>
        </is>
      </c>
      <c r="K708" s="6" t="inlineStr">
        <is>
          <t>All ingredients on one side</t>
        </is>
      </c>
      <c r="L708" s="6" t="n">
        <v>18.5</v>
      </c>
      <c r="M708" s="6" t="inlineStr">
        <is>
          <t>Altera reference base</t>
        </is>
      </c>
      <c r="N708" s="6" t="n">
        <v>0</v>
      </c>
      <c r="O708" s="6" t="n">
        <v>18.5</v>
      </c>
      <c r="P708" s="6" t="inlineStr">
        <is>
          <t>yes</t>
        </is>
      </c>
      <c r="Q708" s="6" t="inlineStr">
        <is>
          <t>whole</t>
        </is>
      </c>
      <c r="R708" s="6" t="inlineStr">
        <is>
          <t>FG1</t>
        </is>
      </c>
      <c r="S708" s="6" t="inlineStr">
        <is>
          <t>poultry</t>
        </is>
      </c>
      <c r="T708" s="6" t="inlineStr">
        <is>
          <t>animal</t>
        </is>
      </c>
      <c r="U708" s="6" t="n"/>
      <c r="V708" s="6" t="n"/>
      <c r="W708" s="6" t="n">
        <v>1</v>
      </c>
      <c r="X708" s="6" t="n">
        <v>0.5</v>
      </c>
      <c r="Y708" s="6" t="inlineStr">
        <is>
          <t>declared</t>
        </is>
      </c>
      <c r="Z708" s="8" t="n">
        <v>76751</v>
      </c>
      <c r="AA708" s="9">
        <f>IF(H708="yes",Z708*X708,0)</f>
        <v/>
      </c>
      <c r="AB708" s="9">
        <f>IF(H708="yes",AA708*N(L708)/100,0)</f>
        <v/>
      </c>
      <c r="AC708" s="9">
        <f>IF(H708="yes",AA708*N(N708)/100,0)</f>
        <v/>
      </c>
      <c r="AD708" s="9">
        <f>IF(H708="yes",AA708*N(O708)/100,0)</f>
        <v/>
      </c>
      <c r="AE708" s="10">
        <f>IF(P708="yes",AA708/1000,0)</f>
        <v/>
      </c>
      <c r="AF708" s="10">
        <f>IF(R708="FG2",AE708*W708,AE708)</f>
        <v/>
      </c>
    </row>
    <row r="709">
      <c r="A709" s="6" t="inlineStr">
        <is>
          <t>HM00707</t>
        </is>
      </c>
      <c r="B709" s="7" t="inlineStr">
        <is>
          <t>8712345279936</t>
        </is>
      </c>
      <c r="C709" s="6" t="inlineStr">
        <is>
          <t>HM HAM TRIM 8SL 200G</t>
        </is>
      </c>
      <c r="D709" s="6" t="inlineStr">
        <is>
          <t>Ham trimmings, 8sl 200g</t>
        </is>
      </c>
      <c r="E709" s="6" t="inlineStr">
        <is>
          <t>Harbour Market</t>
        </is>
      </c>
      <c r="F709" s="6" t="inlineStr">
        <is>
          <t>Deli</t>
        </is>
      </c>
      <c r="G709" s="6" t="inlineStr">
        <is>
          <t>Cooked Meats</t>
        </is>
      </c>
      <c r="H709" s="6" t="inlineStr">
        <is>
          <t>yes</t>
        </is>
      </c>
      <c r="I709" s="6" t="inlineStr">
        <is>
          <t>Animal core</t>
        </is>
      </c>
      <c r="J709" s="6" t="inlineStr">
        <is>
          <t>B</t>
        </is>
      </c>
      <c r="K709" s="6" t="inlineStr">
        <is>
          <t>Follows the class</t>
        </is>
      </c>
      <c r="L709" s="6" t="n">
        <v>18.4</v>
      </c>
      <c r="M709" s="6" t="inlineStr">
        <is>
          <t>Declared by the retailer</t>
        </is>
      </c>
      <c r="N709" s="6" t="n">
        <v>0</v>
      </c>
      <c r="O709" s="6" t="n">
        <v>18.4</v>
      </c>
      <c r="P709" s="6" t="inlineStr">
        <is>
          <t>yes</t>
        </is>
      </c>
      <c r="Q709" s="6" t="inlineStr">
        <is>
          <t>whole</t>
        </is>
      </c>
      <c r="R709" s="6" t="inlineStr">
        <is>
          <t>FG1</t>
        </is>
      </c>
      <c r="S709" s="6" t="inlineStr">
        <is>
          <t>red meat</t>
        </is>
      </c>
      <c r="T709" s="6" t="inlineStr">
        <is>
          <t>animal</t>
        </is>
      </c>
      <c r="U709" s="6" t="n"/>
      <c r="V709" s="6" t="n"/>
      <c r="W709" s="6" t="n">
        <v>1</v>
      </c>
      <c r="X709" s="6" t="n">
        <v>0.2</v>
      </c>
      <c r="Y709" s="6" t="inlineStr">
        <is>
          <t>declared</t>
        </is>
      </c>
      <c r="Z709" s="8" t="n">
        <v>38215</v>
      </c>
      <c r="AA709" s="9">
        <f>IF(H709="yes",Z709*X709,0)</f>
        <v/>
      </c>
      <c r="AB709" s="9">
        <f>IF(H709="yes",AA709*N(L709)/100,0)</f>
        <v/>
      </c>
      <c r="AC709" s="9">
        <f>IF(H709="yes",AA709*N(N709)/100,0)</f>
        <v/>
      </c>
      <c r="AD709" s="9">
        <f>IF(H709="yes",AA709*N(O709)/100,0)</f>
        <v/>
      </c>
      <c r="AE709" s="10">
        <f>IF(P709="yes",AA709/1000,0)</f>
        <v/>
      </c>
      <c r="AF709" s="10">
        <f>IF(R709="FG2",AE709*W709,AE709)</f>
        <v/>
      </c>
    </row>
    <row r="710">
      <c r="A710" s="6" t="inlineStr">
        <is>
          <t>HM00708</t>
        </is>
      </c>
      <c r="B710" s="7" t="inlineStr">
        <is>
          <t>8712345982102</t>
        </is>
      </c>
      <c r="C710" s="6" t="inlineStr">
        <is>
          <t>HM GREEN LENTILS 500G</t>
        </is>
      </c>
      <c r="D710" s="6" t="inlineStr">
        <is>
          <t>Green lentils, 500g</t>
        </is>
      </c>
      <c r="E710" s="6" t="inlineStr">
        <is>
          <t>Harbour Market</t>
        </is>
      </c>
      <c r="F710" s="6" t="inlineStr">
        <is>
          <t>Grocery</t>
        </is>
      </c>
      <c r="G710" s="6" t="inlineStr">
        <is>
          <t>Pulses</t>
        </is>
      </c>
      <c r="H710" s="6" t="inlineStr">
        <is>
          <t>yes</t>
        </is>
      </c>
      <c r="I710" s="6" t="inlineStr">
        <is>
          <t>Plant-based core</t>
        </is>
      </c>
      <c r="J710" s="6" t="inlineStr">
        <is>
          <t>B</t>
        </is>
      </c>
      <c r="K710" s="6" t="inlineStr">
        <is>
          <t>Follows the class</t>
        </is>
      </c>
      <c r="L710" s="6" t="n">
        <v>25</v>
      </c>
      <c r="M710" s="6" t="inlineStr">
        <is>
          <t>Declared by the retailer</t>
        </is>
      </c>
      <c r="N710" s="6" t="n">
        <v>25</v>
      </c>
      <c r="O710" s="6" t="n">
        <v>0</v>
      </c>
      <c r="P710" s="6" t="inlineStr">
        <is>
          <t>yes</t>
        </is>
      </c>
      <c r="Q710" s="6" t="inlineStr">
        <is>
          <t>whole</t>
        </is>
      </c>
      <c r="R710" s="6" t="inlineStr">
        <is>
          <t>FG1</t>
        </is>
      </c>
      <c r="S710" s="6" t="inlineStr">
        <is>
          <t>pulses</t>
        </is>
      </c>
      <c r="T710" s="6" t="inlineStr">
        <is>
          <t>plant</t>
        </is>
      </c>
      <c r="U710" s="6" t="n"/>
      <c r="V710" s="6" t="n"/>
      <c r="W710" s="6" t="n">
        <v>1</v>
      </c>
      <c r="X710" s="6" t="n">
        <v>0.5</v>
      </c>
      <c r="Y710" s="6" t="inlineStr">
        <is>
          <t>declared</t>
        </is>
      </c>
      <c r="Z710" s="8" t="n">
        <v>4958</v>
      </c>
      <c r="AA710" s="9">
        <f>IF(H710="yes",Z710*X710,0)</f>
        <v/>
      </c>
      <c r="AB710" s="9">
        <f>IF(H710="yes",AA710*N(L710)/100,0)</f>
        <v/>
      </c>
      <c r="AC710" s="9">
        <f>IF(H710="yes",AA710*N(N710)/100,0)</f>
        <v/>
      </c>
      <c r="AD710" s="9">
        <f>IF(H710="yes",AA710*N(O710)/100,0)</f>
        <v/>
      </c>
      <c r="AE710" s="10">
        <f>IF(P710="yes",AA710/1000,0)</f>
        <v/>
      </c>
      <c r="AF710" s="10">
        <f>IF(R710="FG2",AE710*W710,AE710)</f>
        <v/>
      </c>
    </row>
    <row r="711">
      <c r="A711" s="6" t="inlineStr">
        <is>
          <t>HM00709</t>
        </is>
      </c>
      <c r="B711" s="7" t="inlineStr">
        <is>
          <t>3012345833325</t>
        </is>
      </c>
      <c r="C711" s="6" t="inlineStr">
        <is>
          <t>HM COLA ZERO 1.5L</t>
        </is>
      </c>
      <c r="D711" s="6" t="inlineStr">
        <is>
          <t>Cola, no sugar, 1.5l</t>
        </is>
      </c>
      <c r="E711" s="6" t="inlineStr">
        <is>
          <t>Harbour Market</t>
        </is>
      </c>
      <c r="F711" s="6" t="inlineStr">
        <is>
          <t>Soft Drinks &amp; Water</t>
        </is>
      </c>
      <c r="G711" s="6" t="inlineStr">
        <is>
          <t>Soft Drinks</t>
        </is>
      </c>
      <c r="H711" s="6" t="inlineStr">
        <is>
          <t>yes</t>
        </is>
      </c>
      <c r="I711" s="6" t="inlineStr">
        <is>
          <t>Plant-based non-core</t>
        </is>
      </c>
      <c r="J711" s="6" t="inlineStr">
        <is>
          <t>A</t>
        </is>
      </c>
      <c r="K711" s="6" t="inlineStr">
        <is>
          <t>All ingredients on one side</t>
        </is>
      </c>
      <c r="L711" s="6" t="n">
        <v>0</v>
      </c>
      <c r="M711" s="6" t="inlineStr">
        <is>
          <t>Altera reference base</t>
        </is>
      </c>
      <c r="N711" s="6" t="n">
        <v>0</v>
      </c>
      <c r="O711" s="6" t="n">
        <v>0</v>
      </c>
      <c r="P711" s="6" t="inlineStr">
        <is>
          <t>no</t>
        </is>
      </c>
      <c r="Q711" s="6" t="n"/>
      <c r="R711" s="6" t="n"/>
      <c r="S711" s="6" t="n"/>
      <c r="T711" s="6" t="n"/>
      <c r="U711" s="6" t="n"/>
      <c r="V711" s="6" t="inlineStr">
        <is>
          <t>beverage</t>
        </is>
      </c>
      <c r="W711" s="6" t="n">
        <v>1</v>
      </c>
      <c r="X711" s="6" t="n">
        <v>1.5</v>
      </c>
      <c r="Y711" s="6" t="inlineStr">
        <is>
          <t>declared</t>
        </is>
      </c>
      <c r="Z711" s="8" t="n">
        <v>46447</v>
      </c>
      <c r="AA711" s="9">
        <f>IF(H711="yes",Z711*X711,0)</f>
        <v/>
      </c>
      <c r="AB711" s="9">
        <f>IF(H711="yes",AA711*N(L711)/100,0)</f>
        <v/>
      </c>
      <c r="AC711" s="9">
        <f>IF(H711="yes",AA711*N(N711)/100,0)</f>
        <v/>
      </c>
      <c r="AD711" s="9">
        <f>IF(H711="yes",AA711*N(O711)/100,0)</f>
        <v/>
      </c>
      <c r="AE711" s="10">
        <f>IF(P711="yes",AA711/1000,0)</f>
        <v/>
      </c>
      <c r="AF711" s="10">
        <f>IF(R711="FG2",AE711*W711,AE711)</f>
        <v/>
      </c>
    </row>
    <row r="712">
      <c r="A712" s="6" t="inlineStr">
        <is>
          <t>HM00710</t>
        </is>
      </c>
      <c r="B712" s="7" t="inlineStr">
        <is>
          <t>8712345951146</t>
        </is>
      </c>
      <c r="C712" s="6" t="inlineStr">
        <is>
          <t>RED WINE MERLOT 1.5L CASTELNA</t>
        </is>
      </c>
      <c r="D712" s="6" t="inlineStr">
        <is>
          <t>Merlot red wine, 1.5l</t>
        </is>
      </c>
      <c r="E712" s="6" t="inlineStr">
        <is>
          <t>Castelna</t>
        </is>
      </c>
      <c r="F712" s="6" t="inlineStr">
        <is>
          <t>Beer, Wine &amp; Spirits</t>
        </is>
      </c>
      <c r="G712" s="6" t="inlineStr">
        <is>
          <t>Wine</t>
        </is>
      </c>
      <c r="H712" s="6" t="inlineStr">
        <is>
          <t>yes</t>
        </is>
      </c>
      <c r="I712" s="6" t="inlineStr">
        <is>
          <t>Plant-based non-core</t>
        </is>
      </c>
      <c r="J712" s="6" t="inlineStr">
        <is>
          <t>B</t>
        </is>
      </c>
      <c r="K712" s="6" t="inlineStr">
        <is>
          <t>Follows the class</t>
        </is>
      </c>
      <c r="L712" s="6" t="n">
        <v>0.11</v>
      </c>
      <c r="M712" s="6" t="inlineStr">
        <is>
          <t>Declared by the retailer</t>
        </is>
      </c>
      <c r="N712" s="6" t="n">
        <v>0.11</v>
      </c>
      <c r="O712" s="6" t="n">
        <v>0</v>
      </c>
      <c r="P712" s="6" t="inlineStr">
        <is>
          <t>no</t>
        </is>
      </c>
      <c r="Q712" s="6" t="n"/>
      <c r="R712" s="6" t="n"/>
      <c r="S712" s="6" t="n"/>
      <c r="T712" s="6" t="n"/>
      <c r="U712" s="6" t="n"/>
      <c r="V712" s="6" t="inlineStr">
        <is>
          <t>alcohol</t>
        </is>
      </c>
      <c r="W712" s="6" t="n">
        <v>1</v>
      </c>
      <c r="X712" s="6" t="n">
        <v>1.5</v>
      </c>
      <c r="Y712" s="6" t="inlineStr">
        <is>
          <t>declared</t>
        </is>
      </c>
      <c r="Z712" s="8" t="n">
        <v>26952</v>
      </c>
      <c r="AA712" s="9">
        <f>IF(H712="yes",Z712*X712,0)</f>
        <v/>
      </c>
      <c r="AB712" s="9">
        <f>IF(H712="yes",AA712*N(L712)/100,0)</f>
        <v/>
      </c>
      <c r="AC712" s="9">
        <f>IF(H712="yes",AA712*N(N712)/100,0)</f>
        <v/>
      </c>
      <c r="AD712" s="9">
        <f>IF(H712="yes",AA712*N(O712)/100,0)</f>
        <v/>
      </c>
      <c r="AE712" s="10">
        <f>IF(P712="yes",AA712/1000,0)</f>
        <v/>
      </c>
      <c r="AF712" s="10">
        <f>IF(R712="FG2",AE712*W712,AE712)</f>
        <v/>
      </c>
    </row>
    <row r="713">
      <c r="A713" s="6" t="inlineStr">
        <is>
          <t>HM00711</t>
        </is>
      </c>
      <c r="B713" s="7" t="inlineStr">
        <is>
          <t>4012345814590</t>
        </is>
      </c>
      <c r="C713" s="6" t="inlineStr">
        <is>
          <t>HM EXTRA VIRGIN OLIVE OIL 3L</t>
        </is>
      </c>
      <c r="D713" s="6" t="inlineStr">
        <is>
          <t>Extra virgin olive oil, 3l</t>
        </is>
      </c>
      <c r="E713" s="6" t="inlineStr">
        <is>
          <t>Harbour Market</t>
        </is>
      </c>
      <c r="F713" s="6" t="inlineStr">
        <is>
          <t>Grocery</t>
        </is>
      </c>
      <c r="G713" s="6" t="inlineStr">
        <is>
          <t>Oils</t>
        </is>
      </c>
      <c r="H713" s="6" t="inlineStr">
        <is>
          <t>yes</t>
        </is>
      </c>
      <c r="I713" s="6" t="inlineStr">
        <is>
          <t>Plant-based non-core</t>
        </is>
      </c>
      <c r="J713" s="6" t="inlineStr">
        <is>
          <t>A</t>
        </is>
      </c>
      <c r="K713" s="6" t="inlineStr">
        <is>
          <t>All ingredients on one side</t>
        </is>
      </c>
      <c r="L713" s="6" t="n">
        <v>0</v>
      </c>
      <c r="M713" s="6" t="inlineStr">
        <is>
          <t>Altera reference base</t>
        </is>
      </c>
      <c r="N713" s="6" t="n">
        <v>0</v>
      </c>
      <c r="O713" s="6" t="n">
        <v>0</v>
      </c>
      <c r="P713" s="6" t="inlineStr">
        <is>
          <t>yes</t>
        </is>
      </c>
      <c r="Q713" s="6" t="inlineStr">
        <is>
          <t>whole</t>
        </is>
      </c>
      <c r="R713" s="6" t="inlineStr">
        <is>
          <t>FG3</t>
        </is>
      </c>
      <c r="S713" s="6" t="inlineStr">
        <is>
          <t>plant fat</t>
        </is>
      </c>
      <c r="T713" s="6" t="inlineStr">
        <is>
          <t>plant</t>
        </is>
      </c>
      <c r="U713" s="6" t="n"/>
      <c r="V713" s="6" t="n"/>
      <c r="W713" s="6" t="n">
        <v>1</v>
      </c>
      <c r="X713" s="6" t="n">
        <v>2.76</v>
      </c>
      <c r="Y713" s="6" t="inlineStr">
        <is>
          <t>declared</t>
        </is>
      </c>
      <c r="Z713" s="8" t="n">
        <v>16312</v>
      </c>
      <c r="AA713" s="9">
        <f>IF(H713="yes",Z713*X713,0)</f>
        <v/>
      </c>
      <c r="AB713" s="9">
        <f>IF(H713="yes",AA713*N(L713)/100,0)</f>
        <v/>
      </c>
      <c r="AC713" s="9">
        <f>IF(H713="yes",AA713*N(N713)/100,0)</f>
        <v/>
      </c>
      <c r="AD713" s="9">
        <f>IF(H713="yes",AA713*N(O713)/100,0)</f>
        <v/>
      </c>
      <c r="AE713" s="10">
        <f>IF(P713="yes",AA713/1000,0)</f>
        <v/>
      </c>
      <c r="AF713" s="10">
        <f>IF(R713="FG2",AE713*W713,AE713)</f>
        <v/>
      </c>
    </row>
    <row r="714">
      <c r="A714" s="6" t="inlineStr">
        <is>
          <t>HM00712</t>
        </is>
      </c>
      <c r="B714" s="7" t="inlineStr">
        <is>
          <t>8712345151195</t>
        </is>
      </c>
      <c r="C714" s="6" t="inlineStr">
        <is>
          <t>HM RASPBERRIES 500G</t>
        </is>
      </c>
      <c r="D714" s="6" t="inlineStr">
        <is>
          <t>Raspberries, 500g</t>
        </is>
      </c>
      <c r="E714" s="6" t="inlineStr">
        <is>
          <t>Harbour Market</t>
        </is>
      </c>
      <c r="F714" s="6" t="inlineStr">
        <is>
          <t>Fruit &amp; Vegetables</t>
        </is>
      </c>
      <c r="G714" s="6" t="inlineStr">
        <is>
          <t>Fruit</t>
        </is>
      </c>
      <c r="H714" s="6" t="inlineStr">
        <is>
          <t>yes</t>
        </is>
      </c>
      <c r="I714" s="6" t="inlineStr">
        <is>
          <t>Plant-based non-core</t>
        </is>
      </c>
      <c r="J714" s="6" t="inlineStr">
        <is>
          <t>B</t>
        </is>
      </c>
      <c r="K714" s="6" t="inlineStr">
        <is>
          <t>Follows the class</t>
        </is>
      </c>
      <c r="L714" s="6" t="n">
        <v>1.1</v>
      </c>
      <c r="M714" s="6" t="inlineStr">
        <is>
          <t>Altera reference base</t>
        </is>
      </c>
      <c r="N714" s="6" t="n">
        <v>1.1</v>
      </c>
      <c r="O714" s="6" t="n">
        <v>0</v>
      </c>
      <c r="P714" s="6" t="inlineStr">
        <is>
          <t>yes</t>
        </is>
      </c>
      <c r="Q714" s="6" t="inlineStr">
        <is>
          <t>whole</t>
        </is>
      </c>
      <c r="R714" s="6" t="inlineStr">
        <is>
          <t>FG4</t>
        </is>
      </c>
      <c r="S714" s="6" t="n"/>
      <c r="T714" s="6" t="inlineStr">
        <is>
          <t>plant</t>
        </is>
      </c>
      <c r="U714" s="6" t="n"/>
      <c r="V714" s="6" t="n"/>
      <c r="W714" s="6" t="n">
        <v>1</v>
      </c>
      <c r="X714" s="6" t="n">
        <v>0.5</v>
      </c>
      <c r="Y714" s="6" t="inlineStr">
        <is>
          <t>declared</t>
        </is>
      </c>
      <c r="Z714" s="8" t="n">
        <v>109466</v>
      </c>
      <c r="AA714" s="9">
        <f>IF(H714="yes",Z714*X714,0)</f>
        <v/>
      </c>
      <c r="AB714" s="9">
        <f>IF(H714="yes",AA714*N(L714)/100,0)</f>
        <v/>
      </c>
      <c r="AC714" s="9">
        <f>IF(H714="yes",AA714*N(N714)/100,0)</f>
        <v/>
      </c>
      <c r="AD714" s="9">
        <f>IF(H714="yes",AA714*N(O714)/100,0)</f>
        <v/>
      </c>
      <c r="AE714" s="10">
        <f>IF(P714="yes",AA714/1000,0)</f>
        <v/>
      </c>
      <c r="AF714" s="10">
        <f>IF(R714="FG2",AE714*W714,AE714)</f>
        <v/>
      </c>
    </row>
    <row r="715">
      <c r="A715" s="6" t="inlineStr">
        <is>
          <t>HM00713</t>
        </is>
      </c>
      <c r="B715" s="7" t="inlineStr">
        <is>
          <t>3012345557597</t>
        </is>
      </c>
      <c r="C715" s="6" t="inlineStr">
        <is>
          <t>HM SKMD MILK 500ML</t>
        </is>
      </c>
      <c r="D715" s="6" t="inlineStr">
        <is>
          <t>Skimmed milk, 500ml</t>
        </is>
      </c>
      <c r="E715" s="6" t="inlineStr">
        <is>
          <t>Harbour Market</t>
        </is>
      </c>
      <c r="F715" s="6" t="inlineStr">
        <is>
          <t>Dairy &amp; Eggs</t>
        </is>
      </c>
      <c r="G715" s="6" t="inlineStr">
        <is>
          <t>Milk</t>
        </is>
      </c>
      <c r="H715" s="6" t="inlineStr">
        <is>
          <t>yes</t>
        </is>
      </c>
      <c r="I715" s="6" t="inlineStr">
        <is>
          <t>Animal core</t>
        </is>
      </c>
      <c r="J715" s="6" t="inlineStr">
        <is>
          <t>A</t>
        </is>
      </c>
      <c r="K715" s="6" t="inlineStr">
        <is>
          <t>All ingredients on one side</t>
        </is>
      </c>
      <c r="L715" s="6" t="n">
        <v>3.3</v>
      </c>
      <c r="M715" s="6" t="inlineStr">
        <is>
          <t>Declared by the retailer</t>
        </is>
      </c>
      <c r="N715" s="6" t="n">
        <v>0</v>
      </c>
      <c r="O715" s="6" t="n">
        <v>3.3</v>
      </c>
      <c r="P715" s="6" t="inlineStr">
        <is>
          <t>yes</t>
        </is>
      </c>
      <c r="Q715" s="6" t="inlineStr">
        <is>
          <t>whole</t>
        </is>
      </c>
      <c r="R715" s="6" t="inlineStr">
        <is>
          <t>FG2</t>
        </is>
      </c>
      <c r="S715" s="6" t="inlineStr">
        <is>
          <t>dairy</t>
        </is>
      </c>
      <c r="T715" s="6" t="inlineStr">
        <is>
          <t>animal</t>
        </is>
      </c>
      <c r="U715" s="6" t="n"/>
      <c r="V715" s="6" t="n"/>
      <c r="W715" s="6" t="n">
        <v>1</v>
      </c>
      <c r="X715" s="6" t="n">
        <v>0.515</v>
      </c>
      <c r="Y715" s="6" t="inlineStr">
        <is>
          <t>declared</t>
        </is>
      </c>
      <c r="Z715" s="8" t="n">
        <v>145136</v>
      </c>
      <c r="AA715" s="9">
        <f>IF(H715="yes",Z715*X715,0)</f>
        <v/>
      </c>
      <c r="AB715" s="9">
        <f>IF(H715="yes",AA715*N(L715)/100,0)</f>
        <v/>
      </c>
      <c r="AC715" s="9">
        <f>IF(H715="yes",AA715*N(N715)/100,0)</f>
        <v/>
      </c>
      <c r="AD715" s="9">
        <f>IF(H715="yes",AA715*N(O715)/100,0)</f>
        <v/>
      </c>
      <c r="AE715" s="10">
        <f>IF(P715="yes",AA715/1000,0)</f>
        <v/>
      </c>
      <c r="AF715" s="10">
        <f>IF(R715="FG2",AE715*W715,AE715)</f>
        <v/>
      </c>
    </row>
    <row r="716">
      <c r="A716" s="6" t="inlineStr">
        <is>
          <t>HM00714</t>
        </is>
      </c>
      <c r="B716" s="7" t="inlineStr">
        <is>
          <t>2909635929550</t>
        </is>
      </c>
      <c r="C716" s="6" t="inlineStr">
        <is>
          <t>HM MIXED PEPPERS KG</t>
        </is>
      </c>
      <c r="D716" s="6" t="inlineStr">
        <is>
          <t>Mixed peppers</t>
        </is>
      </c>
      <c r="E716" s="6" t="inlineStr">
        <is>
          <t>Harbour Market</t>
        </is>
      </c>
      <c r="F716" s="6" t="inlineStr">
        <is>
          <t>Fruit &amp; Vegetables</t>
        </is>
      </c>
      <c r="G716" s="6" t="inlineStr">
        <is>
          <t>Vegetables</t>
        </is>
      </c>
      <c r="H716" s="6" t="inlineStr">
        <is>
          <t>yes</t>
        </is>
      </c>
      <c r="I716" s="6" t="inlineStr">
        <is>
          <t>Plant-based non-core</t>
        </is>
      </c>
      <c r="J716" s="6" t="inlineStr">
        <is>
          <t>B</t>
        </is>
      </c>
      <c r="K716" s="6" t="inlineStr">
        <is>
          <t>Follows the class</t>
        </is>
      </c>
      <c r="L716" s="6" t="n">
        <v>0.86</v>
      </c>
      <c r="M716" s="6" t="inlineStr">
        <is>
          <t>Declared by the retailer</t>
        </is>
      </c>
      <c r="N716" s="6" t="n">
        <v>0.86</v>
      </c>
      <c r="O716" s="6" t="n">
        <v>0</v>
      </c>
      <c r="P716" s="6" t="inlineStr">
        <is>
          <t>yes</t>
        </is>
      </c>
      <c r="Q716" s="6" t="inlineStr">
        <is>
          <t>whole</t>
        </is>
      </c>
      <c r="R716" s="6" t="inlineStr">
        <is>
          <t>FG4</t>
        </is>
      </c>
      <c r="S716" s="6" t="n"/>
      <c r="T716" s="6" t="inlineStr">
        <is>
          <t>plant</t>
        </is>
      </c>
      <c r="U716" s="6" t="n"/>
      <c r="V716" s="6" t="n"/>
      <c r="W716" s="6" t="n">
        <v>1</v>
      </c>
      <c r="X716" s="6" t="n">
        <v>1</v>
      </c>
      <c r="Y716" s="6" t="inlineStr">
        <is>
          <t>variable</t>
        </is>
      </c>
      <c r="Z716" s="8" t="n">
        <v>26341</v>
      </c>
      <c r="AA716" s="9">
        <f>IF(H716="yes",Z716*X716,0)</f>
        <v/>
      </c>
      <c r="AB716" s="9">
        <f>IF(H716="yes",AA716*N(L716)/100,0)</f>
        <v/>
      </c>
      <c r="AC716" s="9">
        <f>IF(H716="yes",AA716*N(N716)/100,0)</f>
        <v/>
      </c>
      <c r="AD716" s="9">
        <f>IF(H716="yes",AA716*N(O716)/100,0)</f>
        <v/>
      </c>
      <c r="AE716" s="10">
        <f>IF(P716="yes",AA716/1000,0)</f>
        <v/>
      </c>
      <c r="AF716" s="10">
        <f>IF(R716="FG2",AE716*W716,AE716)</f>
        <v/>
      </c>
    </row>
    <row r="717">
      <c r="A717" s="6" t="inlineStr">
        <is>
          <t>HM00715</t>
        </is>
      </c>
      <c r="B717" s="7" t="inlineStr">
        <is>
          <t>4012345145069</t>
        </is>
      </c>
      <c r="C717" s="6" t="inlineStr">
        <is>
          <t>HM CHOC ICE CREAM 1.8L</t>
        </is>
      </c>
      <c r="D717" s="6" t="inlineStr">
        <is>
          <t>Chocolate ice cream, 1.8l</t>
        </is>
      </c>
      <c r="E717" s="6" t="inlineStr">
        <is>
          <t>Harbour Market</t>
        </is>
      </c>
      <c r="F717" s="6" t="inlineStr">
        <is>
          <t>Frozen</t>
        </is>
      </c>
      <c r="G717" s="6" t="inlineStr">
        <is>
          <t>Ice Cream</t>
        </is>
      </c>
      <c r="H717" s="6" t="inlineStr">
        <is>
          <t>yes</t>
        </is>
      </c>
      <c r="I717" s="6" t="inlineStr">
        <is>
          <t>Animal core</t>
        </is>
      </c>
      <c r="J717" s="6" t="inlineStr">
        <is>
          <t>B</t>
        </is>
      </c>
      <c r="K717" s="6" t="inlineStr">
        <is>
          <t>First ingredient (step 4a)</t>
        </is>
      </c>
      <c r="L717" s="6" t="n">
        <v>3.6</v>
      </c>
      <c r="M717" s="6" t="inlineStr">
        <is>
          <t>Declared by the retailer</t>
        </is>
      </c>
      <c r="N717" s="6" t="n">
        <v>0</v>
      </c>
      <c r="O717" s="6" t="n">
        <v>3.6</v>
      </c>
      <c r="P717" s="6" t="inlineStr">
        <is>
          <t>yes</t>
        </is>
      </c>
      <c r="Q717" s="6" t="inlineStr">
        <is>
          <t>whole</t>
        </is>
      </c>
      <c r="R717" s="6" t="inlineStr">
        <is>
          <t>FG7</t>
        </is>
      </c>
      <c r="S717" s="6" t="n"/>
      <c r="T717" s="6" t="inlineStr">
        <is>
          <t>animal</t>
        </is>
      </c>
      <c r="U717" s="6" t="n"/>
      <c r="V717" s="6" t="n"/>
      <c r="W717" s="6" t="n">
        <v>1</v>
      </c>
      <c r="X717" s="6" t="n">
        <v>1</v>
      </c>
      <c r="Y717" s="6" t="inlineStr">
        <is>
          <t>declared</t>
        </is>
      </c>
      <c r="Z717" s="8" t="n">
        <v>20555</v>
      </c>
      <c r="AA717" s="9">
        <f>IF(H717="yes",Z717*X717,0)</f>
        <v/>
      </c>
      <c r="AB717" s="9">
        <f>IF(H717="yes",AA717*N(L717)/100,0)</f>
        <v/>
      </c>
      <c r="AC717" s="9">
        <f>IF(H717="yes",AA717*N(N717)/100,0)</f>
        <v/>
      </c>
      <c r="AD717" s="9">
        <f>IF(H717="yes",AA717*N(O717)/100,0)</f>
        <v/>
      </c>
      <c r="AE717" s="10">
        <f>IF(P717="yes",AA717/1000,0)</f>
        <v/>
      </c>
      <c r="AF717" s="10">
        <f>IF(R717="FG2",AE717*W717,AE717)</f>
        <v/>
      </c>
    </row>
    <row r="718">
      <c r="A718" s="6" t="inlineStr">
        <is>
          <t>HM00716</t>
        </is>
      </c>
      <c r="B718" s="7" t="inlineStr">
        <is>
          <t>4012345710861</t>
        </is>
      </c>
      <c r="C718" s="6" t="inlineStr">
        <is>
          <t>KING PRAWNS COOKED 150G KESTREL</t>
        </is>
      </c>
      <c r="D718" s="6" t="inlineStr">
        <is>
          <t>Cooked king prawns, 150g</t>
        </is>
      </c>
      <c r="E718" s="6" t="inlineStr">
        <is>
          <t>Kestrel Bay</t>
        </is>
      </c>
      <c r="F718" s="6" t="inlineStr">
        <is>
          <t>Fish &amp; Seafood</t>
        </is>
      </c>
      <c r="G718" s="6" t="inlineStr">
        <is>
          <t>Shellfish</t>
        </is>
      </c>
      <c r="H718" s="6" t="inlineStr">
        <is>
          <t>yes</t>
        </is>
      </c>
      <c r="I718" s="6" t="inlineStr">
        <is>
          <t>Animal core</t>
        </is>
      </c>
      <c r="J718" s="6" t="inlineStr">
        <is>
          <t>B</t>
        </is>
      </c>
      <c r="K718" s="6" t="inlineStr">
        <is>
          <t>Follows the class</t>
        </is>
      </c>
      <c r="L718" s="6" t="n">
        <v>17.4</v>
      </c>
      <c r="M718" s="6" t="inlineStr">
        <is>
          <t>Declared by the retailer</t>
        </is>
      </c>
      <c r="N718" s="6" t="n">
        <v>0</v>
      </c>
      <c r="O718" s="6" t="n">
        <v>17.4</v>
      </c>
      <c r="P718" s="6" t="inlineStr">
        <is>
          <t>yes</t>
        </is>
      </c>
      <c r="Q718" s="6" t="inlineStr">
        <is>
          <t>whole</t>
        </is>
      </c>
      <c r="R718" s="6" t="inlineStr">
        <is>
          <t>FG1</t>
        </is>
      </c>
      <c r="S718" s="6" t="inlineStr">
        <is>
          <t>fish shellfish</t>
        </is>
      </c>
      <c r="T718" s="6" t="inlineStr">
        <is>
          <t>animal</t>
        </is>
      </c>
      <c r="U718" s="6" t="n"/>
      <c r="V718" s="6" t="n"/>
      <c r="W718" s="6" t="n">
        <v>1</v>
      </c>
      <c r="X718" s="6" t="n">
        <v>0.15</v>
      </c>
      <c r="Y718" s="6" t="inlineStr">
        <is>
          <t>declared</t>
        </is>
      </c>
      <c r="Z718" s="8" t="n">
        <v>86483</v>
      </c>
      <c r="AA718" s="9">
        <f>IF(H718="yes",Z718*X718,0)</f>
        <v/>
      </c>
      <c r="AB718" s="9">
        <f>IF(H718="yes",AA718*N(L718)/100,0)</f>
        <v/>
      </c>
      <c r="AC718" s="9">
        <f>IF(H718="yes",AA718*N(N718)/100,0)</f>
        <v/>
      </c>
      <c r="AD718" s="9">
        <f>IF(H718="yes",AA718*N(O718)/100,0)</f>
        <v/>
      </c>
      <c r="AE718" s="10">
        <f>IF(P718="yes",AA718/1000,0)</f>
        <v/>
      </c>
      <c r="AF718" s="10">
        <f>IF(R718="FG2",AE718*W718,AE718)</f>
        <v/>
      </c>
    </row>
    <row r="719">
      <c r="A719" s="6" t="inlineStr">
        <is>
          <t>HM00717</t>
        </is>
      </c>
      <c r="B719" s="7" t="inlineStr">
        <is>
          <t>5012345359694</t>
        </is>
      </c>
      <c r="C719" s="6" t="inlineStr">
        <is>
          <t>HM SCAMPI 20PK 560G</t>
        </is>
      </c>
      <c r="D719" s="6" t="inlineStr">
        <is>
          <t>Breaded scampi, 20pk 560g</t>
        </is>
      </c>
      <c r="E719" s="6" t="inlineStr">
        <is>
          <t>Harbour Market</t>
        </is>
      </c>
      <c r="F719" s="6" t="inlineStr">
        <is>
          <t>Frozen</t>
        </is>
      </c>
      <c r="G719" s="6" t="inlineStr">
        <is>
          <t>Frozen Fish</t>
        </is>
      </c>
      <c r="H719" s="6" t="inlineStr">
        <is>
          <t>yes</t>
        </is>
      </c>
      <c r="I719" s="6" t="inlineStr">
        <is>
          <t>Animal core</t>
        </is>
      </c>
      <c r="J719" s="6" t="inlineStr">
        <is>
          <t>B</t>
        </is>
      </c>
      <c r="K719" s="6" t="inlineStr">
        <is>
          <t>First ingredient (step 4a)</t>
        </is>
      </c>
      <c r="L719" s="6" t="n">
        <v>9.5</v>
      </c>
      <c r="M719" s="6" t="inlineStr">
        <is>
          <t>Altera reference base</t>
        </is>
      </c>
      <c r="N719" s="6" t="n">
        <v>0</v>
      </c>
      <c r="O719" s="6" t="n">
        <v>9.5</v>
      </c>
      <c r="P719" s="6" t="inlineStr">
        <is>
          <t>yes</t>
        </is>
      </c>
      <c r="Q719" s="6" t="inlineStr">
        <is>
          <t>whole</t>
        </is>
      </c>
      <c r="R719" s="6" t="inlineStr">
        <is>
          <t>FG1</t>
        </is>
      </c>
      <c r="S719" s="6" t="inlineStr">
        <is>
          <t>fish shellfish</t>
        </is>
      </c>
      <c r="T719" s="6" t="inlineStr">
        <is>
          <t>animal</t>
        </is>
      </c>
      <c r="U719" s="6" t="n"/>
      <c r="V719" s="6" t="n"/>
      <c r="W719" s="6" t="n">
        <v>1</v>
      </c>
      <c r="X719" s="6" t="n">
        <v>0.5600000000000001</v>
      </c>
      <c r="Y719" s="6" t="inlineStr">
        <is>
          <t>declared</t>
        </is>
      </c>
      <c r="Z719" s="8" t="n">
        <v>75889</v>
      </c>
      <c r="AA719" s="9">
        <f>IF(H719="yes",Z719*X719,0)</f>
        <v/>
      </c>
      <c r="AB719" s="9">
        <f>IF(H719="yes",AA719*N(L719)/100,0)</f>
        <v/>
      </c>
      <c r="AC719" s="9">
        <f>IF(H719="yes",AA719*N(N719)/100,0)</f>
        <v/>
      </c>
      <c r="AD719" s="9">
        <f>IF(H719="yes",AA719*N(O719)/100,0)</f>
        <v/>
      </c>
      <c r="AE719" s="10">
        <f>IF(P719="yes",AA719/1000,0)</f>
        <v/>
      </c>
      <c r="AF719" s="10">
        <f>IF(R719="FG2",AE719*W719,AE719)</f>
        <v/>
      </c>
    </row>
    <row r="720">
      <c r="A720" s="6" t="inlineStr">
        <is>
          <t>HM00718</t>
        </is>
      </c>
      <c r="B720" s="7" t="inlineStr">
        <is>
          <t>4012345906660</t>
        </is>
      </c>
      <c r="C720" s="6" t="inlineStr">
        <is>
          <t>HM MIXED NUTS 200G</t>
        </is>
      </c>
      <c r="D720" s="6" t="inlineStr">
        <is>
          <t>Mixed nuts, 200g</t>
        </is>
      </c>
      <c r="E720" s="6" t="inlineStr">
        <is>
          <t>Harbour Market</t>
        </is>
      </c>
      <c r="F720" s="6" t="inlineStr">
        <is>
          <t>Grocery</t>
        </is>
      </c>
      <c r="G720" s="6" t="inlineStr">
        <is>
          <t>Nuts &amp; Seeds</t>
        </is>
      </c>
      <c r="H720" s="6" t="inlineStr">
        <is>
          <t>yes</t>
        </is>
      </c>
      <c r="I720" s="6" t="inlineStr">
        <is>
          <t>Plant-based core</t>
        </is>
      </c>
      <c r="J720" s="6" t="inlineStr">
        <is>
          <t>B</t>
        </is>
      </c>
      <c r="K720" s="6" t="inlineStr">
        <is>
          <t>Follows the class</t>
        </is>
      </c>
      <c r="L720" s="6" t="n">
        <v>20</v>
      </c>
      <c r="M720" s="6" t="inlineStr">
        <is>
          <t>Declared by the retailer</t>
        </is>
      </c>
      <c r="N720" s="6" t="n">
        <v>20</v>
      </c>
      <c r="O720" s="6" t="n">
        <v>0</v>
      </c>
      <c r="P720" s="6" t="inlineStr">
        <is>
          <t>yes</t>
        </is>
      </c>
      <c r="Q720" s="6" t="inlineStr">
        <is>
          <t>whole</t>
        </is>
      </c>
      <c r="R720" s="6" t="inlineStr">
        <is>
          <t>FG1</t>
        </is>
      </c>
      <c r="S720" s="6" t="inlineStr">
        <is>
          <t>nuts</t>
        </is>
      </c>
      <c r="T720" s="6" t="inlineStr">
        <is>
          <t>plant</t>
        </is>
      </c>
      <c r="U720" s="6" t="n"/>
      <c r="V720" s="6" t="n"/>
      <c r="W720" s="6" t="n">
        <v>1</v>
      </c>
      <c r="X720" s="6" t="n">
        <v>0.2</v>
      </c>
      <c r="Y720" s="6" t="inlineStr">
        <is>
          <t>declared</t>
        </is>
      </c>
      <c r="Z720" s="8" t="n">
        <v>21111</v>
      </c>
      <c r="AA720" s="9">
        <f>IF(H720="yes",Z720*X720,0)</f>
        <v/>
      </c>
      <c r="AB720" s="9">
        <f>IF(H720="yes",AA720*N(L720)/100,0)</f>
        <v/>
      </c>
      <c r="AC720" s="9">
        <f>IF(H720="yes",AA720*N(N720)/100,0)</f>
        <v/>
      </c>
      <c r="AD720" s="9">
        <f>IF(H720="yes",AA720*N(O720)/100,0)</f>
        <v/>
      </c>
      <c r="AE720" s="10">
        <f>IF(P720="yes",AA720/1000,0)</f>
        <v/>
      </c>
      <c r="AF720" s="10">
        <f>IF(R720="FG2",AE720*W720,AE720)</f>
        <v/>
      </c>
    </row>
    <row r="721">
      <c r="A721" s="6" t="inlineStr">
        <is>
          <t>HM00719</t>
        </is>
      </c>
      <c r="B721" s="7" t="inlineStr">
        <is>
          <t>4012345565560</t>
        </is>
      </c>
      <c r="C721" s="6" t="inlineStr">
        <is>
          <t>ALMOND DRINK 6X1L SOLVANE</t>
        </is>
      </c>
      <c r="D721" s="6" t="inlineStr">
        <is>
          <t>Almond drink, 6x1l</t>
        </is>
      </c>
      <c r="E721" s="6" t="inlineStr">
        <is>
          <t>Solvane</t>
        </is>
      </c>
      <c r="F721" s="6" t="inlineStr">
        <is>
          <t>Plant-Based</t>
        </is>
      </c>
      <c r="G721" s="6" t="inlineStr">
        <is>
          <t>Plant Drinks</t>
        </is>
      </c>
      <c r="H721" s="6" t="inlineStr">
        <is>
          <t>yes</t>
        </is>
      </c>
      <c r="I721" s="6" t="inlineStr">
        <is>
          <t>Plant-based core</t>
        </is>
      </c>
      <c r="J721" s="6" t="inlineStr">
        <is>
          <t>A</t>
        </is>
      </c>
      <c r="K721" s="6" t="inlineStr">
        <is>
          <t>All ingredients on one side</t>
        </is>
      </c>
      <c r="L721" s="6" t="n">
        <v>0.48</v>
      </c>
      <c r="M721" s="6" t="inlineStr">
        <is>
          <t>Declared by the retailer</t>
        </is>
      </c>
      <c r="N721" s="6" t="n">
        <v>0.48</v>
      </c>
      <c r="O721" s="6" t="n">
        <v>0</v>
      </c>
      <c r="P721" s="6" t="inlineStr">
        <is>
          <t>yes</t>
        </is>
      </c>
      <c r="Q721" s="6" t="inlineStr">
        <is>
          <t>whole</t>
        </is>
      </c>
      <c r="R721" s="6" t="inlineStr">
        <is>
          <t>FG2</t>
        </is>
      </c>
      <c r="S721" s="6" t="inlineStr">
        <is>
          <t>dairy alternatives</t>
        </is>
      </c>
      <c r="T721" s="6" t="inlineStr">
        <is>
          <t>plant</t>
        </is>
      </c>
      <c r="U721" s="6" t="n"/>
      <c r="V721" s="6" t="n"/>
      <c r="W721" s="6" t="n">
        <v>1</v>
      </c>
      <c r="X721" s="6" t="n">
        <v>6.18</v>
      </c>
      <c r="Y721" s="6" t="inlineStr">
        <is>
          <t>declared</t>
        </is>
      </c>
      <c r="Z721" s="8" t="n">
        <v>5977</v>
      </c>
      <c r="AA721" s="9">
        <f>IF(H721="yes",Z721*X721,0)</f>
        <v/>
      </c>
      <c r="AB721" s="9">
        <f>IF(H721="yes",AA721*N(L721)/100,0)</f>
        <v/>
      </c>
      <c r="AC721" s="9">
        <f>IF(H721="yes",AA721*N(N721)/100,0)</f>
        <v/>
      </c>
      <c r="AD721" s="9">
        <f>IF(H721="yes",AA721*N(O721)/100,0)</f>
        <v/>
      </c>
      <c r="AE721" s="10">
        <f>IF(P721="yes",AA721/1000,0)</f>
        <v/>
      </c>
      <c r="AF721" s="10">
        <f>IF(R721="FG2",AE721*W721,AE721)</f>
        <v/>
      </c>
    </row>
    <row r="722">
      <c r="A722" s="6" t="inlineStr">
        <is>
          <t>HM00720</t>
        </is>
      </c>
      <c r="B722" s="7" t="inlineStr">
        <is>
          <t>8712345292164</t>
        </is>
      </c>
      <c r="C722" s="6" t="inlineStr">
        <is>
          <t>SKMD MILK 4PT 2.27L FJELDA</t>
        </is>
      </c>
      <c r="D722" s="6" t="inlineStr">
        <is>
          <t>Skimmed milk, 4pt 2.27l</t>
        </is>
      </c>
      <c r="E722" s="6" t="inlineStr">
        <is>
          <t>Fjelda</t>
        </is>
      </c>
      <c r="F722" s="6" t="inlineStr">
        <is>
          <t>Dairy &amp; Eggs</t>
        </is>
      </c>
      <c r="G722" s="6" t="inlineStr">
        <is>
          <t>Milk</t>
        </is>
      </c>
      <c r="H722" s="6" t="inlineStr">
        <is>
          <t>yes</t>
        </is>
      </c>
      <c r="I722" s="6" t="inlineStr">
        <is>
          <t>Animal core</t>
        </is>
      </c>
      <c r="J722" s="6" t="inlineStr">
        <is>
          <t>A</t>
        </is>
      </c>
      <c r="K722" s="6" t="inlineStr">
        <is>
          <t>All ingredients on one side</t>
        </is>
      </c>
      <c r="L722" s="6" t="n">
        <v>3.5</v>
      </c>
      <c r="M722" s="6" t="inlineStr">
        <is>
          <t>Declared by the retailer</t>
        </is>
      </c>
      <c r="N722" s="6" t="n">
        <v>0</v>
      </c>
      <c r="O722" s="6" t="n">
        <v>3.5</v>
      </c>
      <c r="P722" s="6" t="inlineStr">
        <is>
          <t>yes</t>
        </is>
      </c>
      <c r="Q722" s="6" t="inlineStr">
        <is>
          <t>whole</t>
        </is>
      </c>
      <c r="R722" s="6" t="inlineStr">
        <is>
          <t>FG2</t>
        </is>
      </c>
      <c r="S722" s="6" t="inlineStr">
        <is>
          <t>dairy</t>
        </is>
      </c>
      <c r="T722" s="6" t="inlineStr">
        <is>
          <t>animal</t>
        </is>
      </c>
      <c r="U722" s="6" t="n"/>
      <c r="V722" s="6" t="n"/>
      <c r="W722" s="6" t="n">
        <v>1</v>
      </c>
      <c r="X722" s="6" t="n">
        <v>2.34</v>
      </c>
      <c r="Y722" s="6" t="inlineStr">
        <is>
          <t>declared</t>
        </is>
      </c>
      <c r="Z722" s="8" t="n">
        <v>25955</v>
      </c>
      <c r="AA722" s="9">
        <f>IF(H722="yes",Z722*X722,0)</f>
        <v/>
      </c>
      <c r="AB722" s="9">
        <f>IF(H722="yes",AA722*N(L722)/100,0)</f>
        <v/>
      </c>
      <c r="AC722" s="9">
        <f>IF(H722="yes",AA722*N(N722)/100,0)</f>
        <v/>
      </c>
      <c r="AD722" s="9">
        <f>IF(H722="yes",AA722*N(O722)/100,0)</f>
        <v/>
      </c>
      <c r="AE722" s="10">
        <f>IF(P722="yes",AA722/1000,0)</f>
        <v/>
      </c>
      <c r="AF722" s="10">
        <f>IF(R722="FG2",AE722*W722,AE722)</f>
        <v/>
      </c>
    </row>
    <row r="723">
      <c r="A723" s="6" t="inlineStr">
        <is>
          <t>HM00721</t>
        </is>
      </c>
      <c r="B723" s="7" t="inlineStr">
        <is>
          <t>3012345555968</t>
        </is>
      </c>
      <c r="C723" s="6" t="inlineStr">
        <is>
          <t>HM COOKED MUSSELS 400G</t>
        </is>
      </c>
      <c r="D723" s="6" t="inlineStr">
        <is>
          <t>Cooked mussels, 400g</t>
        </is>
      </c>
      <c r="E723" s="6" t="inlineStr">
        <is>
          <t>Harbour Market</t>
        </is>
      </c>
      <c r="F723" s="6" t="inlineStr">
        <is>
          <t>Fish &amp; Seafood</t>
        </is>
      </c>
      <c r="G723" s="6" t="inlineStr">
        <is>
          <t>Shellfish</t>
        </is>
      </c>
      <c r="H723" s="6" t="inlineStr">
        <is>
          <t>yes</t>
        </is>
      </c>
      <c r="I723" s="6" t="inlineStr">
        <is>
          <t>Animal core</t>
        </is>
      </c>
      <c r="J723" s="6" t="inlineStr">
        <is>
          <t>B</t>
        </is>
      </c>
      <c r="K723" s="6" t="inlineStr">
        <is>
          <t>Follows the class</t>
        </is>
      </c>
      <c r="L723" s="6" t="n">
        <v>11.9</v>
      </c>
      <c r="M723" s="6" t="inlineStr">
        <is>
          <t>Declared by the retailer</t>
        </is>
      </c>
      <c r="N723" s="6" t="n">
        <v>0</v>
      </c>
      <c r="O723" s="6" t="n">
        <v>11.9</v>
      </c>
      <c r="P723" s="6" t="inlineStr">
        <is>
          <t>yes</t>
        </is>
      </c>
      <c r="Q723" s="6" t="inlineStr">
        <is>
          <t>whole</t>
        </is>
      </c>
      <c r="R723" s="6" t="inlineStr">
        <is>
          <t>FG1</t>
        </is>
      </c>
      <c r="S723" s="6" t="inlineStr">
        <is>
          <t>fish shellfish</t>
        </is>
      </c>
      <c r="T723" s="6" t="inlineStr">
        <is>
          <t>animal</t>
        </is>
      </c>
      <c r="U723" s="6" t="n"/>
      <c r="V723" s="6" t="n"/>
      <c r="W723" s="6" t="n">
        <v>1</v>
      </c>
      <c r="X723" s="6" t="n">
        <v>0.4</v>
      </c>
      <c r="Y723" s="6" t="inlineStr">
        <is>
          <t>label</t>
        </is>
      </c>
      <c r="Z723" s="8" t="n">
        <v>24411</v>
      </c>
      <c r="AA723" s="9">
        <f>IF(H723="yes",Z723*X723,0)</f>
        <v/>
      </c>
      <c r="AB723" s="9">
        <f>IF(H723="yes",AA723*N(L723)/100,0)</f>
        <v/>
      </c>
      <c r="AC723" s="9">
        <f>IF(H723="yes",AA723*N(N723)/100,0)</f>
        <v/>
      </c>
      <c r="AD723" s="9">
        <f>IF(H723="yes",AA723*N(O723)/100,0)</f>
        <v/>
      </c>
      <c r="AE723" s="10">
        <f>IF(P723="yes",AA723/1000,0)</f>
        <v/>
      </c>
      <c r="AF723" s="10">
        <f>IF(R723="FG2",AE723*W723,AE723)</f>
        <v/>
      </c>
    </row>
    <row r="724">
      <c r="A724" s="6" t="inlineStr">
        <is>
          <t>HM00722</t>
        </is>
      </c>
      <c r="B724" s="7" t="inlineStr">
        <is>
          <t>5012345718514</t>
        </is>
      </c>
      <c r="C724" s="6" t="inlineStr">
        <is>
          <t>FJELDA STRAWB YOG 4X125G</t>
        </is>
      </c>
      <c r="D724" s="6" t="inlineStr">
        <is>
          <t>Strawberry yoghurt, 4x125g</t>
        </is>
      </c>
      <c r="E724" s="6" t="inlineStr">
        <is>
          <t>Fjelda</t>
        </is>
      </c>
      <c r="F724" s="6" t="inlineStr">
        <is>
          <t>Dairy &amp; Eggs</t>
        </is>
      </c>
      <c r="G724" s="6" t="inlineStr">
        <is>
          <t>Yoghurt</t>
        </is>
      </c>
      <c r="H724" s="6" t="inlineStr">
        <is>
          <t>yes</t>
        </is>
      </c>
      <c r="I724" s="6" t="inlineStr">
        <is>
          <t>Animal core</t>
        </is>
      </c>
      <c r="J724" s="6" t="inlineStr">
        <is>
          <t>B</t>
        </is>
      </c>
      <c r="K724" s="6" t="inlineStr">
        <is>
          <t>First ingredient (step 4a)</t>
        </is>
      </c>
      <c r="L724" s="6" t="n">
        <v>3.4</v>
      </c>
      <c r="M724" s="6" t="inlineStr">
        <is>
          <t>Declared by the retailer</t>
        </is>
      </c>
      <c r="N724" s="6" t="n">
        <v>0</v>
      </c>
      <c r="O724" s="6" t="n">
        <v>3.4</v>
      </c>
      <c r="P724" s="6" t="inlineStr">
        <is>
          <t>yes</t>
        </is>
      </c>
      <c r="Q724" s="6" t="inlineStr">
        <is>
          <t>whole</t>
        </is>
      </c>
      <c r="R724" s="6" t="inlineStr">
        <is>
          <t>FG2</t>
        </is>
      </c>
      <c r="S724" s="6" t="inlineStr">
        <is>
          <t>dairy</t>
        </is>
      </c>
      <c r="T724" s="6" t="inlineStr">
        <is>
          <t>animal</t>
        </is>
      </c>
      <c r="U724" s="6" t="n"/>
      <c r="V724" s="6" t="n"/>
      <c r="W724" s="6" t="n">
        <v>1</v>
      </c>
      <c r="X724" s="6" t="n">
        <v>0.5</v>
      </c>
      <c r="Y724" s="6" t="inlineStr">
        <is>
          <t>declared</t>
        </is>
      </c>
      <c r="Z724" s="8" t="n">
        <v>31558</v>
      </c>
      <c r="AA724" s="9">
        <f>IF(H724="yes",Z724*X724,0)</f>
        <v/>
      </c>
      <c r="AB724" s="9">
        <f>IF(H724="yes",AA724*N(L724)/100,0)</f>
        <v/>
      </c>
      <c r="AC724" s="9">
        <f>IF(H724="yes",AA724*N(N724)/100,0)</f>
        <v/>
      </c>
      <c r="AD724" s="9">
        <f>IF(H724="yes",AA724*N(O724)/100,0)</f>
        <v/>
      </c>
      <c r="AE724" s="10">
        <f>IF(P724="yes",AA724/1000,0)</f>
        <v/>
      </c>
      <c r="AF724" s="10">
        <f>IF(R724="FG2",AE724*W724,AE724)</f>
        <v/>
      </c>
    </row>
    <row r="725">
      <c r="A725" s="6" t="inlineStr">
        <is>
          <t>HM00723</t>
        </is>
      </c>
      <c r="B725" s="7" t="inlineStr">
        <is>
          <t>5012345899916</t>
        </is>
      </c>
      <c r="C725" s="6" t="inlineStr">
        <is>
          <t>CASTELNA RAPESEED OIL 3L</t>
        </is>
      </c>
      <c r="D725" s="6" t="inlineStr">
        <is>
          <t>Rapeseed oil, 3l</t>
        </is>
      </c>
      <c r="E725" s="6" t="inlineStr">
        <is>
          <t>Castelna</t>
        </is>
      </c>
      <c r="F725" s="6" t="inlineStr">
        <is>
          <t>Grocery</t>
        </is>
      </c>
      <c r="G725" s="6" t="inlineStr">
        <is>
          <t>Oils</t>
        </is>
      </c>
      <c r="H725" s="6" t="inlineStr">
        <is>
          <t>yes</t>
        </is>
      </c>
      <c r="I725" s="6" t="inlineStr">
        <is>
          <t>Plant-based non-core</t>
        </is>
      </c>
      <c r="J725" s="6" t="inlineStr">
        <is>
          <t>A</t>
        </is>
      </c>
      <c r="K725" s="6" t="inlineStr">
        <is>
          <t>All ingredients on one side</t>
        </is>
      </c>
      <c r="L725" s="6" t="n">
        <v>0</v>
      </c>
      <c r="M725" s="6" t="inlineStr">
        <is>
          <t>Declared by the retailer</t>
        </is>
      </c>
      <c r="N725" s="6" t="n">
        <v>0</v>
      </c>
      <c r="O725" s="6" t="n">
        <v>0</v>
      </c>
      <c r="P725" s="6" t="inlineStr">
        <is>
          <t>yes</t>
        </is>
      </c>
      <c r="Q725" s="6" t="inlineStr">
        <is>
          <t>whole</t>
        </is>
      </c>
      <c r="R725" s="6" t="inlineStr">
        <is>
          <t>FG3</t>
        </is>
      </c>
      <c r="S725" s="6" t="inlineStr">
        <is>
          <t>plant fat</t>
        </is>
      </c>
      <c r="T725" s="6" t="inlineStr">
        <is>
          <t>plant</t>
        </is>
      </c>
      <c r="U725" s="6" t="n"/>
      <c r="V725" s="6" t="n"/>
      <c r="W725" s="6" t="n">
        <v>1</v>
      </c>
      <c r="X725" s="6" t="n">
        <v>2.76</v>
      </c>
      <c r="Y725" s="6" t="inlineStr">
        <is>
          <t>declared</t>
        </is>
      </c>
      <c r="Z725" s="8" t="n">
        <v>10178</v>
      </c>
      <c r="AA725" s="9">
        <f>IF(H725="yes",Z725*X725,0)</f>
        <v/>
      </c>
      <c r="AB725" s="9">
        <f>IF(H725="yes",AA725*N(L725)/100,0)</f>
        <v/>
      </c>
      <c r="AC725" s="9">
        <f>IF(H725="yes",AA725*N(N725)/100,0)</f>
        <v/>
      </c>
      <c r="AD725" s="9">
        <f>IF(H725="yes",AA725*N(O725)/100,0)</f>
        <v/>
      </c>
      <c r="AE725" s="10">
        <f>IF(P725="yes",AA725/1000,0)</f>
        <v/>
      </c>
      <c r="AF725" s="10">
        <f>IF(R725="FG2",AE725*W725,AE725)</f>
        <v/>
      </c>
    </row>
    <row r="726">
      <c r="A726" s="6" t="inlineStr">
        <is>
          <t>HM00724</t>
        </is>
      </c>
      <c r="B726" s="7" t="inlineStr">
        <is>
          <t>4012345341256</t>
        </is>
      </c>
      <c r="C726" s="6" t="inlineStr">
        <is>
          <t>HM COURGETTES 300G</t>
        </is>
      </c>
      <c r="D726" s="6" t="inlineStr">
        <is>
          <t>Courgettes, 300g</t>
        </is>
      </c>
      <c r="E726" s="6" t="inlineStr">
        <is>
          <t>Harbour Market</t>
        </is>
      </c>
      <c r="F726" s="6" t="inlineStr">
        <is>
          <t>Fruit &amp; Vegetables</t>
        </is>
      </c>
      <c r="G726" s="6" t="inlineStr">
        <is>
          <t>Vegetables</t>
        </is>
      </c>
      <c r="H726" s="6" t="inlineStr">
        <is>
          <t>yes</t>
        </is>
      </c>
      <c r="I726" s="6" t="inlineStr">
        <is>
          <t>Plant-based non-core</t>
        </is>
      </c>
      <c r="J726" s="6" t="inlineStr">
        <is>
          <t>B</t>
        </is>
      </c>
      <c r="K726" s="6" t="inlineStr">
        <is>
          <t>Follows the class</t>
        </is>
      </c>
      <c r="L726" s="6" t="n">
        <v>1.9</v>
      </c>
      <c r="M726" s="6" t="inlineStr">
        <is>
          <t>Altera reference base</t>
        </is>
      </c>
      <c r="N726" s="6" t="n">
        <v>1.9</v>
      </c>
      <c r="O726" s="6" t="n">
        <v>0</v>
      </c>
      <c r="P726" s="6" t="inlineStr">
        <is>
          <t>yes</t>
        </is>
      </c>
      <c r="Q726" s="6" t="inlineStr">
        <is>
          <t>whole</t>
        </is>
      </c>
      <c r="R726" s="6" t="inlineStr">
        <is>
          <t>FG4</t>
        </is>
      </c>
      <c r="S726" s="6" t="n"/>
      <c r="T726" s="6" t="inlineStr">
        <is>
          <t>plant</t>
        </is>
      </c>
      <c r="U726" s="6" t="n"/>
      <c r="V726" s="6" t="n"/>
      <c r="W726" s="6" t="n">
        <v>1</v>
      </c>
      <c r="X726" s="6" t="n">
        <v>0.3</v>
      </c>
      <c r="Y726" s="6" t="inlineStr">
        <is>
          <t>declared</t>
        </is>
      </c>
      <c r="Z726" s="8" t="n">
        <v>17238</v>
      </c>
      <c r="AA726" s="9">
        <f>IF(H726="yes",Z726*X726,0)</f>
        <v/>
      </c>
      <c r="AB726" s="9">
        <f>IF(H726="yes",AA726*N(L726)/100,0)</f>
        <v/>
      </c>
      <c r="AC726" s="9">
        <f>IF(H726="yes",AA726*N(N726)/100,0)</f>
        <v/>
      </c>
      <c r="AD726" s="9">
        <f>IF(H726="yes",AA726*N(O726)/100,0)</f>
        <v/>
      </c>
      <c r="AE726" s="10">
        <f>IF(P726="yes",AA726/1000,0)</f>
        <v/>
      </c>
      <c r="AF726" s="10">
        <f>IF(R726="FG2",AE726*W726,AE726)</f>
        <v/>
      </c>
    </row>
    <row r="727">
      <c r="A727" s="6" t="inlineStr">
        <is>
          <t>HM00725</t>
        </is>
      </c>
      <c r="B727" s="7" t="inlineStr">
        <is>
          <t>5012345669212</t>
        </is>
      </c>
      <c r="C727" s="6" t="inlineStr">
        <is>
          <t>HM BREADED HADDOCK 4PK 440G</t>
        </is>
      </c>
      <c r="D727" s="6" t="inlineStr">
        <is>
          <t>Breaded haddock fillets, 4pk 440g</t>
        </is>
      </c>
      <c r="E727" s="6" t="inlineStr">
        <is>
          <t>Harbour Market</t>
        </is>
      </c>
      <c r="F727" s="6" t="inlineStr">
        <is>
          <t>Frozen</t>
        </is>
      </c>
      <c r="G727" s="6" t="inlineStr">
        <is>
          <t>Frozen Fish</t>
        </is>
      </c>
      <c r="H727" s="6" t="inlineStr">
        <is>
          <t>yes</t>
        </is>
      </c>
      <c r="I727" s="6" t="inlineStr">
        <is>
          <t>Animal core</t>
        </is>
      </c>
      <c r="J727" s="6" t="inlineStr">
        <is>
          <t>B</t>
        </is>
      </c>
      <c r="K727" s="6" t="inlineStr">
        <is>
          <t>First ingredient (step 4a)</t>
        </is>
      </c>
      <c r="L727" s="6" t="n">
        <v>12.5</v>
      </c>
      <c r="M727" s="6" t="inlineStr">
        <is>
          <t>Altera reference base</t>
        </is>
      </c>
      <c r="N727" s="6" t="n">
        <v>0</v>
      </c>
      <c r="O727" s="6" t="n">
        <v>12.5</v>
      </c>
      <c r="P727" s="6" t="inlineStr">
        <is>
          <t>yes</t>
        </is>
      </c>
      <c r="Q727" s="6" t="inlineStr">
        <is>
          <t>whole</t>
        </is>
      </c>
      <c r="R727" s="6" t="inlineStr">
        <is>
          <t>FG1</t>
        </is>
      </c>
      <c r="S727" s="6" t="inlineStr">
        <is>
          <t>fish shellfish</t>
        </is>
      </c>
      <c r="T727" s="6" t="inlineStr">
        <is>
          <t>animal</t>
        </is>
      </c>
      <c r="U727" s="6" t="n"/>
      <c r="V727" s="6" t="n"/>
      <c r="W727" s="6" t="n">
        <v>1</v>
      </c>
      <c r="X727" s="6" t="n">
        <v>0.44</v>
      </c>
      <c r="Y727" s="6" t="inlineStr">
        <is>
          <t>label</t>
        </is>
      </c>
      <c r="Z727" s="8" t="n">
        <v>10870</v>
      </c>
      <c r="AA727" s="9">
        <f>IF(H727="yes",Z727*X727,0)</f>
        <v/>
      </c>
      <c r="AB727" s="9">
        <f>IF(H727="yes",AA727*N(L727)/100,0)</f>
        <v/>
      </c>
      <c r="AC727" s="9">
        <f>IF(H727="yes",AA727*N(N727)/100,0)</f>
        <v/>
      </c>
      <c r="AD727" s="9">
        <f>IF(H727="yes",AA727*N(O727)/100,0)</f>
        <v/>
      </c>
      <c r="AE727" s="10">
        <f>IF(P727="yes",AA727/1000,0)</f>
        <v/>
      </c>
      <c r="AF727" s="10">
        <f>IF(R727="FG2",AE727*W727,AE727)</f>
        <v/>
      </c>
    </row>
    <row r="728">
      <c r="A728" s="6" t="inlineStr">
        <is>
          <t>HM00726</t>
        </is>
      </c>
      <c r="B728" s="7" t="inlineStr">
        <is>
          <t>8712345899516</t>
        </is>
      </c>
      <c r="C728" s="6" t="inlineStr">
        <is>
          <t>HM SALT VINEGAR CRISPS 6PK 150G</t>
        </is>
      </c>
      <c r="D728" s="6" t="inlineStr">
        <is>
          <t>Salt &amp; vinegar crisps, 6pk 150g</t>
        </is>
      </c>
      <c r="E728" s="6" t="inlineStr">
        <is>
          <t>Harbour Market</t>
        </is>
      </c>
      <c r="F728" s="6" t="inlineStr">
        <is>
          <t>Breakfast &amp; Snacks</t>
        </is>
      </c>
      <c r="G728" s="6" t="inlineStr">
        <is>
          <t>Crisps</t>
        </is>
      </c>
      <c r="H728" s="6" t="inlineStr">
        <is>
          <t>yes</t>
        </is>
      </c>
      <c r="I728" s="6" t="inlineStr">
        <is>
          <t>Plant-based non-core</t>
        </is>
      </c>
      <c r="J728" s="6" t="inlineStr">
        <is>
          <t>A</t>
        </is>
      </c>
      <c r="K728" s="6" t="inlineStr">
        <is>
          <t>All ingredients on one side</t>
        </is>
      </c>
      <c r="L728" s="6" t="n">
        <v>6.1</v>
      </c>
      <c r="M728" s="6" t="inlineStr">
        <is>
          <t>Declared by the retailer</t>
        </is>
      </c>
      <c r="N728" s="6" t="n">
        <v>6.1</v>
      </c>
      <c r="O728" s="6" t="n">
        <v>0</v>
      </c>
      <c r="P728" s="6" t="inlineStr">
        <is>
          <t>yes</t>
        </is>
      </c>
      <c r="Q728" s="6" t="inlineStr">
        <is>
          <t>whole</t>
        </is>
      </c>
      <c r="R728" s="6" t="inlineStr">
        <is>
          <t>FG7</t>
        </is>
      </c>
      <c r="S728" s="6" t="n"/>
      <c r="T728" s="6" t="inlineStr">
        <is>
          <t>plant</t>
        </is>
      </c>
      <c r="U728" s="6" t="n"/>
      <c r="V728" s="6" t="n"/>
      <c r="W728" s="6" t="n">
        <v>1</v>
      </c>
      <c r="X728" s="6" t="n">
        <v>0.15</v>
      </c>
      <c r="Y728" s="6" t="inlineStr">
        <is>
          <t>declared</t>
        </is>
      </c>
      <c r="Z728" s="8" t="n">
        <v>33409</v>
      </c>
      <c r="AA728" s="9">
        <f>IF(H728="yes",Z728*X728,0)</f>
        <v/>
      </c>
      <c r="AB728" s="9">
        <f>IF(H728="yes",AA728*N(L728)/100,0)</f>
        <v/>
      </c>
      <c r="AC728" s="9">
        <f>IF(H728="yes",AA728*N(N728)/100,0)</f>
        <v/>
      </c>
      <c r="AD728" s="9">
        <f>IF(H728="yes",AA728*N(O728)/100,0)</f>
        <v/>
      </c>
      <c r="AE728" s="10">
        <f>IF(P728="yes",AA728/1000,0)</f>
        <v/>
      </c>
      <c r="AF728" s="10">
        <f>IF(R728="FG2",AE728*W728,AE728)</f>
        <v/>
      </c>
    </row>
    <row r="729">
      <c r="A729" s="6" t="inlineStr">
        <is>
          <t>HM00727</t>
        </is>
      </c>
      <c r="B729" s="7" t="inlineStr">
        <is>
          <t>4012345659832</t>
        </is>
      </c>
      <c r="C729" s="6" t="inlineStr">
        <is>
          <t>HM PIZZA 4 CHEESE 2X320G</t>
        </is>
      </c>
      <c r="D729" s="6" t="inlineStr">
        <is>
          <t>Four cheese pizza, 2x320g</t>
        </is>
      </c>
      <c r="E729" s="6" t="inlineStr">
        <is>
          <t>Harbour Market</t>
        </is>
      </c>
      <c r="F729" s="6" t="inlineStr">
        <is>
          <t>Frozen</t>
        </is>
      </c>
      <c r="G729" s="6" t="inlineStr">
        <is>
          <t>Pizza</t>
        </is>
      </c>
      <c r="H729" s="6" t="inlineStr">
        <is>
          <t>yes</t>
        </is>
      </c>
      <c r="I729" s="6" t="inlineStr">
        <is>
          <t>Animal &amp; plant composite</t>
        </is>
      </c>
      <c r="J729" s="6" t="inlineStr">
        <is>
          <t>B</t>
        </is>
      </c>
      <c r="K729" s="6" t="inlineStr">
        <is>
          <t>50/50 convention</t>
        </is>
      </c>
      <c r="L729" s="6" t="n">
        <v>10.1</v>
      </c>
      <c r="M729" s="6" t="inlineStr">
        <is>
          <t>Name match (CIQUAL / NEVO)</t>
        </is>
      </c>
      <c r="N729" s="6" t="n">
        <v>5.05</v>
      </c>
      <c r="O729" s="6" t="n">
        <v>5.05</v>
      </c>
      <c r="P729" s="6" t="inlineStr">
        <is>
          <t>yes</t>
        </is>
      </c>
      <c r="Q729" s="6" t="inlineStr">
        <is>
          <t>composite</t>
        </is>
      </c>
      <c r="R729" s="6" t="n"/>
      <c r="S729" s="6" t="n"/>
      <c r="T729" s="6" t="n"/>
      <c r="U729" s="6" t="inlineStr">
        <is>
          <t>vegetarian</t>
        </is>
      </c>
      <c r="V729" s="6" t="n"/>
      <c r="W729" s="6" t="n">
        <v>1</v>
      </c>
      <c r="X729" s="6" t="n">
        <v>0.64</v>
      </c>
      <c r="Y729" s="6" t="inlineStr">
        <is>
          <t>declared</t>
        </is>
      </c>
      <c r="Z729" s="8" t="n">
        <v>15996</v>
      </c>
      <c r="AA729" s="9">
        <f>IF(H729="yes",Z729*X729,0)</f>
        <v/>
      </c>
      <c r="AB729" s="9">
        <f>IF(H729="yes",AA729*N(L729)/100,0)</f>
        <v/>
      </c>
      <c r="AC729" s="9">
        <f>IF(H729="yes",AA729*N(N729)/100,0)</f>
        <v/>
      </c>
      <c r="AD729" s="9">
        <f>IF(H729="yes",AA729*N(O729)/100,0)</f>
        <v/>
      </c>
      <c r="AE729" s="10">
        <f>IF(P729="yes",AA729/1000,0)</f>
        <v/>
      </c>
      <c r="AF729" s="10">
        <f>IF(R729="FG2",AE729*W729,AE729)</f>
        <v/>
      </c>
    </row>
    <row r="730">
      <c r="A730" s="6" t="inlineStr">
        <is>
          <t>HM00728</t>
        </is>
      </c>
      <c r="B730" s="7" t="inlineStr">
        <is>
          <t>3012345814577</t>
        </is>
      </c>
      <c r="C730" s="6" t="inlineStr">
        <is>
          <t>HM COLA 2L</t>
        </is>
      </c>
      <c r="D730" s="6" t="inlineStr">
        <is>
          <t>Cola, 2l</t>
        </is>
      </c>
      <c r="E730" s="6" t="inlineStr">
        <is>
          <t>Harbour Market</t>
        </is>
      </c>
      <c r="F730" s="6" t="inlineStr">
        <is>
          <t>Soft Drinks &amp; Water</t>
        </is>
      </c>
      <c r="G730" s="6" t="inlineStr">
        <is>
          <t>Soft Drinks</t>
        </is>
      </c>
      <c r="H730" s="6" t="inlineStr">
        <is>
          <t>yes</t>
        </is>
      </c>
      <c r="I730" s="6" t="inlineStr">
        <is>
          <t>Plant-based non-core</t>
        </is>
      </c>
      <c r="J730" s="6" t="inlineStr">
        <is>
          <t>A</t>
        </is>
      </c>
      <c r="K730" s="6" t="inlineStr">
        <is>
          <t>All ingredients on one side</t>
        </is>
      </c>
      <c r="L730" s="6" t="n">
        <v>0</v>
      </c>
      <c r="M730" s="6" t="inlineStr">
        <is>
          <t>Declared by the retailer</t>
        </is>
      </c>
      <c r="N730" s="6" t="n">
        <v>0</v>
      </c>
      <c r="O730" s="6" t="n">
        <v>0</v>
      </c>
      <c r="P730" s="6" t="inlineStr">
        <is>
          <t>no</t>
        </is>
      </c>
      <c r="Q730" s="6" t="n"/>
      <c r="R730" s="6" t="n"/>
      <c r="S730" s="6" t="n"/>
      <c r="T730" s="6" t="n"/>
      <c r="U730" s="6" t="n"/>
      <c r="V730" s="6" t="inlineStr">
        <is>
          <t>beverage</t>
        </is>
      </c>
      <c r="W730" s="6" t="n">
        <v>1</v>
      </c>
      <c r="X730" s="6" t="n">
        <v>2</v>
      </c>
      <c r="Y730" s="6" t="inlineStr">
        <is>
          <t>declared</t>
        </is>
      </c>
      <c r="Z730" s="8" t="n">
        <v>110524</v>
      </c>
      <c r="AA730" s="9">
        <f>IF(H730="yes",Z730*X730,0)</f>
        <v/>
      </c>
      <c r="AB730" s="9">
        <f>IF(H730="yes",AA730*N(L730)/100,0)</f>
        <v/>
      </c>
      <c r="AC730" s="9">
        <f>IF(H730="yes",AA730*N(N730)/100,0)</f>
        <v/>
      </c>
      <c r="AD730" s="9">
        <f>IF(H730="yes",AA730*N(O730)/100,0)</f>
        <v/>
      </c>
      <c r="AE730" s="10">
        <f>IF(P730="yes",AA730/1000,0)</f>
        <v/>
      </c>
      <c r="AF730" s="10">
        <f>IF(R730="FG2",AE730*W730,AE730)</f>
        <v/>
      </c>
    </row>
    <row r="731">
      <c r="A731" s="6" t="inlineStr">
        <is>
          <t>HM00729</t>
        </is>
      </c>
      <c r="B731" s="7" t="inlineStr">
        <is>
          <t>4012345654707</t>
        </is>
      </c>
      <c r="C731" s="6" t="inlineStr">
        <is>
          <t>COLA ZERO 24X330ML NUVELLE</t>
        </is>
      </c>
      <c r="D731" s="6" t="inlineStr">
        <is>
          <t>Cola, no sugar, 24x330ml</t>
        </is>
      </c>
      <c r="E731" s="6" t="inlineStr">
        <is>
          <t>Nuvelle</t>
        </is>
      </c>
      <c r="F731" s="6" t="inlineStr">
        <is>
          <t>Soft Drinks &amp; Water</t>
        </is>
      </c>
      <c r="G731" s="6" t="inlineStr">
        <is>
          <t>Soft Drinks</t>
        </is>
      </c>
      <c r="H731" s="6" t="inlineStr">
        <is>
          <t>yes</t>
        </is>
      </c>
      <c r="I731" s="6" t="inlineStr">
        <is>
          <t>Plant-based non-core</t>
        </is>
      </c>
      <c r="J731" s="6" t="inlineStr">
        <is>
          <t>B</t>
        </is>
      </c>
      <c r="K731" s="6" t="inlineStr">
        <is>
          <t>Follows the class</t>
        </is>
      </c>
      <c r="L731" s="6" t="n">
        <v>0</v>
      </c>
      <c r="M731" s="6" t="inlineStr">
        <is>
          <t>Declared by the retailer</t>
        </is>
      </c>
      <c r="N731" s="6" t="n">
        <v>0</v>
      </c>
      <c r="O731" s="6" t="n">
        <v>0</v>
      </c>
      <c r="P731" s="6" t="inlineStr">
        <is>
          <t>no</t>
        </is>
      </c>
      <c r="Q731" s="6" t="n"/>
      <c r="R731" s="6" t="n"/>
      <c r="S731" s="6" t="n"/>
      <c r="T731" s="6" t="n"/>
      <c r="U731" s="6" t="n"/>
      <c r="V731" s="6" t="inlineStr">
        <is>
          <t>beverage</t>
        </is>
      </c>
      <c r="W731" s="6" t="n">
        <v>1</v>
      </c>
      <c r="X731" s="6" t="n">
        <v>7.92</v>
      </c>
      <c r="Y731" s="6" t="inlineStr">
        <is>
          <t>label</t>
        </is>
      </c>
      <c r="Z731" s="8" t="n">
        <v>16002</v>
      </c>
      <c r="AA731" s="9">
        <f>IF(H731="yes",Z731*X731,0)</f>
        <v/>
      </c>
      <c r="AB731" s="9">
        <f>IF(H731="yes",AA731*N(L731)/100,0)</f>
        <v/>
      </c>
      <c r="AC731" s="9">
        <f>IF(H731="yes",AA731*N(N731)/100,0)</f>
        <v/>
      </c>
      <c r="AD731" s="9">
        <f>IF(H731="yes",AA731*N(O731)/100,0)</f>
        <v/>
      </c>
      <c r="AE731" s="10">
        <f>IF(P731="yes",AA731/1000,0)</f>
        <v/>
      </c>
      <c r="AF731" s="10">
        <f>IF(R731="FG2",AE731*W731,AE731)</f>
        <v/>
      </c>
    </row>
    <row r="732">
      <c r="A732" s="6" t="inlineStr">
        <is>
          <t>HM00730</t>
        </is>
      </c>
      <c r="B732" s="7" t="inlineStr">
        <is>
          <t>5012345403236</t>
        </is>
      </c>
      <c r="C732" s="6" t="inlineStr">
        <is>
          <t>FREE RANGE EGGS 15PK TARROW</t>
        </is>
      </c>
      <c r="D732" s="6" t="inlineStr">
        <is>
          <t>Free-range eggs, 15pk</t>
        </is>
      </c>
      <c r="E732" s="6" t="inlineStr">
        <is>
          <t>Tarrow Farm</t>
        </is>
      </c>
      <c r="F732" s="6" t="inlineStr">
        <is>
          <t>Dairy &amp; Eggs</t>
        </is>
      </c>
      <c r="G732" s="6" t="inlineStr">
        <is>
          <t>Eggs</t>
        </is>
      </c>
      <c r="H732" s="6" t="inlineStr">
        <is>
          <t>yes</t>
        </is>
      </c>
      <c r="I732" s="6" t="inlineStr">
        <is>
          <t>Animal core</t>
        </is>
      </c>
      <c r="J732" s="6" t="inlineStr">
        <is>
          <t>B</t>
        </is>
      </c>
      <c r="K732" s="6" t="inlineStr">
        <is>
          <t>Follows the class</t>
        </is>
      </c>
      <c r="L732" s="6" t="n">
        <v>13.2</v>
      </c>
      <c r="M732" s="6" t="inlineStr">
        <is>
          <t>Declared by the retailer</t>
        </is>
      </c>
      <c r="N732" s="6" t="n">
        <v>0</v>
      </c>
      <c r="O732" s="6" t="n">
        <v>13.2</v>
      </c>
      <c r="P732" s="6" t="inlineStr">
        <is>
          <t>yes</t>
        </is>
      </c>
      <c r="Q732" s="6" t="inlineStr">
        <is>
          <t>whole</t>
        </is>
      </c>
      <c r="R732" s="6" t="inlineStr">
        <is>
          <t>FG1</t>
        </is>
      </c>
      <c r="S732" s="6" t="inlineStr">
        <is>
          <t>eggs</t>
        </is>
      </c>
      <c r="T732" s="6" t="inlineStr">
        <is>
          <t>animal</t>
        </is>
      </c>
      <c r="U732" s="6" t="n"/>
      <c r="V732" s="6" t="n"/>
      <c r="W732" s="6" t="n">
        <v>1</v>
      </c>
      <c r="X732" s="6" t="n">
        <v>0.9</v>
      </c>
      <c r="Y732" s="6" t="inlineStr">
        <is>
          <t>declared</t>
        </is>
      </c>
      <c r="Z732" s="8" t="n">
        <v>94635</v>
      </c>
      <c r="AA732" s="9">
        <f>IF(H732="yes",Z732*X732,0)</f>
        <v/>
      </c>
      <c r="AB732" s="9">
        <f>IF(H732="yes",AA732*N(L732)/100,0)</f>
        <v/>
      </c>
      <c r="AC732" s="9">
        <f>IF(H732="yes",AA732*N(N732)/100,0)</f>
        <v/>
      </c>
      <c r="AD732" s="9">
        <f>IF(H732="yes",AA732*N(O732)/100,0)</f>
        <v/>
      </c>
      <c r="AE732" s="10">
        <f>IF(P732="yes",AA732/1000,0)</f>
        <v/>
      </c>
      <c r="AF732" s="10">
        <f>IF(R732="FG2",AE732*W732,AE732)</f>
        <v/>
      </c>
    </row>
    <row r="733">
      <c r="A733" s="6" t="inlineStr">
        <is>
          <t>HM00731</t>
        </is>
      </c>
      <c r="B733" s="7" t="inlineStr">
        <is>
          <t>4012345674439</t>
        </is>
      </c>
      <c r="C733" s="6" t="inlineStr">
        <is>
          <t>CHOC CHIP COOKIES 200G BRAMBLECOTE</t>
        </is>
      </c>
      <c r="D733" s="6" t="inlineStr">
        <is>
          <t>Chocolate chip cookies, 200g</t>
        </is>
      </c>
      <c r="E733" s="6" t="inlineStr">
        <is>
          <t>Bramblecote</t>
        </is>
      </c>
      <c r="F733" s="6" t="inlineStr">
        <is>
          <t>Breakfast &amp; Snacks</t>
        </is>
      </c>
      <c r="G733" s="6" t="inlineStr">
        <is>
          <t>Biscuits</t>
        </is>
      </c>
      <c r="H733" s="6" t="inlineStr">
        <is>
          <t>yes</t>
        </is>
      </c>
      <c r="I733" s="6" t="inlineStr">
        <is>
          <t>Animal &amp; plant composite</t>
        </is>
      </c>
      <c r="J733" s="6" t="inlineStr">
        <is>
          <t>B</t>
        </is>
      </c>
      <c r="K733" s="6" t="inlineStr">
        <is>
          <t>50/50 convention</t>
        </is>
      </c>
      <c r="L733" s="6" t="n">
        <v>6.6</v>
      </c>
      <c r="M733" s="6" t="inlineStr">
        <is>
          <t>Median of the family</t>
        </is>
      </c>
      <c r="N733" s="6" t="n">
        <v>3.3</v>
      </c>
      <c r="O733" s="6" t="n">
        <v>3.3</v>
      </c>
      <c r="P733" s="6" t="inlineStr">
        <is>
          <t>yes</t>
        </is>
      </c>
      <c r="Q733" s="6" t="inlineStr">
        <is>
          <t>whole</t>
        </is>
      </c>
      <c r="R733" s="6" t="inlineStr">
        <is>
          <t>FG7</t>
        </is>
      </c>
      <c r="S733" s="6" t="n"/>
      <c r="T733" s="6" t="inlineStr">
        <is>
          <t>plant</t>
        </is>
      </c>
      <c r="U733" s="6" t="n"/>
      <c r="V733" s="6" t="n"/>
      <c r="W733" s="6" t="n">
        <v>1</v>
      </c>
      <c r="X733" s="6" t="n">
        <v>0.2</v>
      </c>
      <c r="Y733" s="6" t="inlineStr">
        <is>
          <t>declared</t>
        </is>
      </c>
      <c r="Z733" s="8" t="n">
        <v>11191</v>
      </c>
      <c r="AA733" s="9">
        <f>IF(H733="yes",Z733*X733,0)</f>
        <v/>
      </c>
      <c r="AB733" s="9">
        <f>IF(H733="yes",AA733*N(L733)/100,0)</f>
        <v/>
      </c>
      <c r="AC733" s="9">
        <f>IF(H733="yes",AA733*N(N733)/100,0)</f>
        <v/>
      </c>
      <c r="AD733" s="9">
        <f>IF(H733="yes",AA733*N(O733)/100,0)</f>
        <v/>
      </c>
      <c r="AE733" s="10">
        <f>IF(P733="yes",AA733/1000,0)</f>
        <v/>
      </c>
      <c r="AF733" s="10">
        <f>IF(R733="FG2",AE733*W733,AE733)</f>
        <v/>
      </c>
    </row>
    <row r="734">
      <c r="A734" s="6" t="inlineStr">
        <is>
          <t>HM00732</t>
        </is>
      </c>
      <c r="B734" s="7" t="inlineStr">
        <is>
          <t>3012345892384</t>
        </is>
      </c>
      <c r="C734" s="6" t="inlineStr">
        <is>
          <t>HM CASHEW NUTS 100G</t>
        </is>
      </c>
      <c r="D734" s="6" t="inlineStr">
        <is>
          <t>Cashew nuts, 100g</t>
        </is>
      </c>
      <c r="E734" s="6" t="inlineStr">
        <is>
          <t>Harbour Market</t>
        </is>
      </c>
      <c r="F734" s="6" t="inlineStr">
        <is>
          <t>Grocery</t>
        </is>
      </c>
      <c r="G734" s="6" t="inlineStr">
        <is>
          <t>Nuts &amp; Seeds</t>
        </is>
      </c>
      <c r="H734" s="6" t="inlineStr">
        <is>
          <t>yes</t>
        </is>
      </c>
      <c r="I734" s="6" t="inlineStr">
        <is>
          <t>Plant-based core</t>
        </is>
      </c>
      <c r="J734" s="6" t="inlineStr">
        <is>
          <t>A</t>
        </is>
      </c>
      <c r="K734" s="6" t="inlineStr">
        <is>
          <t>All ingredients on one side</t>
        </is>
      </c>
      <c r="L734" s="6" t="n">
        <v>18.7</v>
      </c>
      <c r="M734" s="6" t="inlineStr">
        <is>
          <t>Open Food Facts, by EAN</t>
        </is>
      </c>
      <c r="N734" s="6" t="n">
        <v>18.7</v>
      </c>
      <c r="O734" s="6" t="n">
        <v>0</v>
      </c>
      <c r="P734" s="6" t="inlineStr">
        <is>
          <t>yes</t>
        </is>
      </c>
      <c r="Q734" s="6" t="inlineStr">
        <is>
          <t>whole</t>
        </is>
      </c>
      <c r="R734" s="6" t="inlineStr">
        <is>
          <t>FG1</t>
        </is>
      </c>
      <c r="S734" s="6" t="inlineStr">
        <is>
          <t>nuts</t>
        </is>
      </c>
      <c r="T734" s="6" t="inlineStr">
        <is>
          <t>plant</t>
        </is>
      </c>
      <c r="U734" s="6" t="n"/>
      <c r="V734" s="6" t="n"/>
      <c r="W734" s="6" t="n">
        <v>1</v>
      </c>
      <c r="X734" s="6" t="n">
        <v>0.1</v>
      </c>
      <c r="Y734" s="6" t="inlineStr">
        <is>
          <t>declared</t>
        </is>
      </c>
      <c r="Z734" s="8" t="n">
        <v>24496</v>
      </c>
      <c r="AA734" s="9">
        <f>IF(H734="yes",Z734*X734,0)</f>
        <v/>
      </c>
      <c r="AB734" s="9">
        <f>IF(H734="yes",AA734*N(L734)/100,0)</f>
        <v/>
      </c>
      <c r="AC734" s="9">
        <f>IF(H734="yes",AA734*N(N734)/100,0)</f>
        <v/>
      </c>
      <c r="AD734" s="9">
        <f>IF(H734="yes",AA734*N(O734)/100,0)</f>
        <v/>
      </c>
      <c r="AE734" s="10">
        <f>IF(P734="yes",AA734/1000,0)</f>
        <v/>
      </c>
      <c r="AF734" s="10">
        <f>IF(R734="FG2",AE734*W734,AE734)</f>
        <v/>
      </c>
    </row>
    <row r="735">
      <c r="A735" s="6" t="inlineStr">
        <is>
          <t>HM00733</t>
        </is>
      </c>
      <c r="B735" s="7" t="inlineStr">
        <is>
          <t>5012345105321</t>
        </is>
      </c>
      <c r="C735" s="6" t="inlineStr">
        <is>
          <t>HM TEMPEH 400G</t>
        </is>
      </c>
      <c r="D735" s="6" t="inlineStr">
        <is>
          <t>Tempeh, 400g</t>
        </is>
      </c>
      <c r="E735" s="6" t="inlineStr">
        <is>
          <t>Harbour Market</t>
        </is>
      </c>
      <c r="F735" s="6" t="inlineStr">
        <is>
          <t>Plant-Based</t>
        </is>
      </c>
      <c r="G735" s="6" t="inlineStr">
        <is>
          <t>Tofu &amp; Tempeh</t>
        </is>
      </c>
      <c r="H735" s="6" t="inlineStr">
        <is>
          <t>yes</t>
        </is>
      </c>
      <c r="I735" s="6" t="inlineStr">
        <is>
          <t>Plant-based core</t>
        </is>
      </c>
      <c r="J735" s="6" t="inlineStr">
        <is>
          <t>A</t>
        </is>
      </c>
      <c r="K735" s="6" t="inlineStr">
        <is>
          <t>All ingredients on one side</t>
        </is>
      </c>
      <c r="L735" s="6" t="n">
        <v>19.6</v>
      </c>
      <c r="M735" s="6" t="inlineStr">
        <is>
          <t>Name match (CIQUAL / NEVO)</t>
        </is>
      </c>
      <c r="N735" s="6" t="n">
        <v>19.6</v>
      </c>
      <c r="O735" s="6" t="n">
        <v>0</v>
      </c>
      <c r="P735" s="6" t="inlineStr">
        <is>
          <t>yes</t>
        </is>
      </c>
      <c r="Q735" s="6" t="inlineStr">
        <is>
          <t>whole</t>
        </is>
      </c>
      <c r="R735" s="6" t="inlineStr">
        <is>
          <t>FG1</t>
        </is>
      </c>
      <c r="S735" s="6" t="inlineStr">
        <is>
          <t>tofu tempeh seitan</t>
        </is>
      </c>
      <c r="T735" s="6" t="inlineStr">
        <is>
          <t>plant</t>
        </is>
      </c>
      <c r="U735" s="6" t="n"/>
      <c r="V735" s="6" t="n"/>
      <c r="W735" s="6" t="n">
        <v>1</v>
      </c>
      <c r="X735" s="6" t="n">
        <v>0.4</v>
      </c>
      <c r="Y735" s="6" t="inlineStr">
        <is>
          <t>declared</t>
        </is>
      </c>
      <c r="Z735" s="8" t="n">
        <v>3271</v>
      </c>
      <c r="AA735" s="9">
        <f>IF(H735="yes",Z735*X735,0)</f>
        <v/>
      </c>
      <c r="AB735" s="9">
        <f>IF(H735="yes",AA735*N(L735)/100,0)</f>
        <v/>
      </c>
      <c r="AC735" s="9">
        <f>IF(H735="yes",AA735*N(N735)/100,0)</f>
        <v/>
      </c>
      <c r="AD735" s="9">
        <f>IF(H735="yes",AA735*N(O735)/100,0)</f>
        <v/>
      </c>
      <c r="AE735" s="10">
        <f>IF(P735="yes",AA735/1000,0)</f>
        <v/>
      </c>
      <c r="AF735" s="10">
        <f>IF(R735="FG2",AE735*W735,AE735)</f>
        <v/>
      </c>
    </row>
    <row r="736">
      <c r="A736" s="6" t="inlineStr">
        <is>
          <t>HM00734</t>
        </is>
      </c>
      <c r="B736" s="7" t="inlineStr">
        <is>
          <t>4012345864861</t>
        </is>
      </c>
      <c r="C736" s="6" t="inlineStr">
        <is>
          <t>HM MIXED VEG 750G</t>
        </is>
      </c>
      <c r="D736" s="6" t="inlineStr">
        <is>
          <t>Mixed vegetables, 750g</t>
        </is>
      </c>
      <c r="E736" s="6" t="inlineStr">
        <is>
          <t>Harbour Market</t>
        </is>
      </c>
      <c r="F736" s="6" t="inlineStr">
        <is>
          <t>Frozen</t>
        </is>
      </c>
      <c r="G736" s="6" t="inlineStr">
        <is>
          <t>Frozen Vegetables</t>
        </is>
      </c>
      <c r="H736" s="6" t="inlineStr">
        <is>
          <t>yes</t>
        </is>
      </c>
      <c r="I736" s="6" t="inlineStr">
        <is>
          <t>Plant-based non-core</t>
        </is>
      </c>
      <c r="J736" s="6" t="inlineStr">
        <is>
          <t>A</t>
        </is>
      </c>
      <c r="K736" s="6" t="inlineStr">
        <is>
          <t>All ingredients on one side</t>
        </is>
      </c>
      <c r="L736" s="6" t="n">
        <v>2.6</v>
      </c>
      <c r="M736" s="6" t="inlineStr">
        <is>
          <t>Declared by the retailer</t>
        </is>
      </c>
      <c r="N736" s="6" t="n">
        <v>2.6</v>
      </c>
      <c r="O736" s="6" t="n">
        <v>0</v>
      </c>
      <c r="P736" s="6" t="inlineStr">
        <is>
          <t>yes</t>
        </is>
      </c>
      <c r="Q736" s="6" t="inlineStr">
        <is>
          <t>whole</t>
        </is>
      </c>
      <c r="R736" s="6" t="inlineStr">
        <is>
          <t>FG4</t>
        </is>
      </c>
      <c r="S736" s="6" t="n"/>
      <c r="T736" s="6" t="inlineStr">
        <is>
          <t>plant</t>
        </is>
      </c>
      <c r="U736" s="6" t="n"/>
      <c r="V736" s="6" t="n"/>
      <c r="W736" s="6" t="n">
        <v>1</v>
      </c>
      <c r="X736" s="6" t="n">
        <v>0.75</v>
      </c>
      <c r="Y736" s="6" t="inlineStr">
        <is>
          <t>declared</t>
        </is>
      </c>
      <c r="Z736" s="8" t="n">
        <v>21120</v>
      </c>
      <c r="AA736" s="9">
        <f>IF(H736="yes",Z736*X736,0)</f>
        <v/>
      </c>
      <c r="AB736" s="9">
        <f>IF(H736="yes",AA736*N(L736)/100,0)</f>
        <v/>
      </c>
      <c r="AC736" s="9">
        <f>IF(H736="yes",AA736*N(N736)/100,0)</f>
        <v/>
      </c>
      <c r="AD736" s="9">
        <f>IF(H736="yes",AA736*N(O736)/100,0)</f>
        <v/>
      </c>
      <c r="AE736" s="10">
        <f>IF(P736="yes",AA736/1000,0)</f>
        <v/>
      </c>
      <c r="AF736" s="10">
        <f>IF(R736="FG2",AE736*W736,AE736)</f>
        <v/>
      </c>
    </row>
    <row r="737">
      <c r="A737" s="6" t="inlineStr">
        <is>
          <t>HM00735</t>
        </is>
      </c>
      <c r="B737" s="7" t="inlineStr">
        <is>
          <t>5012345479392</t>
        </is>
      </c>
      <c r="C737" s="6" t="inlineStr">
        <is>
          <t>TARROW HONEY MUSTARD PORK 700G</t>
        </is>
      </c>
      <c r="D737" s="6" t="inlineStr">
        <is>
          <t>Honey &amp; mustard pork steaks, 700g</t>
        </is>
      </c>
      <c r="E737" s="6" t="inlineStr">
        <is>
          <t>Tarrow Farm</t>
        </is>
      </c>
      <c r="F737" s="6" t="inlineStr">
        <is>
          <t>Fresh Meat &amp; Poultry</t>
        </is>
      </c>
      <c r="G737" s="6" t="inlineStr">
        <is>
          <t>BBQ &amp; Marinated</t>
        </is>
      </c>
      <c r="H737" s="6" t="inlineStr">
        <is>
          <t>yes</t>
        </is>
      </c>
      <c r="I737" s="6" t="inlineStr">
        <is>
          <t>Animal core</t>
        </is>
      </c>
      <c r="J737" s="6" t="inlineStr">
        <is>
          <t>B</t>
        </is>
      </c>
      <c r="K737" s="6" t="inlineStr">
        <is>
          <t>First ingredient (step 4a)</t>
        </is>
      </c>
      <c r="L737" s="6" t="n">
        <v>15.5</v>
      </c>
      <c r="M737" s="6" t="inlineStr">
        <is>
          <t>Declared by the retailer</t>
        </is>
      </c>
      <c r="N737" s="6" t="n">
        <v>0</v>
      </c>
      <c r="O737" s="6" t="n">
        <v>15.5</v>
      </c>
      <c r="P737" s="6" t="inlineStr">
        <is>
          <t>yes</t>
        </is>
      </c>
      <c r="Q737" s="6" t="inlineStr">
        <is>
          <t>whole</t>
        </is>
      </c>
      <c r="R737" s="6" t="inlineStr">
        <is>
          <t>FG1</t>
        </is>
      </c>
      <c r="S737" s="6" t="inlineStr">
        <is>
          <t>red meat</t>
        </is>
      </c>
      <c r="T737" s="6" t="inlineStr">
        <is>
          <t>animal</t>
        </is>
      </c>
      <c r="U737" s="6" t="n"/>
      <c r="V737" s="6" t="n"/>
      <c r="W737" s="6" t="n">
        <v>1</v>
      </c>
      <c r="X737" s="6" t="n">
        <v>0.7</v>
      </c>
      <c r="Y737" s="6" t="inlineStr">
        <is>
          <t>declared</t>
        </is>
      </c>
      <c r="Z737" s="8" t="n">
        <v>7788</v>
      </c>
      <c r="AA737" s="9">
        <f>IF(H737="yes",Z737*X737,0)</f>
        <v/>
      </c>
      <c r="AB737" s="9">
        <f>IF(H737="yes",AA737*N(L737)/100,0)</f>
        <v/>
      </c>
      <c r="AC737" s="9">
        <f>IF(H737="yes",AA737*N(N737)/100,0)</f>
        <v/>
      </c>
      <c r="AD737" s="9">
        <f>IF(H737="yes",AA737*N(O737)/100,0)</f>
        <v/>
      </c>
      <c r="AE737" s="10">
        <f>IF(P737="yes",AA737/1000,0)</f>
        <v/>
      </c>
      <c r="AF737" s="10">
        <f>IF(R737="FG2",AE737*W737,AE737)</f>
        <v/>
      </c>
    </row>
    <row r="738">
      <c r="A738" s="6" t="inlineStr">
        <is>
          <t>HM00736</t>
        </is>
      </c>
      <c r="B738" s="7" t="inlineStr">
        <is>
          <t>3012345822404</t>
        </is>
      </c>
      <c r="C738" s="6" t="inlineStr">
        <is>
          <t>SKYR NAT 500G FJELDA</t>
        </is>
      </c>
      <c r="D738" s="6" t="inlineStr">
        <is>
          <t>Natural skyr, 500g</t>
        </is>
      </c>
      <c r="E738" s="6" t="inlineStr">
        <is>
          <t>Fjelda</t>
        </is>
      </c>
      <c r="F738" s="6" t="inlineStr">
        <is>
          <t>Dairy &amp; Eggs</t>
        </is>
      </c>
      <c r="G738" s="6" t="inlineStr">
        <is>
          <t>Yoghurt</t>
        </is>
      </c>
      <c r="H738" s="6" t="inlineStr">
        <is>
          <t>yes</t>
        </is>
      </c>
      <c r="I738" s="6" t="inlineStr">
        <is>
          <t>Animal core</t>
        </is>
      </c>
      <c r="J738" s="6" t="inlineStr">
        <is>
          <t>A</t>
        </is>
      </c>
      <c r="K738" s="6" t="inlineStr">
        <is>
          <t>All ingredients on one side</t>
        </is>
      </c>
      <c r="L738" s="6" t="n">
        <v>11.2</v>
      </c>
      <c r="M738" s="6" t="inlineStr">
        <is>
          <t>Altera reference base</t>
        </is>
      </c>
      <c r="N738" s="6" t="n">
        <v>0</v>
      </c>
      <c r="O738" s="6" t="n">
        <v>11.2</v>
      </c>
      <c r="P738" s="6" t="inlineStr">
        <is>
          <t>yes</t>
        </is>
      </c>
      <c r="Q738" s="6" t="inlineStr">
        <is>
          <t>whole</t>
        </is>
      </c>
      <c r="R738" s="6" t="inlineStr">
        <is>
          <t>FG2</t>
        </is>
      </c>
      <c r="S738" s="6" t="inlineStr">
        <is>
          <t>dairy</t>
        </is>
      </c>
      <c r="T738" s="6" t="inlineStr">
        <is>
          <t>animal</t>
        </is>
      </c>
      <c r="U738" s="6" t="n"/>
      <c r="V738" s="6" t="n"/>
      <c r="W738" s="6" t="n">
        <v>1</v>
      </c>
      <c r="X738" s="6" t="n">
        <v>0.5</v>
      </c>
      <c r="Y738" s="6" t="inlineStr">
        <is>
          <t>declared</t>
        </is>
      </c>
      <c r="Z738" s="8" t="n">
        <v>233767</v>
      </c>
      <c r="AA738" s="9">
        <f>IF(H738="yes",Z738*X738,0)</f>
        <v/>
      </c>
      <c r="AB738" s="9">
        <f>IF(H738="yes",AA738*N(L738)/100,0)</f>
        <v/>
      </c>
      <c r="AC738" s="9">
        <f>IF(H738="yes",AA738*N(N738)/100,0)</f>
        <v/>
      </c>
      <c r="AD738" s="9">
        <f>IF(H738="yes",AA738*N(O738)/100,0)</f>
        <v/>
      </c>
      <c r="AE738" s="10">
        <f>IF(P738="yes",AA738/1000,0)</f>
        <v/>
      </c>
      <c r="AF738" s="10">
        <f>IF(R738="FG2",AE738*W738,AE738)</f>
        <v/>
      </c>
    </row>
    <row r="739">
      <c r="A739" s="6" t="inlineStr">
        <is>
          <t>HM00737</t>
        </is>
      </c>
      <c r="B739" s="7" t="inlineStr">
        <is>
          <t>2615338650640</t>
        </is>
      </c>
      <c r="C739" s="6" t="inlineStr">
        <is>
          <t>HM CARROTS KG</t>
        </is>
      </c>
      <c r="D739" s="6" t="inlineStr">
        <is>
          <t>Carrots</t>
        </is>
      </c>
      <c r="E739" s="6" t="inlineStr">
        <is>
          <t>Harbour Market</t>
        </is>
      </c>
      <c r="F739" s="6" t="inlineStr">
        <is>
          <t>Fruit &amp; Vegetables</t>
        </is>
      </c>
      <c r="G739" s="6" t="inlineStr">
        <is>
          <t>Vegetables</t>
        </is>
      </c>
      <c r="H739" s="6" t="inlineStr">
        <is>
          <t>yes</t>
        </is>
      </c>
      <c r="I739" s="6" t="inlineStr">
        <is>
          <t>Plant-based non-core</t>
        </is>
      </c>
      <c r="J739" s="6" t="inlineStr">
        <is>
          <t>B</t>
        </is>
      </c>
      <c r="K739" s="6" t="inlineStr">
        <is>
          <t>Follows the class</t>
        </is>
      </c>
      <c r="L739" s="6" t="n">
        <v>0.61</v>
      </c>
      <c r="M739" s="6" t="inlineStr">
        <is>
          <t>Declared by the retailer</t>
        </is>
      </c>
      <c r="N739" s="6" t="n">
        <v>0.61</v>
      </c>
      <c r="O739" s="6" t="n">
        <v>0</v>
      </c>
      <c r="P739" s="6" t="inlineStr">
        <is>
          <t>yes</t>
        </is>
      </c>
      <c r="Q739" s="6" t="inlineStr">
        <is>
          <t>whole</t>
        </is>
      </c>
      <c r="R739" s="6" t="inlineStr">
        <is>
          <t>FG4</t>
        </is>
      </c>
      <c r="S739" s="6" t="n"/>
      <c r="T739" s="6" t="inlineStr">
        <is>
          <t>plant</t>
        </is>
      </c>
      <c r="U739" s="6" t="n"/>
      <c r="V739" s="6" t="n"/>
      <c r="W739" s="6" t="n">
        <v>1</v>
      </c>
      <c r="X739" s="6" t="n">
        <v>1</v>
      </c>
      <c r="Y739" s="6" t="inlineStr">
        <is>
          <t>variable</t>
        </is>
      </c>
      <c r="Z739" s="8" t="n">
        <v>24265</v>
      </c>
      <c r="AA739" s="9">
        <f>IF(H739="yes",Z739*X739,0)</f>
        <v/>
      </c>
      <c r="AB739" s="9">
        <f>IF(H739="yes",AA739*N(L739)/100,0)</f>
        <v/>
      </c>
      <c r="AC739" s="9">
        <f>IF(H739="yes",AA739*N(N739)/100,0)</f>
        <v/>
      </c>
      <c r="AD739" s="9">
        <f>IF(H739="yes",AA739*N(O739)/100,0)</f>
        <v/>
      </c>
      <c r="AE739" s="10">
        <f>IF(P739="yes",AA739/1000,0)</f>
        <v/>
      </c>
      <c r="AF739" s="10">
        <f>IF(R739="FG2",AE739*W739,AE739)</f>
        <v/>
      </c>
    </row>
    <row r="740">
      <c r="A740" s="6" t="inlineStr">
        <is>
          <t>HM00738</t>
        </is>
      </c>
      <c r="B740" s="7" t="inlineStr">
        <is>
          <t>5012345058474</t>
        </is>
      </c>
      <c r="C740" s="6" t="inlineStr">
        <is>
          <t>HM TORTILLA CHIPS 200G</t>
        </is>
      </c>
      <c r="D740" s="6" t="inlineStr">
        <is>
          <t>Tortilla chips, 200g</t>
        </is>
      </c>
      <c r="E740" s="6" t="inlineStr">
        <is>
          <t>Harbour Market</t>
        </is>
      </c>
      <c r="F740" s="6" t="inlineStr">
        <is>
          <t>Breakfast &amp; Snacks</t>
        </is>
      </c>
      <c r="G740" s="6" t="inlineStr">
        <is>
          <t>Crisps</t>
        </is>
      </c>
      <c r="H740" s="6" t="inlineStr">
        <is>
          <t>yes</t>
        </is>
      </c>
      <c r="I740" s="6" t="inlineStr">
        <is>
          <t>Plant-based non-core</t>
        </is>
      </c>
      <c r="J740" s="6" t="inlineStr">
        <is>
          <t>A</t>
        </is>
      </c>
      <c r="K740" s="6" t="inlineStr">
        <is>
          <t>All ingredients on one side</t>
        </is>
      </c>
      <c r="L740" s="6" t="n">
        <v>7.2</v>
      </c>
      <c r="M740" s="6" t="inlineStr">
        <is>
          <t>Name match (CIQUAL / NEVO)</t>
        </is>
      </c>
      <c r="N740" s="6" t="n">
        <v>7.2</v>
      </c>
      <c r="O740" s="6" t="n">
        <v>0</v>
      </c>
      <c r="P740" s="6" t="inlineStr">
        <is>
          <t>yes</t>
        </is>
      </c>
      <c r="Q740" s="6" t="inlineStr">
        <is>
          <t>whole</t>
        </is>
      </c>
      <c r="R740" s="6" t="inlineStr">
        <is>
          <t>FG7</t>
        </is>
      </c>
      <c r="S740" s="6" t="n"/>
      <c r="T740" s="6" t="inlineStr">
        <is>
          <t>plant</t>
        </is>
      </c>
      <c r="U740" s="6" t="n"/>
      <c r="V740" s="6" t="n"/>
      <c r="W740" s="6" t="n">
        <v>1</v>
      </c>
      <c r="X740" s="6" t="n">
        <v>0.2</v>
      </c>
      <c r="Y740" s="6" t="inlineStr">
        <is>
          <t>declared</t>
        </is>
      </c>
      <c r="Z740" s="8" t="n">
        <v>21886</v>
      </c>
      <c r="AA740" s="9">
        <f>IF(H740="yes",Z740*X740,0)</f>
        <v/>
      </c>
      <c r="AB740" s="9">
        <f>IF(H740="yes",AA740*N(L740)/100,0)</f>
        <v/>
      </c>
      <c r="AC740" s="9">
        <f>IF(H740="yes",AA740*N(N740)/100,0)</f>
        <v/>
      </c>
      <c r="AD740" s="9">
        <f>IF(H740="yes",AA740*N(O740)/100,0)</f>
        <v/>
      </c>
      <c r="AE740" s="10">
        <f>IF(P740="yes",AA740/1000,0)</f>
        <v/>
      </c>
      <c r="AF740" s="10">
        <f>IF(R740="FG2",AE740*W740,AE740)</f>
        <v/>
      </c>
    </row>
    <row r="741">
      <c r="A741" s="6" t="inlineStr">
        <is>
          <t>HM00739</t>
        </is>
      </c>
      <c r="B741" s="7" t="inlineStr">
        <is>
          <t>3012345733748</t>
        </is>
      </c>
      <c r="C741" s="6" t="inlineStr">
        <is>
          <t>HM ROAST CHKN SLICES 180G</t>
        </is>
      </c>
      <c r="D741" s="6" t="inlineStr">
        <is>
          <t>Roast chicken slices, 180g</t>
        </is>
      </c>
      <c r="E741" s="6" t="inlineStr">
        <is>
          <t>Harbour Market</t>
        </is>
      </c>
      <c r="F741" s="6" t="inlineStr">
        <is>
          <t>Deli</t>
        </is>
      </c>
      <c r="G741" s="6" t="inlineStr">
        <is>
          <t>Cooked Meats</t>
        </is>
      </c>
      <c r="H741" s="6" t="inlineStr">
        <is>
          <t>yes</t>
        </is>
      </c>
      <c r="I741" s="6" t="inlineStr">
        <is>
          <t>Animal core</t>
        </is>
      </c>
      <c r="J741" s="6" t="inlineStr">
        <is>
          <t>B</t>
        </is>
      </c>
      <c r="K741" s="6" t="inlineStr">
        <is>
          <t>Follows the class</t>
        </is>
      </c>
      <c r="L741" s="6" t="n">
        <v>21.1</v>
      </c>
      <c r="M741" s="6" t="inlineStr">
        <is>
          <t>Altera reference base</t>
        </is>
      </c>
      <c r="N741" s="6" t="n">
        <v>0</v>
      </c>
      <c r="O741" s="6" t="n">
        <v>21.1</v>
      </c>
      <c r="P741" s="6" t="inlineStr">
        <is>
          <t>yes</t>
        </is>
      </c>
      <c r="Q741" s="6" t="inlineStr">
        <is>
          <t>whole</t>
        </is>
      </c>
      <c r="R741" s="6" t="inlineStr">
        <is>
          <t>FG1</t>
        </is>
      </c>
      <c r="S741" s="6" t="inlineStr">
        <is>
          <t>poultry</t>
        </is>
      </c>
      <c r="T741" s="6" t="inlineStr">
        <is>
          <t>animal</t>
        </is>
      </c>
      <c r="U741" s="6" t="n"/>
      <c r="V741" s="6" t="n"/>
      <c r="W741" s="6" t="n">
        <v>1</v>
      </c>
      <c r="X741" s="6" t="n">
        <v>0.18</v>
      </c>
      <c r="Y741" s="6" t="inlineStr">
        <is>
          <t>declared</t>
        </is>
      </c>
      <c r="Z741" s="8" t="n">
        <v>27894</v>
      </c>
      <c r="AA741" s="9">
        <f>IF(H741="yes",Z741*X741,0)</f>
        <v/>
      </c>
      <c r="AB741" s="9">
        <f>IF(H741="yes",AA741*N(L741)/100,0)</f>
        <v/>
      </c>
      <c r="AC741" s="9">
        <f>IF(H741="yes",AA741*N(N741)/100,0)</f>
        <v/>
      </c>
      <c r="AD741" s="9">
        <f>IF(H741="yes",AA741*N(O741)/100,0)</f>
        <v/>
      </c>
      <c r="AE741" s="10">
        <f>IF(P741="yes",AA741/1000,0)</f>
        <v/>
      </c>
      <c r="AF741" s="10">
        <f>IF(R741="FG2",AE741*W741,AE741)</f>
        <v/>
      </c>
    </row>
    <row r="742">
      <c r="A742" s="6" t="inlineStr">
        <is>
          <t>HM00740</t>
        </is>
      </c>
      <c r="B742" s="7" t="inlineStr">
        <is>
          <t>8712345997670</t>
        </is>
      </c>
      <c r="C742" s="6" t="inlineStr">
        <is>
          <t>HM PENNE RIGATE 3KG</t>
        </is>
      </c>
      <c r="D742" s="6" t="inlineStr">
        <is>
          <t>Penne rigate, 3kg</t>
        </is>
      </c>
      <c r="E742" s="6" t="inlineStr">
        <is>
          <t>Harbour Market</t>
        </is>
      </c>
      <c r="F742" s="6" t="inlineStr">
        <is>
          <t>Grocery</t>
        </is>
      </c>
      <c r="G742" s="6" t="inlineStr">
        <is>
          <t>Pasta</t>
        </is>
      </c>
      <c r="H742" s="6" t="inlineStr">
        <is>
          <t>yes</t>
        </is>
      </c>
      <c r="I742" s="6" t="inlineStr">
        <is>
          <t>Plant-based non-core</t>
        </is>
      </c>
      <c r="J742" s="6" t="inlineStr">
        <is>
          <t>A</t>
        </is>
      </c>
      <c r="K742" s="6" t="inlineStr">
        <is>
          <t>All ingredients on one side</t>
        </is>
      </c>
      <c r="L742" s="6" t="n">
        <v>13.2</v>
      </c>
      <c r="M742" s="6" t="inlineStr">
        <is>
          <t>Altera reference base</t>
        </is>
      </c>
      <c r="N742" s="6" t="n">
        <v>13.2</v>
      </c>
      <c r="O742" s="6" t="n">
        <v>0</v>
      </c>
      <c r="P742" s="6" t="inlineStr">
        <is>
          <t>yes</t>
        </is>
      </c>
      <c r="Q742" s="6" t="inlineStr">
        <is>
          <t>whole</t>
        </is>
      </c>
      <c r="R742" s="6" t="inlineStr">
        <is>
          <t>FG5</t>
        </is>
      </c>
      <c r="S742" s="6" t="inlineStr">
        <is>
          <t>refined grain</t>
        </is>
      </c>
      <c r="T742" s="6" t="inlineStr">
        <is>
          <t>plant</t>
        </is>
      </c>
      <c r="U742" s="6" t="n"/>
      <c r="V742" s="6" t="n"/>
      <c r="W742" s="6" t="n">
        <v>1</v>
      </c>
      <c r="X742" s="6" t="n">
        <v>3</v>
      </c>
      <c r="Y742" s="6" t="inlineStr">
        <is>
          <t>declared</t>
        </is>
      </c>
      <c r="Z742" s="8" t="n">
        <v>34212</v>
      </c>
      <c r="AA742" s="9">
        <f>IF(H742="yes",Z742*X742,0)</f>
        <v/>
      </c>
      <c r="AB742" s="9">
        <f>IF(H742="yes",AA742*N(L742)/100,0)</f>
        <v/>
      </c>
      <c r="AC742" s="9">
        <f>IF(H742="yes",AA742*N(N742)/100,0)</f>
        <v/>
      </c>
      <c r="AD742" s="9">
        <f>IF(H742="yes",AA742*N(O742)/100,0)</f>
        <v/>
      </c>
      <c r="AE742" s="10">
        <f>IF(P742="yes",AA742/1000,0)</f>
        <v/>
      </c>
      <c r="AF742" s="10">
        <f>IF(R742="FG2",AE742*W742,AE742)</f>
        <v/>
      </c>
    </row>
    <row r="743">
      <c r="A743" s="6" t="inlineStr">
        <is>
          <t>HM00741</t>
        </is>
      </c>
      <c r="B743" s="7" t="inlineStr">
        <is>
          <t>5012345277363</t>
        </is>
      </c>
      <c r="C743" s="6" t="inlineStr">
        <is>
          <t>HM LONG GRAIN RICE 2KG</t>
        </is>
      </c>
      <c r="D743" s="6" t="inlineStr">
        <is>
          <t>Long-grain rice, 2kg</t>
        </is>
      </c>
      <c r="E743" s="6" t="inlineStr">
        <is>
          <t>Harbour Market</t>
        </is>
      </c>
      <c r="F743" s="6" t="inlineStr">
        <is>
          <t>Grocery</t>
        </is>
      </c>
      <c r="G743" s="6" t="inlineStr">
        <is>
          <t>Rice &amp; Grains</t>
        </is>
      </c>
      <c r="H743" s="6" t="inlineStr">
        <is>
          <t>yes</t>
        </is>
      </c>
      <c r="I743" s="6" t="inlineStr">
        <is>
          <t>Plant-based non-core</t>
        </is>
      </c>
      <c r="J743" s="6" t="inlineStr">
        <is>
          <t>A</t>
        </is>
      </c>
      <c r="K743" s="6" t="inlineStr">
        <is>
          <t>All ingredients on one side</t>
        </is>
      </c>
      <c r="L743" s="6" t="n">
        <v>7.1</v>
      </c>
      <c r="M743" s="6" t="inlineStr">
        <is>
          <t>Declared by the retailer</t>
        </is>
      </c>
      <c r="N743" s="6" t="n">
        <v>7.1</v>
      </c>
      <c r="O743" s="6" t="n">
        <v>0</v>
      </c>
      <c r="P743" s="6" t="inlineStr">
        <is>
          <t>yes</t>
        </is>
      </c>
      <c r="Q743" s="6" t="inlineStr">
        <is>
          <t>whole</t>
        </is>
      </c>
      <c r="R743" s="6" t="inlineStr">
        <is>
          <t>FG5</t>
        </is>
      </c>
      <c r="S743" s="6" t="inlineStr">
        <is>
          <t>refined grain</t>
        </is>
      </c>
      <c r="T743" s="6" t="inlineStr">
        <is>
          <t>plant</t>
        </is>
      </c>
      <c r="U743" s="6" t="n"/>
      <c r="V743" s="6" t="n"/>
      <c r="W743" s="6" t="n">
        <v>1</v>
      </c>
      <c r="X743" s="6" t="n">
        <v>2</v>
      </c>
      <c r="Y743" s="6" t="inlineStr">
        <is>
          <t>declared</t>
        </is>
      </c>
      <c r="Z743" s="8" t="n">
        <v>31316</v>
      </c>
      <c r="AA743" s="9">
        <f>IF(H743="yes",Z743*X743,0)</f>
        <v/>
      </c>
      <c r="AB743" s="9">
        <f>IF(H743="yes",AA743*N(L743)/100,0)</f>
        <v/>
      </c>
      <c r="AC743" s="9">
        <f>IF(H743="yes",AA743*N(N743)/100,0)</f>
        <v/>
      </c>
      <c r="AD743" s="9">
        <f>IF(H743="yes",AA743*N(O743)/100,0)</f>
        <v/>
      </c>
      <c r="AE743" s="10">
        <f>IF(P743="yes",AA743/1000,0)</f>
        <v/>
      </c>
      <c r="AF743" s="10">
        <f>IF(R743="FG2",AE743*W743,AE743)</f>
        <v/>
      </c>
    </row>
    <row r="744">
      <c r="A744" s="6" t="inlineStr">
        <is>
          <t>HM00742</t>
        </is>
      </c>
      <c r="B744" s="7" t="inlineStr">
        <is>
          <t>3012345496261</t>
        </is>
      </c>
      <c r="C744" s="6" t="inlineStr">
        <is>
          <t>MARLOWE DARK CHOC ORANGE 100G</t>
        </is>
      </c>
      <c r="D744" s="6" t="inlineStr">
        <is>
          <t>Dark chocolate with orange, 100g</t>
        </is>
      </c>
      <c r="E744" s="6" t="inlineStr">
        <is>
          <t>Marlowe</t>
        </is>
      </c>
      <c r="F744" s="6" t="inlineStr">
        <is>
          <t>Breakfast &amp; Snacks</t>
        </is>
      </c>
      <c r="G744" s="6" t="inlineStr">
        <is>
          <t>Chocolate</t>
        </is>
      </c>
      <c r="H744" s="6" t="inlineStr">
        <is>
          <t>yes</t>
        </is>
      </c>
      <c r="I744" s="6" t="inlineStr">
        <is>
          <t>Plant-based non-core</t>
        </is>
      </c>
      <c r="J744" s="6" t="inlineStr">
        <is>
          <t>A</t>
        </is>
      </c>
      <c r="K744" s="6" t="inlineStr">
        <is>
          <t>All ingredients on one side</t>
        </is>
      </c>
      <c r="L744" s="6" t="n">
        <v>8.1</v>
      </c>
      <c r="M744" s="6" t="inlineStr">
        <is>
          <t>Declared by the retailer</t>
        </is>
      </c>
      <c r="N744" s="6" t="n">
        <v>8.1</v>
      </c>
      <c r="O744" s="6" t="n">
        <v>0</v>
      </c>
      <c r="P744" s="6" t="inlineStr">
        <is>
          <t>yes</t>
        </is>
      </c>
      <c r="Q744" s="6" t="inlineStr">
        <is>
          <t>whole</t>
        </is>
      </c>
      <c r="R744" s="6" t="inlineStr">
        <is>
          <t>FG7</t>
        </is>
      </c>
      <c r="S744" s="6" t="n"/>
      <c r="T744" s="6" t="inlineStr">
        <is>
          <t>plant</t>
        </is>
      </c>
      <c r="U744" s="6" t="n"/>
      <c r="V744" s="6" t="n"/>
      <c r="W744" s="6" t="n">
        <v>1</v>
      </c>
      <c r="X744" s="6" t="n">
        <v>0.1</v>
      </c>
      <c r="Y744" s="6" t="inlineStr">
        <is>
          <t>declared</t>
        </is>
      </c>
      <c r="Z744" s="8" t="n">
        <v>47184</v>
      </c>
      <c r="AA744" s="9">
        <f>IF(H744="yes",Z744*X744,0)</f>
        <v/>
      </c>
      <c r="AB744" s="9">
        <f>IF(H744="yes",AA744*N(L744)/100,0)</f>
        <v/>
      </c>
      <c r="AC744" s="9">
        <f>IF(H744="yes",AA744*N(N744)/100,0)</f>
        <v/>
      </c>
      <c r="AD744" s="9">
        <f>IF(H744="yes",AA744*N(O744)/100,0)</f>
        <v/>
      </c>
      <c r="AE744" s="10">
        <f>IF(P744="yes",AA744/1000,0)</f>
        <v/>
      </c>
      <c r="AF744" s="10">
        <f>IF(R744="FG2",AE744*W744,AE744)</f>
        <v/>
      </c>
    </row>
    <row r="745">
      <c r="A745" s="6" t="inlineStr">
        <is>
          <t>HM00743</t>
        </is>
      </c>
      <c r="B745" s="7" t="inlineStr">
        <is>
          <t>8712345455699</t>
        </is>
      </c>
      <c r="C745" s="6" t="inlineStr">
        <is>
          <t>HM STRAWB ICE CREAM 900ML</t>
        </is>
      </c>
      <c r="D745" s="6" t="inlineStr">
        <is>
          <t>Strawberry ice cream, 900ml</t>
        </is>
      </c>
      <c r="E745" s="6" t="inlineStr">
        <is>
          <t>Harbour Market</t>
        </is>
      </c>
      <c r="F745" s="6" t="inlineStr">
        <is>
          <t>Frozen</t>
        </is>
      </c>
      <c r="G745" s="6" t="inlineStr">
        <is>
          <t>Ice Cream</t>
        </is>
      </c>
      <c r="H745" s="6" t="inlineStr">
        <is>
          <t>yes</t>
        </is>
      </c>
      <c r="I745" s="6" t="inlineStr">
        <is>
          <t>Animal core</t>
        </is>
      </c>
      <c r="J745" s="6" t="inlineStr">
        <is>
          <t>B</t>
        </is>
      </c>
      <c r="K745" s="6" t="inlineStr">
        <is>
          <t>First ingredient (step 4a)</t>
        </is>
      </c>
      <c r="L745" s="6" t="n">
        <v>3.3</v>
      </c>
      <c r="M745" s="6" t="inlineStr">
        <is>
          <t>Declared by the retailer</t>
        </is>
      </c>
      <c r="N745" s="6" t="n">
        <v>0</v>
      </c>
      <c r="O745" s="6" t="n">
        <v>3.3</v>
      </c>
      <c r="P745" s="6" t="inlineStr">
        <is>
          <t>yes</t>
        </is>
      </c>
      <c r="Q745" s="6" t="inlineStr">
        <is>
          <t>whole</t>
        </is>
      </c>
      <c r="R745" s="6" t="inlineStr">
        <is>
          <t>FG7</t>
        </is>
      </c>
      <c r="S745" s="6" t="n"/>
      <c r="T745" s="6" t="inlineStr">
        <is>
          <t>animal</t>
        </is>
      </c>
      <c r="U745" s="6" t="n"/>
      <c r="V745" s="6" t="n"/>
      <c r="W745" s="6" t="n">
        <v>1</v>
      </c>
      <c r="X745" s="6" t="n">
        <v>0.5</v>
      </c>
      <c r="Y745" s="6" t="inlineStr">
        <is>
          <t>declared</t>
        </is>
      </c>
      <c r="Z745" s="8" t="n">
        <v>48876</v>
      </c>
      <c r="AA745" s="9">
        <f>IF(H745="yes",Z745*X745,0)</f>
        <v/>
      </c>
      <c r="AB745" s="9">
        <f>IF(H745="yes",AA745*N(L745)/100,0)</f>
        <v/>
      </c>
      <c r="AC745" s="9">
        <f>IF(H745="yes",AA745*N(N745)/100,0)</f>
        <v/>
      </c>
      <c r="AD745" s="9">
        <f>IF(H745="yes",AA745*N(O745)/100,0)</f>
        <v/>
      </c>
      <c r="AE745" s="10">
        <f>IF(P745="yes",AA745/1000,0)</f>
        <v/>
      </c>
      <c r="AF745" s="10">
        <f>IF(R745="FG2",AE745*W745,AE745)</f>
        <v/>
      </c>
    </row>
    <row r="746">
      <c r="A746" s="6" t="inlineStr">
        <is>
          <t>HM00744</t>
        </is>
      </c>
      <c r="B746" s="7" t="inlineStr">
        <is>
          <t>8712345060305</t>
        </is>
      </c>
      <c r="C746" s="6" t="inlineStr">
        <is>
          <t>HM BABY SPINACH 500G</t>
        </is>
      </c>
      <c r="D746" s="6" t="inlineStr">
        <is>
          <t>Baby spinach, 500g</t>
        </is>
      </c>
      <c r="E746" s="6" t="inlineStr">
        <is>
          <t>Harbour Market</t>
        </is>
      </c>
      <c r="F746" s="6" t="inlineStr">
        <is>
          <t>Fruit &amp; Vegetables</t>
        </is>
      </c>
      <c r="G746" s="6" t="inlineStr">
        <is>
          <t>Vegetables</t>
        </is>
      </c>
      <c r="H746" s="6" t="inlineStr">
        <is>
          <t>yes</t>
        </is>
      </c>
      <c r="I746" s="6" t="inlineStr">
        <is>
          <t>Plant-based non-core</t>
        </is>
      </c>
      <c r="J746" s="6" t="inlineStr">
        <is>
          <t>B</t>
        </is>
      </c>
      <c r="K746" s="6" t="inlineStr">
        <is>
          <t>Follows the class</t>
        </is>
      </c>
      <c r="L746" s="6" t="n">
        <v>2.8</v>
      </c>
      <c r="M746" s="6" t="inlineStr">
        <is>
          <t>Median of the family</t>
        </is>
      </c>
      <c r="N746" s="6" t="n">
        <v>2.8</v>
      </c>
      <c r="O746" s="6" t="n">
        <v>0</v>
      </c>
      <c r="P746" s="6" t="inlineStr">
        <is>
          <t>yes</t>
        </is>
      </c>
      <c r="Q746" s="6" t="inlineStr">
        <is>
          <t>whole</t>
        </is>
      </c>
      <c r="R746" s="6" t="inlineStr">
        <is>
          <t>FG4</t>
        </is>
      </c>
      <c r="S746" s="6" t="n"/>
      <c r="T746" s="6" t="inlineStr">
        <is>
          <t>plant</t>
        </is>
      </c>
      <c r="U746" s="6" t="n"/>
      <c r="V746" s="6" t="n"/>
      <c r="W746" s="6" t="n">
        <v>1</v>
      </c>
      <c r="X746" s="6" t="n">
        <v>0.5</v>
      </c>
      <c r="Y746" s="6" t="inlineStr">
        <is>
          <t>declared</t>
        </is>
      </c>
      <c r="Z746" s="8" t="n">
        <v>62044</v>
      </c>
      <c r="AA746" s="9">
        <f>IF(H746="yes",Z746*X746,0)</f>
        <v/>
      </c>
      <c r="AB746" s="9">
        <f>IF(H746="yes",AA746*N(L746)/100,0)</f>
        <v/>
      </c>
      <c r="AC746" s="9">
        <f>IF(H746="yes",AA746*N(N746)/100,0)</f>
        <v/>
      </c>
      <c r="AD746" s="9">
        <f>IF(H746="yes",AA746*N(O746)/100,0)</f>
        <v/>
      </c>
      <c r="AE746" s="10">
        <f>IF(P746="yes",AA746/1000,0)</f>
        <v/>
      </c>
      <c r="AF746" s="10">
        <f>IF(R746="FG2",AE746*W746,AE746)</f>
        <v/>
      </c>
    </row>
    <row r="747">
      <c r="A747" s="6" t="inlineStr">
        <is>
          <t>HM00745</t>
        </is>
      </c>
      <c r="B747" s="7" t="inlineStr">
        <is>
          <t>2809464823400</t>
        </is>
      </c>
      <c r="C747" s="6" t="inlineStr">
        <is>
          <t>HM BABY SPINACH KG</t>
        </is>
      </c>
      <c r="D747" s="6" t="inlineStr">
        <is>
          <t>Baby spinach</t>
        </is>
      </c>
      <c r="E747" s="6" t="inlineStr">
        <is>
          <t>Harbour Market</t>
        </is>
      </c>
      <c r="F747" s="6" t="inlineStr">
        <is>
          <t>Fruit &amp; Vegetables</t>
        </is>
      </c>
      <c r="G747" s="6" t="inlineStr">
        <is>
          <t>Vegetables</t>
        </is>
      </c>
      <c r="H747" s="6" t="inlineStr">
        <is>
          <t>yes</t>
        </is>
      </c>
      <c r="I747" s="6" t="inlineStr">
        <is>
          <t>Plant-based non-core</t>
        </is>
      </c>
      <c r="J747" s="6" t="inlineStr">
        <is>
          <t>B</t>
        </is>
      </c>
      <c r="K747" s="6" t="inlineStr">
        <is>
          <t>Follows the class</t>
        </is>
      </c>
      <c r="L747" s="6" t="n">
        <v>2.9</v>
      </c>
      <c r="M747" s="6" t="inlineStr">
        <is>
          <t>Median of the family</t>
        </is>
      </c>
      <c r="N747" s="6" t="n">
        <v>2.9</v>
      </c>
      <c r="O747" s="6" t="n">
        <v>0</v>
      </c>
      <c r="P747" s="6" t="inlineStr">
        <is>
          <t>yes</t>
        </is>
      </c>
      <c r="Q747" s="6" t="inlineStr">
        <is>
          <t>whole</t>
        </is>
      </c>
      <c r="R747" s="6" t="inlineStr">
        <is>
          <t>FG4</t>
        </is>
      </c>
      <c r="S747" s="6" t="n"/>
      <c r="T747" s="6" t="inlineStr">
        <is>
          <t>plant</t>
        </is>
      </c>
      <c r="U747" s="6" t="n"/>
      <c r="V747" s="6" t="n"/>
      <c r="W747" s="6" t="n">
        <v>1</v>
      </c>
      <c r="X747" s="6" t="n">
        <v>1</v>
      </c>
      <c r="Y747" s="6" t="inlineStr">
        <is>
          <t>variable</t>
        </is>
      </c>
      <c r="Z747" s="8" t="n">
        <v>33011</v>
      </c>
      <c r="AA747" s="9">
        <f>IF(H747="yes",Z747*X747,0)</f>
        <v/>
      </c>
      <c r="AB747" s="9">
        <f>IF(H747="yes",AA747*N(L747)/100,0)</f>
        <v/>
      </c>
      <c r="AC747" s="9">
        <f>IF(H747="yes",AA747*N(N747)/100,0)</f>
        <v/>
      </c>
      <c r="AD747" s="9">
        <f>IF(H747="yes",AA747*N(O747)/100,0)</f>
        <v/>
      </c>
      <c r="AE747" s="10">
        <f>IF(P747="yes",AA747/1000,0)</f>
        <v/>
      </c>
      <c r="AF747" s="10">
        <f>IF(R747="FG2",AE747*W747,AE747)</f>
        <v/>
      </c>
    </row>
    <row r="748">
      <c r="A748" s="6" t="inlineStr">
        <is>
          <t>HM00746</t>
        </is>
      </c>
      <c r="B748" s="7" t="inlineStr">
        <is>
          <t>8712345148843</t>
        </is>
      </c>
      <c r="C748" s="6" t="inlineStr">
        <is>
          <t>SALT VINEGAR CRISPS 6PK 150G PENROCK</t>
        </is>
      </c>
      <c r="D748" s="6" t="inlineStr">
        <is>
          <t>Salt &amp; vinegar crisps, 6pk 150g</t>
        </is>
      </c>
      <c r="E748" s="6" t="inlineStr">
        <is>
          <t>Penrock</t>
        </is>
      </c>
      <c r="F748" s="6" t="inlineStr">
        <is>
          <t>Breakfast &amp; Snacks</t>
        </is>
      </c>
      <c r="G748" s="6" t="inlineStr">
        <is>
          <t>Crisps</t>
        </is>
      </c>
      <c r="H748" s="6" t="inlineStr">
        <is>
          <t>yes</t>
        </is>
      </c>
      <c r="I748" s="6" t="inlineStr">
        <is>
          <t>Plant-based non-core</t>
        </is>
      </c>
      <c r="J748" s="6" t="inlineStr">
        <is>
          <t>B</t>
        </is>
      </c>
      <c r="K748" s="6" t="inlineStr">
        <is>
          <t>Follows the class</t>
        </is>
      </c>
      <c r="L748" s="6" t="n">
        <v>6</v>
      </c>
      <c r="M748" s="6" t="inlineStr">
        <is>
          <t>Declared by the retailer</t>
        </is>
      </c>
      <c r="N748" s="6" t="n">
        <v>6</v>
      </c>
      <c r="O748" s="6" t="n">
        <v>0</v>
      </c>
      <c r="P748" s="6" t="inlineStr">
        <is>
          <t>yes</t>
        </is>
      </c>
      <c r="Q748" s="6" t="inlineStr">
        <is>
          <t>whole</t>
        </is>
      </c>
      <c r="R748" s="6" t="inlineStr">
        <is>
          <t>FG7</t>
        </is>
      </c>
      <c r="S748" s="6" t="n"/>
      <c r="T748" s="6" t="inlineStr">
        <is>
          <t>plant</t>
        </is>
      </c>
      <c r="U748" s="6" t="n"/>
      <c r="V748" s="6" t="n"/>
      <c r="W748" s="6" t="n">
        <v>1</v>
      </c>
      <c r="X748" s="6" t="n">
        <v>0.15</v>
      </c>
      <c r="Y748" s="6" t="inlineStr">
        <is>
          <t>declared</t>
        </is>
      </c>
      <c r="Z748" s="8" t="n">
        <v>27920</v>
      </c>
      <c r="AA748" s="9">
        <f>IF(H748="yes",Z748*X748,0)</f>
        <v/>
      </c>
      <c r="AB748" s="9">
        <f>IF(H748="yes",AA748*N(L748)/100,0)</f>
        <v/>
      </c>
      <c r="AC748" s="9">
        <f>IF(H748="yes",AA748*N(N748)/100,0)</f>
        <v/>
      </c>
      <c r="AD748" s="9">
        <f>IF(H748="yes",AA748*N(O748)/100,0)</f>
        <v/>
      </c>
      <c r="AE748" s="10">
        <f>IF(P748="yes",AA748/1000,0)</f>
        <v/>
      </c>
      <c r="AF748" s="10">
        <f>IF(R748="FG2",AE748*W748,AE748)</f>
        <v/>
      </c>
    </row>
    <row r="749">
      <c r="A749" s="6" t="inlineStr">
        <is>
          <t>HM00747</t>
        </is>
      </c>
      <c r="B749" s="7" t="inlineStr">
        <is>
          <t>5012345508702</t>
        </is>
      </c>
      <c r="C749" s="6" t="inlineStr">
        <is>
          <t>HM CLOSED CUP MUSHROOMS 1KG</t>
        </is>
      </c>
      <c r="D749" s="6" t="inlineStr">
        <is>
          <t>Closed cup mushrooms, 1kg</t>
        </is>
      </c>
      <c r="E749" s="6" t="inlineStr">
        <is>
          <t>Harbour Market</t>
        </is>
      </c>
      <c r="F749" s="6" t="inlineStr">
        <is>
          <t>Fruit &amp; Vegetables</t>
        </is>
      </c>
      <c r="G749" s="6" t="inlineStr">
        <is>
          <t>Vegetables</t>
        </is>
      </c>
      <c r="H749" s="6" t="inlineStr">
        <is>
          <t>yes</t>
        </is>
      </c>
      <c r="I749" s="6" t="inlineStr">
        <is>
          <t>Plant-based non-core</t>
        </is>
      </c>
      <c r="J749" s="6" t="inlineStr">
        <is>
          <t>B</t>
        </is>
      </c>
      <c r="K749" s="6" t="inlineStr">
        <is>
          <t>Follows the class</t>
        </is>
      </c>
      <c r="L749" s="6" t="n">
        <v>3.3</v>
      </c>
      <c r="M749" s="6" t="inlineStr">
        <is>
          <t>Altera reference base</t>
        </is>
      </c>
      <c r="N749" s="6" t="n">
        <v>3.3</v>
      </c>
      <c r="O749" s="6" t="n">
        <v>0</v>
      </c>
      <c r="P749" s="6" t="inlineStr">
        <is>
          <t>yes</t>
        </is>
      </c>
      <c r="Q749" s="6" t="inlineStr">
        <is>
          <t>whole</t>
        </is>
      </c>
      <c r="R749" s="6" t="inlineStr">
        <is>
          <t>FG4</t>
        </is>
      </c>
      <c r="S749" s="6" t="n"/>
      <c r="T749" s="6" t="inlineStr">
        <is>
          <t>plant</t>
        </is>
      </c>
      <c r="U749" s="6" t="n"/>
      <c r="V749" s="6" t="n"/>
      <c r="W749" s="6" t="n">
        <v>1</v>
      </c>
      <c r="X749" s="6" t="n">
        <v>1</v>
      </c>
      <c r="Y749" s="6" t="inlineStr">
        <is>
          <t>declared</t>
        </is>
      </c>
      <c r="Z749" s="8" t="n">
        <v>27315</v>
      </c>
      <c r="AA749" s="9">
        <f>IF(H749="yes",Z749*X749,0)</f>
        <v/>
      </c>
      <c r="AB749" s="9">
        <f>IF(H749="yes",AA749*N(L749)/100,0)</f>
        <v/>
      </c>
      <c r="AC749" s="9">
        <f>IF(H749="yes",AA749*N(N749)/100,0)</f>
        <v/>
      </c>
      <c r="AD749" s="9">
        <f>IF(H749="yes",AA749*N(O749)/100,0)</f>
        <v/>
      </c>
      <c r="AE749" s="10">
        <f>IF(P749="yes",AA749/1000,0)</f>
        <v/>
      </c>
      <c r="AF749" s="10">
        <f>IF(R749="FG2",AE749*W749,AE749)</f>
        <v/>
      </c>
    </row>
    <row r="750">
      <c r="A750" s="6" t="inlineStr">
        <is>
          <t>HM00748</t>
        </is>
      </c>
      <c r="B750" s="7" t="inlineStr">
        <is>
          <t>4012345597295</t>
        </is>
      </c>
      <c r="C750" s="6" t="inlineStr">
        <is>
          <t>HM AVOCADO RIPE EACH</t>
        </is>
      </c>
      <c r="D750" s="6" t="inlineStr">
        <is>
          <t>Ripe avocado</t>
        </is>
      </c>
      <c r="E750" s="6" t="inlineStr">
        <is>
          <t>Harbour Market</t>
        </is>
      </c>
      <c r="F750" s="6" t="inlineStr">
        <is>
          <t>Fruit &amp; Vegetables</t>
        </is>
      </c>
      <c r="G750" s="6" t="inlineStr">
        <is>
          <t>Exotic Fruit</t>
        </is>
      </c>
      <c r="H750" s="6" t="inlineStr">
        <is>
          <t>yes</t>
        </is>
      </c>
      <c r="I750" s="6" t="inlineStr">
        <is>
          <t>Plant-based non-core</t>
        </is>
      </c>
      <c r="J750" s="6" t="inlineStr">
        <is>
          <t>B</t>
        </is>
      </c>
      <c r="K750" s="6" t="inlineStr">
        <is>
          <t>Follows the class</t>
        </is>
      </c>
      <c r="L750" s="6" t="n">
        <v>1.9</v>
      </c>
      <c r="M750" s="6" t="inlineStr">
        <is>
          <t>Declared by the retailer</t>
        </is>
      </c>
      <c r="N750" s="6" t="n">
        <v>1.9</v>
      </c>
      <c r="O750" s="6" t="n">
        <v>0</v>
      </c>
      <c r="P750" s="6" t="inlineStr">
        <is>
          <t>yes</t>
        </is>
      </c>
      <c r="Q750" s="6" t="inlineStr">
        <is>
          <t>whole</t>
        </is>
      </c>
      <c r="R750" s="6" t="inlineStr">
        <is>
          <t>FG4</t>
        </is>
      </c>
      <c r="S750" s="6" t="n"/>
      <c r="T750" s="6" t="inlineStr">
        <is>
          <t>plant</t>
        </is>
      </c>
      <c r="U750" s="6" t="n"/>
      <c r="V750" s="6" t="n"/>
      <c r="W750" s="6" t="n">
        <v>1</v>
      </c>
      <c r="X750" s="6" t="n">
        <v>0.2</v>
      </c>
      <c r="Y750" s="6" t="inlineStr">
        <is>
          <t>typical_piece</t>
        </is>
      </c>
      <c r="Z750" s="8" t="n">
        <v>28643</v>
      </c>
      <c r="AA750" s="9">
        <f>IF(H750="yes",Z750*X750,0)</f>
        <v/>
      </c>
      <c r="AB750" s="9">
        <f>IF(H750="yes",AA750*N(L750)/100,0)</f>
        <v/>
      </c>
      <c r="AC750" s="9">
        <f>IF(H750="yes",AA750*N(N750)/100,0)</f>
        <v/>
      </c>
      <c r="AD750" s="9">
        <f>IF(H750="yes",AA750*N(O750)/100,0)</f>
        <v/>
      </c>
      <c r="AE750" s="10">
        <f>IF(P750="yes",AA750/1000,0)</f>
        <v/>
      </c>
      <c r="AF750" s="10">
        <f>IF(R750="FG2",AE750*W750,AE750)</f>
        <v/>
      </c>
    </row>
    <row r="751">
      <c r="A751" s="6" t="inlineStr">
        <is>
          <t>HM00749</t>
        </is>
      </c>
      <c r="B751" s="7" t="inlineStr">
        <is>
          <t>4012345318296</t>
        </is>
      </c>
      <c r="C751" s="6" t="inlineStr">
        <is>
          <t>TARROW PORK LOIN CHOPS 500G</t>
        </is>
      </c>
      <c r="D751" s="6" t="inlineStr">
        <is>
          <t>Pork loin chops, 500g</t>
        </is>
      </c>
      <c r="E751" s="6" t="inlineStr">
        <is>
          <t>Tarrow Farm</t>
        </is>
      </c>
      <c r="F751" s="6" t="inlineStr">
        <is>
          <t>Fresh Meat &amp; Poultry</t>
        </is>
      </c>
      <c r="G751" s="6" t="inlineStr">
        <is>
          <t>Pork</t>
        </is>
      </c>
      <c r="H751" s="6" t="inlineStr">
        <is>
          <t>yes</t>
        </is>
      </c>
      <c r="I751" s="6" t="inlineStr">
        <is>
          <t>Animal core</t>
        </is>
      </c>
      <c r="J751" s="6" t="inlineStr">
        <is>
          <t>B</t>
        </is>
      </c>
      <c r="K751" s="6" t="inlineStr">
        <is>
          <t>Follows the class</t>
        </is>
      </c>
      <c r="L751" s="6" t="n">
        <v>18.9</v>
      </c>
      <c r="M751" s="6" t="inlineStr">
        <is>
          <t>Declared by the retailer</t>
        </is>
      </c>
      <c r="N751" s="6" t="n">
        <v>0</v>
      </c>
      <c r="O751" s="6" t="n">
        <v>18.9</v>
      </c>
      <c r="P751" s="6" t="inlineStr">
        <is>
          <t>yes</t>
        </is>
      </c>
      <c r="Q751" s="6" t="inlineStr">
        <is>
          <t>whole</t>
        </is>
      </c>
      <c r="R751" s="6" t="inlineStr">
        <is>
          <t>FG1</t>
        </is>
      </c>
      <c r="S751" s="6" t="inlineStr">
        <is>
          <t>red meat</t>
        </is>
      </c>
      <c r="T751" s="6" t="inlineStr">
        <is>
          <t>animal</t>
        </is>
      </c>
      <c r="U751" s="6" t="n"/>
      <c r="V751" s="6" t="n"/>
      <c r="W751" s="6" t="n">
        <v>1</v>
      </c>
      <c r="X751" s="6" t="n">
        <v>0.5</v>
      </c>
      <c r="Y751" s="6" t="inlineStr">
        <is>
          <t>declared</t>
        </is>
      </c>
      <c r="Z751" s="8" t="n">
        <v>39917</v>
      </c>
      <c r="AA751" s="9">
        <f>IF(H751="yes",Z751*X751,0)</f>
        <v/>
      </c>
      <c r="AB751" s="9">
        <f>IF(H751="yes",AA751*N(L751)/100,0)</f>
        <v/>
      </c>
      <c r="AC751" s="9">
        <f>IF(H751="yes",AA751*N(N751)/100,0)</f>
        <v/>
      </c>
      <c r="AD751" s="9">
        <f>IF(H751="yes",AA751*N(O751)/100,0)</f>
        <v/>
      </c>
      <c r="AE751" s="10">
        <f>IF(P751="yes",AA751/1000,0)</f>
        <v/>
      </c>
      <c r="AF751" s="10">
        <f>IF(R751="FG2",AE751*W751,AE751)</f>
        <v/>
      </c>
    </row>
    <row r="752">
      <c r="A752" s="6" t="inlineStr">
        <is>
          <t>HM00750</t>
        </is>
      </c>
      <c r="B752" s="7" t="inlineStr">
        <is>
          <t>2482795774650</t>
        </is>
      </c>
      <c r="C752" s="6" t="inlineStr">
        <is>
          <t>HM BLUEBERRIES LOOSE</t>
        </is>
      </c>
      <c r="D752" s="6" t="inlineStr">
        <is>
          <t>Blueberries</t>
        </is>
      </c>
      <c r="E752" s="6" t="inlineStr">
        <is>
          <t>Harbour Market</t>
        </is>
      </c>
      <c r="F752" s="6" t="inlineStr">
        <is>
          <t>Fruit &amp; Vegetables</t>
        </is>
      </c>
      <c r="G752" s="6" t="inlineStr">
        <is>
          <t>Fruit</t>
        </is>
      </c>
      <c r="H752" s="6" t="inlineStr">
        <is>
          <t>yes</t>
        </is>
      </c>
      <c r="I752" s="6" t="inlineStr">
        <is>
          <t>Plant-based non-core</t>
        </is>
      </c>
      <c r="J752" s="6" t="inlineStr">
        <is>
          <t>B</t>
        </is>
      </c>
      <c r="K752" s="6" t="inlineStr">
        <is>
          <t>Follows the class</t>
        </is>
      </c>
      <c r="L752" s="6" t="n">
        <v>0.7</v>
      </c>
      <c r="M752" s="6" t="inlineStr">
        <is>
          <t>Declared by the retailer</t>
        </is>
      </c>
      <c r="N752" s="6" t="n">
        <v>0.7</v>
      </c>
      <c r="O752" s="6" t="n">
        <v>0</v>
      </c>
      <c r="P752" s="6" t="inlineStr">
        <is>
          <t>yes</t>
        </is>
      </c>
      <c r="Q752" s="6" t="inlineStr">
        <is>
          <t>whole</t>
        </is>
      </c>
      <c r="R752" s="6" t="inlineStr">
        <is>
          <t>FG4</t>
        </is>
      </c>
      <c r="S752" s="6" t="n"/>
      <c r="T752" s="6" t="inlineStr">
        <is>
          <t>plant</t>
        </is>
      </c>
      <c r="U752" s="6" t="n"/>
      <c r="V752" s="6" t="n"/>
      <c r="W752" s="6" t="n">
        <v>1</v>
      </c>
      <c r="X752" s="6" t="n">
        <v>1</v>
      </c>
      <c r="Y752" s="6" t="inlineStr">
        <is>
          <t>variable</t>
        </is>
      </c>
      <c r="Z752" s="8" t="n">
        <v>19027</v>
      </c>
      <c r="AA752" s="9">
        <f>IF(H752="yes",Z752*X752,0)</f>
        <v/>
      </c>
      <c r="AB752" s="9">
        <f>IF(H752="yes",AA752*N(L752)/100,0)</f>
        <v/>
      </c>
      <c r="AC752" s="9">
        <f>IF(H752="yes",AA752*N(N752)/100,0)</f>
        <v/>
      </c>
      <c r="AD752" s="9">
        <f>IF(H752="yes",AA752*N(O752)/100,0)</f>
        <v/>
      </c>
      <c r="AE752" s="10">
        <f>IF(P752="yes",AA752/1000,0)</f>
        <v/>
      </c>
      <c r="AF752" s="10">
        <f>IF(R752="FG2",AE752*W752,AE752)</f>
        <v/>
      </c>
    </row>
    <row r="753">
      <c r="A753" s="6" t="inlineStr">
        <is>
          <t>HM00751</t>
        </is>
      </c>
      <c r="B753" s="7" t="inlineStr">
        <is>
          <t>5012345013190</t>
        </is>
      </c>
      <c r="C753" s="6" t="inlineStr">
        <is>
          <t>ROSE WINE 3X75CL CASTELNA</t>
        </is>
      </c>
      <c r="D753" s="6" t="inlineStr">
        <is>
          <t>Rosé wine, 3x75cl</t>
        </is>
      </c>
      <c r="E753" s="6" t="inlineStr">
        <is>
          <t>Castelna</t>
        </is>
      </c>
      <c r="F753" s="6" t="inlineStr">
        <is>
          <t>Beer, Wine &amp; Spirits</t>
        </is>
      </c>
      <c r="G753" s="6" t="inlineStr">
        <is>
          <t>Wine</t>
        </is>
      </c>
      <c r="H753" s="6" t="inlineStr">
        <is>
          <t>yes</t>
        </is>
      </c>
      <c r="I753" s="6" t="inlineStr">
        <is>
          <t>Plant-based non-core</t>
        </is>
      </c>
      <c r="J753" s="6" t="inlineStr">
        <is>
          <t>A</t>
        </is>
      </c>
      <c r="K753" s="6" t="inlineStr">
        <is>
          <t>All ingredients on one side</t>
        </is>
      </c>
      <c r="L753" s="6" t="n">
        <v>0.09</v>
      </c>
      <c r="M753" s="6" t="inlineStr">
        <is>
          <t>Declared by the retailer</t>
        </is>
      </c>
      <c r="N753" s="6" t="n">
        <v>0.09</v>
      </c>
      <c r="O753" s="6" t="n">
        <v>0</v>
      </c>
      <c r="P753" s="6" t="inlineStr">
        <is>
          <t>no</t>
        </is>
      </c>
      <c r="Q753" s="6" t="n"/>
      <c r="R753" s="6" t="n"/>
      <c r="S753" s="6" t="n"/>
      <c r="T753" s="6" t="n"/>
      <c r="U753" s="6" t="n"/>
      <c r="V753" s="6" t="inlineStr">
        <is>
          <t>alcohol</t>
        </is>
      </c>
      <c r="W753" s="6" t="n">
        <v>1</v>
      </c>
      <c r="X753" s="6" t="n">
        <v>2.25</v>
      </c>
      <c r="Y753" s="6" t="inlineStr">
        <is>
          <t>declared</t>
        </is>
      </c>
      <c r="Z753" s="8" t="n">
        <v>49881</v>
      </c>
      <c r="AA753" s="9">
        <f>IF(H753="yes",Z753*X753,0)</f>
        <v/>
      </c>
      <c r="AB753" s="9">
        <f>IF(H753="yes",AA753*N(L753)/100,0)</f>
        <v/>
      </c>
      <c r="AC753" s="9">
        <f>IF(H753="yes",AA753*N(N753)/100,0)</f>
        <v/>
      </c>
      <c r="AD753" s="9">
        <f>IF(H753="yes",AA753*N(O753)/100,0)</f>
        <v/>
      </c>
      <c r="AE753" s="10">
        <f>IF(P753="yes",AA753/1000,0)</f>
        <v/>
      </c>
      <c r="AF753" s="10">
        <f>IF(R753="FG2",AE753*W753,AE753)</f>
        <v/>
      </c>
    </row>
    <row r="754">
      <c r="A754" s="6" t="inlineStr">
        <is>
          <t>HM00752</t>
        </is>
      </c>
      <c r="B754" s="7" t="inlineStr">
        <is>
          <t>4012345234831</t>
        </is>
      </c>
      <c r="C754" s="6" t="inlineStr">
        <is>
          <t>HM CHKN DRUMSTICKS 650G</t>
        </is>
      </c>
      <c r="D754" s="6" t="inlineStr">
        <is>
          <t>Chicken drumsticks, 650g</t>
        </is>
      </c>
      <c r="E754" s="6" t="inlineStr">
        <is>
          <t>Harbour Market</t>
        </is>
      </c>
      <c r="F754" s="6" t="inlineStr">
        <is>
          <t>Fresh Meat &amp; Poultry</t>
        </is>
      </c>
      <c r="G754" s="6" t="inlineStr">
        <is>
          <t>Poultry</t>
        </is>
      </c>
      <c r="H754" s="6" t="inlineStr">
        <is>
          <t>yes</t>
        </is>
      </c>
      <c r="I754" s="6" t="inlineStr">
        <is>
          <t>Animal core</t>
        </is>
      </c>
      <c r="J754" s="6" t="inlineStr">
        <is>
          <t>B</t>
        </is>
      </c>
      <c r="K754" s="6" t="inlineStr">
        <is>
          <t>Follows the class</t>
        </is>
      </c>
      <c r="L754" s="6" t="n">
        <v>19.6</v>
      </c>
      <c r="M754" s="6" t="inlineStr">
        <is>
          <t>Median of the family</t>
        </is>
      </c>
      <c r="N754" s="6" t="n">
        <v>0</v>
      </c>
      <c r="O754" s="6" t="n">
        <v>19.6</v>
      </c>
      <c r="P754" s="6" t="inlineStr">
        <is>
          <t>yes</t>
        </is>
      </c>
      <c r="Q754" s="6" t="inlineStr">
        <is>
          <t>whole</t>
        </is>
      </c>
      <c r="R754" s="6" t="inlineStr">
        <is>
          <t>FG1</t>
        </is>
      </c>
      <c r="S754" s="6" t="inlineStr">
        <is>
          <t>poultry</t>
        </is>
      </c>
      <c r="T754" s="6" t="inlineStr">
        <is>
          <t>animal</t>
        </is>
      </c>
      <c r="U754" s="6" t="n"/>
      <c r="V754" s="6" t="n"/>
      <c r="W754" s="6" t="n">
        <v>1</v>
      </c>
      <c r="X754" s="6" t="n">
        <v>0.65</v>
      </c>
      <c r="Y754" s="6" t="inlineStr">
        <is>
          <t>declared</t>
        </is>
      </c>
      <c r="Z754" s="8" t="n">
        <v>53998</v>
      </c>
      <c r="AA754" s="9">
        <f>IF(H754="yes",Z754*X754,0)</f>
        <v/>
      </c>
      <c r="AB754" s="9">
        <f>IF(H754="yes",AA754*N(L754)/100,0)</f>
        <v/>
      </c>
      <c r="AC754" s="9">
        <f>IF(H754="yes",AA754*N(N754)/100,0)</f>
        <v/>
      </c>
      <c r="AD754" s="9">
        <f>IF(H754="yes",AA754*N(O754)/100,0)</f>
        <v/>
      </c>
      <c r="AE754" s="10">
        <f>IF(P754="yes",AA754/1000,0)</f>
        <v/>
      </c>
      <c r="AF754" s="10">
        <f>IF(R754="FG2",AE754*W754,AE754)</f>
        <v/>
      </c>
    </row>
    <row r="755">
      <c r="A755" s="6" t="inlineStr">
        <is>
          <t>HM00753</t>
        </is>
      </c>
      <c r="B755" s="7" t="inlineStr">
        <is>
          <t>5012345112954</t>
        </is>
      </c>
      <c r="C755" s="6" t="inlineStr">
        <is>
          <t>HM SWEETCORN COBS 500G</t>
        </is>
      </c>
      <c r="D755" s="6" t="inlineStr">
        <is>
          <t>Sweetcorn cobs, 500g</t>
        </is>
      </c>
      <c r="E755" s="6" t="inlineStr">
        <is>
          <t>Harbour Market</t>
        </is>
      </c>
      <c r="F755" s="6" t="inlineStr">
        <is>
          <t>Fruit &amp; Vegetables</t>
        </is>
      </c>
      <c r="G755" s="6" t="inlineStr">
        <is>
          <t>Vegetables</t>
        </is>
      </c>
      <c r="H755" s="6" t="inlineStr">
        <is>
          <t>yes</t>
        </is>
      </c>
      <c r="I755" s="6" t="inlineStr">
        <is>
          <t>Plant-based non-core</t>
        </is>
      </c>
      <c r="J755" s="6" t="inlineStr">
        <is>
          <t>B</t>
        </is>
      </c>
      <c r="K755" s="6" t="inlineStr">
        <is>
          <t>Follows the class</t>
        </is>
      </c>
      <c r="L755" s="6" t="n">
        <v>3.3</v>
      </c>
      <c r="M755" s="6" t="inlineStr">
        <is>
          <t>Declared by the retailer</t>
        </is>
      </c>
      <c r="N755" s="6" t="n">
        <v>3.3</v>
      </c>
      <c r="O755" s="6" t="n">
        <v>0</v>
      </c>
      <c r="P755" s="6" t="inlineStr">
        <is>
          <t>yes</t>
        </is>
      </c>
      <c r="Q755" s="6" t="inlineStr">
        <is>
          <t>whole</t>
        </is>
      </c>
      <c r="R755" s="6" t="inlineStr">
        <is>
          <t>FG4</t>
        </is>
      </c>
      <c r="S755" s="6" t="n"/>
      <c r="T755" s="6" t="inlineStr">
        <is>
          <t>plant</t>
        </is>
      </c>
      <c r="U755" s="6" t="n"/>
      <c r="V755" s="6" t="n"/>
      <c r="W755" s="6" t="n">
        <v>1</v>
      </c>
      <c r="X755" s="6" t="n">
        <v>0.5</v>
      </c>
      <c r="Y755" s="6" t="inlineStr">
        <is>
          <t>declared</t>
        </is>
      </c>
      <c r="Z755" s="8" t="n">
        <v>77571</v>
      </c>
      <c r="AA755" s="9">
        <f>IF(H755="yes",Z755*X755,0)</f>
        <v/>
      </c>
      <c r="AB755" s="9">
        <f>IF(H755="yes",AA755*N(L755)/100,0)</f>
        <v/>
      </c>
      <c r="AC755" s="9">
        <f>IF(H755="yes",AA755*N(N755)/100,0)</f>
        <v/>
      </c>
      <c r="AD755" s="9">
        <f>IF(H755="yes",AA755*N(O755)/100,0)</f>
        <v/>
      </c>
      <c r="AE755" s="10">
        <f>IF(P755="yes",AA755/1000,0)</f>
        <v/>
      </c>
      <c r="AF755" s="10">
        <f>IF(R755="FG2",AE755*W755,AE755)</f>
        <v/>
      </c>
    </row>
    <row r="756">
      <c r="A756" s="6" t="inlineStr">
        <is>
          <t>HM00754</t>
        </is>
      </c>
      <c r="B756" s="7" t="inlineStr">
        <is>
          <t>5012345121406</t>
        </is>
      </c>
      <c r="C756" s="6" t="inlineStr">
        <is>
          <t>QUILLAN PIZZA 4 CHEESE 400G</t>
        </is>
      </c>
      <c r="D756" s="6" t="inlineStr">
        <is>
          <t>Four cheese pizza, 400g</t>
        </is>
      </c>
      <c r="E756" s="6" t="inlineStr">
        <is>
          <t>Quillan</t>
        </is>
      </c>
      <c r="F756" s="6" t="inlineStr">
        <is>
          <t>Frozen</t>
        </is>
      </c>
      <c r="G756" s="6" t="inlineStr">
        <is>
          <t>Pizza</t>
        </is>
      </c>
      <c r="H756" s="6" t="inlineStr">
        <is>
          <t>yes</t>
        </is>
      </c>
      <c r="I756" s="6" t="inlineStr">
        <is>
          <t>Animal &amp; plant composite</t>
        </is>
      </c>
      <c r="J756" s="6" t="inlineStr">
        <is>
          <t>B</t>
        </is>
      </c>
      <c r="K756" s="6" t="inlineStr">
        <is>
          <t>50/50 convention</t>
        </is>
      </c>
      <c r="L756" s="6" t="n">
        <v>9.5</v>
      </c>
      <c r="M756" s="6" t="inlineStr">
        <is>
          <t>Declared by the retailer</t>
        </is>
      </c>
      <c r="N756" s="6" t="n">
        <v>4.75</v>
      </c>
      <c r="O756" s="6" t="n">
        <v>4.75</v>
      </c>
      <c r="P756" s="6" t="inlineStr">
        <is>
          <t>yes</t>
        </is>
      </c>
      <c r="Q756" s="6" t="inlineStr">
        <is>
          <t>composite</t>
        </is>
      </c>
      <c r="R756" s="6" t="n"/>
      <c r="S756" s="6" t="n"/>
      <c r="T756" s="6" t="n"/>
      <c r="U756" s="6" t="inlineStr">
        <is>
          <t>vegetarian</t>
        </is>
      </c>
      <c r="V756" s="6" t="n"/>
      <c r="W756" s="6" t="n">
        <v>1</v>
      </c>
      <c r="X756" s="6" t="n">
        <v>0.4</v>
      </c>
      <c r="Y756" s="6" t="inlineStr">
        <is>
          <t>declared</t>
        </is>
      </c>
      <c r="Z756" s="8" t="n">
        <v>59221</v>
      </c>
      <c r="AA756" s="9">
        <f>IF(H756="yes",Z756*X756,0)</f>
        <v/>
      </c>
      <c r="AB756" s="9">
        <f>IF(H756="yes",AA756*N(L756)/100,0)</f>
        <v/>
      </c>
      <c r="AC756" s="9">
        <f>IF(H756="yes",AA756*N(N756)/100,0)</f>
        <v/>
      </c>
      <c r="AD756" s="9">
        <f>IF(H756="yes",AA756*N(O756)/100,0)</f>
        <v/>
      </c>
      <c r="AE756" s="10">
        <f>IF(P756="yes",AA756/1000,0)</f>
        <v/>
      </c>
      <c r="AF756" s="10">
        <f>IF(R756="FG2",AE756*W756,AE756)</f>
        <v/>
      </c>
    </row>
    <row r="757">
      <c r="A757" s="6" t="inlineStr">
        <is>
          <t>HM00755</t>
        </is>
      </c>
      <c r="B757" s="7" t="inlineStr">
        <is>
          <t>8712345841829</t>
        </is>
      </c>
      <c r="C757" s="6" t="inlineStr">
        <is>
          <t>ALDERWICK MOZZARELLA 250G</t>
        </is>
      </c>
      <c r="D757" s="6" t="inlineStr">
        <is>
          <t>Mozzarella, 250g</t>
        </is>
      </c>
      <c r="E757" s="6" t="inlineStr">
        <is>
          <t>Alderwick</t>
        </is>
      </c>
      <c r="F757" s="6" t="inlineStr">
        <is>
          <t>Cheese</t>
        </is>
      </c>
      <c r="G757" s="6" t="inlineStr">
        <is>
          <t>Soft Cheese</t>
        </is>
      </c>
      <c r="H757" s="6" t="inlineStr">
        <is>
          <t>yes</t>
        </is>
      </c>
      <c r="I757" s="6" t="inlineStr">
        <is>
          <t>Animal core</t>
        </is>
      </c>
      <c r="J757" s="6" t="inlineStr">
        <is>
          <t>A</t>
        </is>
      </c>
      <c r="K757" s="6" t="inlineStr">
        <is>
          <t>All ingredients on one side</t>
        </is>
      </c>
      <c r="L757" s="6" t="n">
        <v>17.3</v>
      </c>
      <c r="M757" s="6" t="inlineStr">
        <is>
          <t>Altera reference base</t>
        </is>
      </c>
      <c r="N757" s="6" t="n">
        <v>0</v>
      </c>
      <c r="O757" s="6" t="n">
        <v>17.3</v>
      </c>
      <c r="P757" s="6" t="inlineStr">
        <is>
          <t>yes</t>
        </is>
      </c>
      <c r="Q757" s="6" t="inlineStr">
        <is>
          <t>whole</t>
        </is>
      </c>
      <c r="R757" s="6" t="inlineStr">
        <is>
          <t>FG2</t>
        </is>
      </c>
      <c r="S757" s="6" t="inlineStr">
        <is>
          <t>dairy</t>
        </is>
      </c>
      <c r="T757" s="6" t="inlineStr">
        <is>
          <t>animal</t>
        </is>
      </c>
      <c r="U757" s="6" t="n"/>
      <c r="V757" s="6" t="n"/>
      <c r="W757" s="6" t="n">
        <v>10</v>
      </c>
      <c r="X757" s="6" t="n">
        <v>0.25</v>
      </c>
      <c r="Y757" s="6" t="inlineStr">
        <is>
          <t>declared</t>
        </is>
      </c>
      <c r="Z757" s="8" t="n">
        <v>71045</v>
      </c>
      <c r="AA757" s="9">
        <f>IF(H757="yes",Z757*X757,0)</f>
        <v/>
      </c>
      <c r="AB757" s="9">
        <f>IF(H757="yes",AA757*N(L757)/100,0)</f>
        <v/>
      </c>
      <c r="AC757" s="9">
        <f>IF(H757="yes",AA757*N(N757)/100,0)</f>
        <v/>
      </c>
      <c r="AD757" s="9">
        <f>IF(H757="yes",AA757*N(O757)/100,0)</f>
        <v/>
      </c>
      <c r="AE757" s="10">
        <f>IF(P757="yes",AA757/1000,0)</f>
        <v/>
      </c>
      <c r="AF757" s="10">
        <f>IF(R757="FG2",AE757*W757,AE757)</f>
        <v/>
      </c>
    </row>
    <row r="758">
      <c r="A758" s="6" t="inlineStr">
        <is>
          <t>HM00756</t>
        </is>
      </c>
      <c r="B758" s="7" t="inlineStr">
        <is>
          <t>8712345578220</t>
        </is>
      </c>
      <c r="C758" s="6" t="inlineStr">
        <is>
          <t>PENROCK CRUNCHY PEANUT BTR 1KG</t>
        </is>
      </c>
      <c r="D758" s="6" t="inlineStr">
        <is>
          <t>Crunchy peanut butter, 1kg</t>
        </is>
      </c>
      <c r="E758" s="6" t="inlineStr">
        <is>
          <t>Penrock</t>
        </is>
      </c>
      <c r="F758" s="6" t="inlineStr">
        <is>
          <t>Grocery</t>
        </is>
      </c>
      <c r="G758" s="6" t="inlineStr">
        <is>
          <t>Spreads</t>
        </is>
      </c>
      <c r="H758" s="6" t="inlineStr">
        <is>
          <t>yes</t>
        </is>
      </c>
      <c r="I758" s="6" t="inlineStr">
        <is>
          <t>Plant-based core</t>
        </is>
      </c>
      <c r="J758" s="6" t="inlineStr">
        <is>
          <t>B</t>
        </is>
      </c>
      <c r="K758" s="6" t="inlineStr">
        <is>
          <t>Follows the class</t>
        </is>
      </c>
      <c r="L758" s="6" t="n">
        <v>24.4</v>
      </c>
      <c r="M758" s="6" t="inlineStr">
        <is>
          <t>Declared by the retailer</t>
        </is>
      </c>
      <c r="N758" s="6" t="n">
        <v>24.4</v>
      </c>
      <c r="O758" s="6" t="n">
        <v>0</v>
      </c>
      <c r="P758" s="6" t="inlineStr">
        <is>
          <t>yes</t>
        </is>
      </c>
      <c r="Q758" s="6" t="inlineStr">
        <is>
          <t>whole</t>
        </is>
      </c>
      <c r="R758" s="6" t="inlineStr">
        <is>
          <t>FG1</t>
        </is>
      </c>
      <c r="S758" s="6" t="inlineStr">
        <is>
          <t>nuts</t>
        </is>
      </c>
      <c r="T758" s="6" t="inlineStr">
        <is>
          <t>plant</t>
        </is>
      </c>
      <c r="U758" s="6" t="n"/>
      <c r="V758" s="6" t="n"/>
      <c r="W758" s="6" t="n">
        <v>1</v>
      </c>
      <c r="X758" s="6" t="n">
        <v>1</v>
      </c>
      <c r="Y758" s="6" t="inlineStr">
        <is>
          <t>declared</t>
        </is>
      </c>
      <c r="Z758" s="8" t="n">
        <v>13299</v>
      </c>
      <c r="AA758" s="9">
        <f>IF(H758="yes",Z758*X758,0)</f>
        <v/>
      </c>
      <c r="AB758" s="9">
        <f>IF(H758="yes",AA758*N(L758)/100,0)</f>
        <v/>
      </c>
      <c r="AC758" s="9">
        <f>IF(H758="yes",AA758*N(N758)/100,0)</f>
        <v/>
      </c>
      <c r="AD758" s="9">
        <f>IF(H758="yes",AA758*N(O758)/100,0)</f>
        <v/>
      </c>
      <c r="AE758" s="10">
        <f>IF(P758="yes",AA758/1000,0)</f>
        <v/>
      </c>
      <c r="AF758" s="10">
        <f>IF(R758="FG2",AE758*W758,AE758)</f>
        <v/>
      </c>
    </row>
    <row r="759">
      <c r="A759" s="6" t="inlineStr">
        <is>
          <t>HM00757</t>
        </is>
      </c>
      <c r="B759" s="7" t="inlineStr">
        <is>
          <t>5012345981284</t>
        </is>
      </c>
      <c r="C759" s="6" t="inlineStr">
        <is>
          <t>COLA ZERO 6X330ML NUVELLE</t>
        </is>
      </c>
      <c r="D759" s="6" t="inlineStr">
        <is>
          <t>Cola, no sugar, 6x330ml</t>
        </is>
      </c>
      <c r="E759" s="6" t="inlineStr">
        <is>
          <t>Nuvelle</t>
        </is>
      </c>
      <c r="F759" s="6" t="inlineStr">
        <is>
          <t>Soft Drinks &amp; Water</t>
        </is>
      </c>
      <c r="G759" s="6" t="inlineStr">
        <is>
          <t>Soft Drinks</t>
        </is>
      </c>
      <c r="H759" s="6" t="inlineStr">
        <is>
          <t>yes</t>
        </is>
      </c>
      <c r="I759" s="6" t="inlineStr">
        <is>
          <t>Plant-based non-core</t>
        </is>
      </c>
      <c r="J759" s="6" t="inlineStr">
        <is>
          <t>A</t>
        </is>
      </c>
      <c r="K759" s="6" t="inlineStr">
        <is>
          <t>All ingredients on one side</t>
        </is>
      </c>
      <c r="L759" s="6" t="n">
        <v>0</v>
      </c>
      <c r="M759" s="6" t="inlineStr">
        <is>
          <t>Altera reference base</t>
        </is>
      </c>
      <c r="N759" s="6" t="n">
        <v>0</v>
      </c>
      <c r="O759" s="6" t="n">
        <v>0</v>
      </c>
      <c r="P759" s="6" t="inlineStr">
        <is>
          <t>no</t>
        </is>
      </c>
      <c r="Q759" s="6" t="n"/>
      <c r="R759" s="6" t="n"/>
      <c r="S759" s="6" t="n"/>
      <c r="T759" s="6" t="n"/>
      <c r="U759" s="6" t="n"/>
      <c r="V759" s="6" t="inlineStr">
        <is>
          <t>beverage</t>
        </is>
      </c>
      <c r="W759" s="6" t="n">
        <v>1</v>
      </c>
      <c r="X759" s="6" t="n">
        <v>1.98</v>
      </c>
      <c r="Y759" s="6" t="inlineStr">
        <is>
          <t>declared</t>
        </is>
      </c>
      <c r="Z759" s="8" t="n">
        <v>25234</v>
      </c>
      <c r="AA759" s="9">
        <f>IF(H759="yes",Z759*X759,0)</f>
        <v/>
      </c>
      <c r="AB759" s="9">
        <f>IF(H759="yes",AA759*N(L759)/100,0)</f>
        <v/>
      </c>
      <c r="AC759" s="9">
        <f>IF(H759="yes",AA759*N(N759)/100,0)</f>
        <v/>
      </c>
      <c r="AD759" s="9">
        <f>IF(H759="yes",AA759*N(O759)/100,0)</f>
        <v/>
      </c>
      <c r="AE759" s="10">
        <f>IF(P759="yes",AA759/1000,0)</f>
        <v/>
      </c>
      <c r="AF759" s="10">
        <f>IF(R759="FG2",AE759*W759,AE759)</f>
        <v/>
      </c>
    </row>
    <row r="760">
      <c r="A760" s="6" t="inlineStr">
        <is>
          <t>HM00758</t>
        </is>
      </c>
      <c r="B760" s="7" t="inlineStr">
        <is>
          <t>5012345119663</t>
        </is>
      </c>
      <c r="C760" s="6" t="inlineStr">
        <is>
          <t>BOLOGNESE SCE BF 690G QUILLAN</t>
        </is>
      </c>
      <c r="D760" s="6" t="inlineStr">
        <is>
          <t>Beef bolognese sauce, 690g</t>
        </is>
      </c>
      <c r="E760" s="6" t="inlineStr">
        <is>
          <t>Quillan</t>
        </is>
      </c>
      <c r="F760" s="6" t="inlineStr">
        <is>
          <t>Grocery</t>
        </is>
      </c>
      <c r="G760" s="6" t="inlineStr">
        <is>
          <t>Cooking Sauces</t>
        </is>
      </c>
      <c r="H760" s="6" t="inlineStr">
        <is>
          <t>yes</t>
        </is>
      </c>
      <c r="I760" s="6" t="inlineStr">
        <is>
          <t>Animal &amp; plant composite</t>
        </is>
      </c>
      <c r="J760" s="6" t="inlineStr">
        <is>
          <t>A</t>
        </is>
      </c>
      <c r="K760" s="6" t="inlineStr">
        <is>
          <t>NEVO food table (ratio only)</t>
        </is>
      </c>
      <c r="L760" s="6" t="n">
        <v>5.8</v>
      </c>
      <c r="M760" s="6" t="inlineStr">
        <is>
          <t>Declared by the retailer</t>
        </is>
      </c>
      <c r="N760" s="6" t="n">
        <v>1.04</v>
      </c>
      <c r="O760" s="6" t="n">
        <v>4.76</v>
      </c>
      <c r="P760" s="6" t="inlineStr">
        <is>
          <t>yes</t>
        </is>
      </c>
      <c r="Q760" s="6" t="inlineStr">
        <is>
          <t>composite</t>
        </is>
      </c>
      <c r="R760" s="6" t="n"/>
      <c r="S760" s="6" t="n"/>
      <c r="T760" s="6" t="n"/>
      <c r="U760" s="6" t="inlineStr">
        <is>
          <t>meat-based</t>
        </is>
      </c>
      <c r="V760" s="6" t="n"/>
      <c r="W760" s="6" t="n">
        <v>1</v>
      </c>
      <c r="X760" s="6" t="n">
        <v>0.6899999999999999</v>
      </c>
      <c r="Y760" s="6" t="inlineStr">
        <is>
          <t>declared</t>
        </is>
      </c>
      <c r="Z760" s="8" t="n">
        <v>9029</v>
      </c>
      <c r="AA760" s="9">
        <f>IF(H760="yes",Z760*X760,0)</f>
        <v/>
      </c>
      <c r="AB760" s="9">
        <f>IF(H760="yes",AA760*N(L760)/100,0)</f>
        <v/>
      </c>
      <c r="AC760" s="9">
        <f>IF(H760="yes",AA760*N(N760)/100,0)</f>
        <v/>
      </c>
      <c r="AD760" s="9">
        <f>IF(H760="yes",AA760*N(O760)/100,0)</f>
        <v/>
      </c>
      <c r="AE760" s="10">
        <f>IF(P760="yes",AA760/1000,0)</f>
        <v/>
      </c>
      <c r="AF760" s="10">
        <f>IF(R760="FG2",AE760*W760,AE760)</f>
        <v/>
      </c>
    </row>
    <row r="761">
      <c r="A761" s="6" t="inlineStr">
        <is>
          <t>HM00759</t>
        </is>
      </c>
      <c r="B761" s="7" t="inlineStr">
        <is>
          <t>5012345175638</t>
        </is>
      </c>
      <c r="C761" s="6" t="inlineStr">
        <is>
          <t>HM CASHEW NUTS 200G</t>
        </is>
      </c>
      <c r="D761" s="6" t="inlineStr">
        <is>
          <t>Cashew nuts, 200g</t>
        </is>
      </c>
      <c r="E761" s="6" t="inlineStr">
        <is>
          <t>Harbour Market</t>
        </is>
      </c>
      <c r="F761" s="6" t="inlineStr">
        <is>
          <t>Grocery</t>
        </is>
      </c>
      <c r="G761" s="6" t="inlineStr">
        <is>
          <t>Nuts &amp; Seeds</t>
        </is>
      </c>
      <c r="H761" s="6" t="inlineStr">
        <is>
          <t>yes</t>
        </is>
      </c>
      <c r="I761" s="6" t="inlineStr">
        <is>
          <t>Plant-based core</t>
        </is>
      </c>
      <c r="J761" s="6" t="inlineStr">
        <is>
          <t>A</t>
        </is>
      </c>
      <c r="K761" s="6" t="inlineStr">
        <is>
          <t>All ingredients on one side</t>
        </is>
      </c>
      <c r="L761" s="6" t="n">
        <v>16.9</v>
      </c>
      <c r="M761" s="6" t="inlineStr">
        <is>
          <t>Declared by the retailer</t>
        </is>
      </c>
      <c r="N761" s="6" t="n">
        <v>16.9</v>
      </c>
      <c r="O761" s="6" t="n">
        <v>0</v>
      </c>
      <c r="P761" s="6" t="inlineStr">
        <is>
          <t>yes</t>
        </is>
      </c>
      <c r="Q761" s="6" t="inlineStr">
        <is>
          <t>whole</t>
        </is>
      </c>
      <c r="R761" s="6" t="inlineStr">
        <is>
          <t>FG1</t>
        </is>
      </c>
      <c r="S761" s="6" t="inlineStr">
        <is>
          <t>nuts</t>
        </is>
      </c>
      <c r="T761" s="6" t="inlineStr">
        <is>
          <t>plant</t>
        </is>
      </c>
      <c r="U761" s="6" t="n"/>
      <c r="V761" s="6" t="n"/>
      <c r="W761" s="6" t="n">
        <v>1</v>
      </c>
      <c r="X761" s="6" t="n">
        <v>0.2</v>
      </c>
      <c r="Y761" s="6" t="inlineStr">
        <is>
          <t>declared</t>
        </is>
      </c>
      <c r="Z761" s="8" t="n">
        <v>16514</v>
      </c>
      <c r="AA761" s="9">
        <f>IF(H761="yes",Z761*X761,0)</f>
        <v/>
      </c>
      <c r="AB761" s="9">
        <f>IF(H761="yes",AA761*N(L761)/100,0)</f>
        <v/>
      </c>
      <c r="AC761" s="9">
        <f>IF(H761="yes",AA761*N(N761)/100,0)</f>
        <v/>
      </c>
      <c r="AD761" s="9">
        <f>IF(H761="yes",AA761*N(O761)/100,0)</f>
        <v/>
      </c>
      <c r="AE761" s="10">
        <f>IF(P761="yes",AA761/1000,0)</f>
        <v/>
      </c>
      <c r="AF761" s="10">
        <f>IF(R761="FG2",AE761*W761,AE761)</f>
        <v/>
      </c>
    </row>
    <row r="762">
      <c r="A762" s="6" t="inlineStr">
        <is>
          <t>HM00760</t>
        </is>
      </c>
      <c r="B762" s="7" t="inlineStr">
        <is>
          <t>4012345136203</t>
        </is>
      </c>
      <c r="C762" s="6" t="inlineStr">
        <is>
          <t>HM BROWN ONIONS EACH</t>
        </is>
      </c>
      <c r="D762" s="6" t="inlineStr">
        <is>
          <t>Brown onions</t>
        </is>
      </c>
      <c r="E762" s="6" t="inlineStr">
        <is>
          <t>Harbour Market</t>
        </is>
      </c>
      <c r="F762" s="6" t="inlineStr">
        <is>
          <t>Fruit &amp; Vegetables</t>
        </is>
      </c>
      <c r="G762" s="6" t="inlineStr">
        <is>
          <t>Vegetables</t>
        </is>
      </c>
      <c r="H762" s="6" t="inlineStr">
        <is>
          <t>yes</t>
        </is>
      </c>
      <c r="I762" s="6" t="inlineStr">
        <is>
          <t>Plant-based non-core</t>
        </is>
      </c>
      <c r="J762" s="6" t="inlineStr">
        <is>
          <t>B</t>
        </is>
      </c>
      <c r="K762" s="6" t="inlineStr">
        <is>
          <t>Follows the class</t>
        </is>
      </c>
      <c r="L762" s="6" t="n">
        <v>1.1</v>
      </c>
      <c r="M762" s="6" t="inlineStr">
        <is>
          <t>Median of the family</t>
        </is>
      </c>
      <c r="N762" s="6" t="n">
        <v>1.1</v>
      </c>
      <c r="O762" s="6" t="n">
        <v>0</v>
      </c>
      <c r="P762" s="6" t="inlineStr">
        <is>
          <t>yes</t>
        </is>
      </c>
      <c r="Q762" s="6" t="inlineStr">
        <is>
          <t>whole</t>
        </is>
      </c>
      <c r="R762" s="6" t="inlineStr">
        <is>
          <t>FG4</t>
        </is>
      </c>
      <c r="S762" s="6" t="n"/>
      <c r="T762" s="6" t="inlineStr">
        <is>
          <t>plant</t>
        </is>
      </c>
      <c r="U762" s="6" t="n"/>
      <c r="V762" s="6" t="n"/>
      <c r="W762" s="6" t="n">
        <v>1</v>
      </c>
      <c r="X762" s="6" t="n">
        <v>0.3</v>
      </c>
      <c r="Y762" s="6" t="inlineStr">
        <is>
          <t>typical_piece</t>
        </is>
      </c>
      <c r="Z762" s="8" t="n">
        <v>15322</v>
      </c>
      <c r="AA762" s="9">
        <f>IF(H762="yes",Z762*X762,0)</f>
        <v/>
      </c>
      <c r="AB762" s="9">
        <f>IF(H762="yes",AA762*N(L762)/100,0)</f>
        <v/>
      </c>
      <c r="AC762" s="9">
        <f>IF(H762="yes",AA762*N(N762)/100,0)</f>
        <v/>
      </c>
      <c r="AD762" s="9">
        <f>IF(H762="yes",AA762*N(O762)/100,0)</f>
        <v/>
      </c>
      <c r="AE762" s="10">
        <f>IF(P762="yes",AA762/1000,0)</f>
        <v/>
      </c>
      <c r="AF762" s="10">
        <f>IF(R762="FG2",AE762*W762,AE762)</f>
        <v/>
      </c>
    </row>
    <row r="763">
      <c r="A763" s="6" t="inlineStr">
        <is>
          <t>HM00761</t>
        </is>
      </c>
      <c r="B763" s="7" t="inlineStr">
        <is>
          <t>5012345732534</t>
        </is>
      </c>
      <c r="C763" s="6" t="inlineStr">
        <is>
          <t>CASHEW NUTS 500G PENROCK</t>
        </is>
      </c>
      <c r="D763" s="6" t="inlineStr">
        <is>
          <t>Cashew nuts, 500g</t>
        </is>
      </c>
      <c r="E763" s="6" t="inlineStr">
        <is>
          <t>Penrock</t>
        </is>
      </c>
      <c r="F763" s="6" t="inlineStr">
        <is>
          <t>Grocery</t>
        </is>
      </c>
      <c r="G763" s="6" t="inlineStr">
        <is>
          <t>Nuts &amp; Seeds</t>
        </is>
      </c>
      <c r="H763" s="6" t="inlineStr">
        <is>
          <t>yes</t>
        </is>
      </c>
      <c r="I763" s="6" t="inlineStr">
        <is>
          <t>Plant-based core</t>
        </is>
      </c>
      <c r="J763" s="6" t="inlineStr">
        <is>
          <t>A</t>
        </is>
      </c>
      <c r="K763" s="6" t="inlineStr">
        <is>
          <t>All ingredients on one side</t>
        </is>
      </c>
      <c r="L763" s="6" t="n">
        <v>17.8</v>
      </c>
      <c r="M763" s="6" t="inlineStr">
        <is>
          <t>Median of the family</t>
        </is>
      </c>
      <c r="N763" s="6" t="n">
        <v>17.8</v>
      </c>
      <c r="O763" s="6" t="n">
        <v>0</v>
      </c>
      <c r="P763" s="6" t="inlineStr">
        <is>
          <t>yes</t>
        </is>
      </c>
      <c r="Q763" s="6" t="inlineStr">
        <is>
          <t>whole</t>
        </is>
      </c>
      <c r="R763" s="6" t="inlineStr">
        <is>
          <t>FG1</t>
        </is>
      </c>
      <c r="S763" s="6" t="inlineStr">
        <is>
          <t>nuts</t>
        </is>
      </c>
      <c r="T763" s="6" t="inlineStr">
        <is>
          <t>plant</t>
        </is>
      </c>
      <c r="U763" s="6" t="n"/>
      <c r="V763" s="6" t="n"/>
      <c r="W763" s="6" t="n">
        <v>1</v>
      </c>
      <c r="X763" s="6" t="n">
        <v>0.5</v>
      </c>
      <c r="Y763" s="6" t="inlineStr">
        <is>
          <t>declared</t>
        </is>
      </c>
      <c r="Z763" s="8" t="n">
        <v>17528</v>
      </c>
      <c r="AA763" s="9">
        <f>IF(H763="yes",Z763*X763,0)</f>
        <v/>
      </c>
      <c r="AB763" s="9">
        <f>IF(H763="yes",AA763*N(L763)/100,0)</f>
        <v/>
      </c>
      <c r="AC763" s="9">
        <f>IF(H763="yes",AA763*N(N763)/100,0)</f>
        <v/>
      </c>
      <c r="AD763" s="9">
        <f>IF(H763="yes",AA763*N(O763)/100,0)</f>
        <v/>
      </c>
      <c r="AE763" s="10">
        <f>IF(P763="yes",AA763/1000,0)</f>
        <v/>
      </c>
      <c r="AF763" s="10">
        <f>IF(R763="FG2",AE763*W763,AE763)</f>
        <v/>
      </c>
    </row>
    <row r="764">
      <c r="A764" s="6" t="inlineStr">
        <is>
          <t>HM00762</t>
        </is>
      </c>
      <c r="B764" s="7" t="inlineStr">
        <is>
          <t>5012345071312</t>
        </is>
      </c>
      <c r="C764" s="6" t="inlineStr">
        <is>
          <t>HM MIXED PEPPERS EACH</t>
        </is>
      </c>
      <c r="D764" s="6" t="inlineStr">
        <is>
          <t>Mixed peppers</t>
        </is>
      </c>
      <c r="E764" s="6" t="inlineStr">
        <is>
          <t>Harbour Market</t>
        </is>
      </c>
      <c r="F764" s="6" t="inlineStr">
        <is>
          <t>Fruit &amp; Vegetables</t>
        </is>
      </c>
      <c r="G764" s="6" t="inlineStr">
        <is>
          <t>Vegetables</t>
        </is>
      </c>
      <c r="H764" s="6" t="inlineStr">
        <is>
          <t>yes</t>
        </is>
      </c>
      <c r="I764" s="6" t="inlineStr">
        <is>
          <t>Plant-based non-core</t>
        </is>
      </c>
      <c r="J764" s="6" t="inlineStr">
        <is>
          <t>B</t>
        </is>
      </c>
      <c r="K764" s="6" t="inlineStr">
        <is>
          <t>Follows the class</t>
        </is>
      </c>
      <c r="L764" s="6" t="n">
        <v>0.85</v>
      </c>
      <c r="M764" s="6" t="inlineStr">
        <is>
          <t>Median of the family</t>
        </is>
      </c>
      <c r="N764" s="6" t="n">
        <v>0.85</v>
      </c>
      <c r="O764" s="6" t="n">
        <v>0</v>
      </c>
      <c r="P764" s="6" t="inlineStr">
        <is>
          <t>yes</t>
        </is>
      </c>
      <c r="Q764" s="6" t="inlineStr">
        <is>
          <t>whole</t>
        </is>
      </c>
      <c r="R764" s="6" t="inlineStr">
        <is>
          <t>FG4</t>
        </is>
      </c>
      <c r="S764" s="6" t="n"/>
      <c r="T764" s="6" t="inlineStr">
        <is>
          <t>plant</t>
        </is>
      </c>
      <c r="U764" s="6" t="n"/>
      <c r="V764" s="6" t="n"/>
      <c r="W764" s="6" t="n">
        <v>1</v>
      </c>
      <c r="X764" s="6" t="n">
        <v>0.16</v>
      </c>
      <c r="Y764" s="6" t="inlineStr">
        <is>
          <t>typical_piece</t>
        </is>
      </c>
      <c r="Z764" s="8" t="n">
        <v>21435</v>
      </c>
      <c r="AA764" s="9">
        <f>IF(H764="yes",Z764*X764,0)</f>
        <v/>
      </c>
      <c r="AB764" s="9">
        <f>IF(H764="yes",AA764*N(L764)/100,0)</f>
        <v/>
      </c>
      <c r="AC764" s="9">
        <f>IF(H764="yes",AA764*N(N764)/100,0)</f>
        <v/>
      </c>
      <c r="AD764" s="9">
        <f>IF(H764="yes",AA764*N(O764)/100,0)</f>
        <v/>
      </c>
      <c r="AE764" s="10">
        <f>IF(P764="yes",AA764/1000,0)</f>
        <v/>
      </c>
      <c r="AF764" s="10">
        <f>IF(R764="FG2",AE764*W764,AE764)</f>
        <v/>
      </c>
    </row>
    <row r="765">
      <c r="A765" s="6" t="inlineStr">
        <is>
          <t>HM00763</t>
        </is>
      </c>
      <c r="B765" s="7" t="inlineStr">
        <is>
          <t>5012345633503</t>
        </is>
      </c>
      <c r="C765" s="6" t="inlineStr">
        <is>
          <t>PENROCK OAT RAISIN BARS 4X30G</t>
        </is>
      </c>
      <c r="D765" s="6" t="inlineStr">
        <is>
          <t>Oat &amp; raisin bars, 4x30g</t>
        </is>
      </c>
      <c r="E765" s="6" t="inlineStr">
        <is>
          <t>Penrock</t>
        </is>
      </c>
      <c r="F765" s="6" t="inlineStr">
        <is>
          <t>Breakfast &amp; Snacks</t>
        </is>
      </c>
      <c r="G765" s="6" t="inlineStr">
        <is>
          <t>Cereal Bars</t>
        </is>
      </c>
      <c r="H765" s="6" t="inlineStr">
        <is>
          <t>yes</t>
        </is>
      </c>
      <c r="I765" s="6" t="inlineStr">
        <is>
          <t>Plant-based non-core</t>
        </is>
      </c>
      <c r="J765" s="6" t="inlineStr">
        <is>
          <t>A</t>
        </is>
      </c>
      <c r="K765" s="6" t="inlineStr">
        <is>
          <t>All ingredients on one side</t>
        </is>
      </c>
      <c r="L765" s="6" t="n">
        <v>6</v>
      </c>
      <c r="M765" s="6" t="inlineStr">
        <is>
          <t>Declared by the retailer</t>
        </is>
      </c>
      <c r="N765" s="6" t="n">
        <v>6</v>
      </c>
      <c r="O765" s="6" t="n">
        <v>0</v>
      </c>
      <c r="P765" s="6" t="inlineStr">
        <is>
          <t>yes</t>
        </is>
      </c>
      <c r="Q765" s="6" t="inlineStr">
        <is>
          <t>whole</t>
        </is>
      </c>
      <c r="R765" s="6" t="inlineStr">
        <is>
          <t>FG7</t>
        </is>
      </c>
      <c r="S765" s="6" t="n"/>
      <c r="T765" s="6" t="inlineStr">
        <is>
          <t>plant</t>
        </is>
      </c>
      <c r="U765" s="6" t="n"/>
      <c r="V765" s="6" t="n"/>
      <c r="W765" s="6" t="n">
        <v>1</v>
      </c>
      <c r="X765" s="6" t="n">
        <v>0.12</v>
      </c>
      <c r="Y765" s="6" t="inlineStr">
        <is>
          <t>declared</t>
        </is>
      </c>
      <c r="Z765" s="8" t="n">
        <v>9083</v>
      </c>
      <c r="AA765" s="9">
        <f>IF(H765="yes",Z765*X765,0)</f>
        <v/>
      </c>
      <c r="AB765" s="9">
        <f>IF(H765="yes",AA765*N(L765)/100,0)</f>
        <v/>
      </c>
      <c r="AC765" s="9">
        <f>IF(H765="yes",AA765*N(N765)/100,0)</f>
        <v/>
      </c>
      <c r="AD765" s="9">
        <f>IF(H765="yes",AA765*N(O765)/100,0)</f>
        <v/>
      </c>
      <c r="AE765" s="10">
        <f>IF(P765="yes",AA765/1000,0)</f>
        <v/>
      </c>
      <c r="AF765" s="10">
        <f>IF(R765="FG2",AE765*W765,AE765)</f>
        <v/>
      </c>
    </row>
    <row r="766">
      <c r="A766" s="6" t="inlineStr">
        <is>
          <t>HM00764</t>
        </is>
      </c>
      <c r="B766" s="7" t="inlineStr">
        <is>
          <t>5012345804736</t>
        </is>
      </c>
      <c r="C766" s="6" t="inlineStr">
        <is>
          <t>SMKD HAM 8SL 200G TARROW</t>
        </is>
      </c>
      <c r="D766" s="6" t="inlineStr">
        <is>
          <t>Smoked ham, 8sl 200g</t>
        </is>
      </c>
      <c r="E766" s="6" t="inlineStr">
        <is>
          <t>Tarrow Farm</t>
        </is>
      </c>
      <c r="F766" s="6" t="inlineStr">
        <is>
          <t>Deli</t>
        </is>
      </c>
      <c r="G766" s="6" t="inlineStr">
        <is>
          <t>Cooked Meats</t>
        </is>
      </c>
      <c r="H766" s="6" t="inlineStr">
        <is>
          <t>yes</t>
        </is>
      </c>
      <c r="I766" s="6" t="inlineStr">
        <is>
          <t>Animal core</t>
        </is>
      </c>
      <c r="J766" s="6" t="inlineStr">
        <is>
          <t>A</t>
        </is>
      </c>
      <c r="K766" s="6" t="inlineStr">
        <is>
          <t>All ingredients on one side</t>
        </is>
      </c>
      <c r="L766" s="6" t="n">
        <v>19</v>
      </c>
      <c r="M766" s="6" t="inlineStr">
        <is>
          <t>Declared by the retailer</t>
        </is>
      </c>
      <c r="N766" s="6" t="n">
        <v>0</v>
      </c>
      <c r="O766" s="6" t="n">
        <v>19</v>
      </c>
      <c r="P766" s="6" t="inlineStr">
        <is>
          <t>yes</t>
        </is>
      </c>
      <c r="Q766" s="6" t="inlineStr">
        <is>
          <t>whole</t>
        </is>
      </c>
      <c r="R766" s="6" t="inlineStr">
        <is>
          <t>FG1</t>
        </is>
      </c>
      <c r="S766" s="6" t="inlineStr">
        <is>
          <t>red meat</t>
        </is>
      </c>
      <c r="T766" s="6" t="inlineStr">
        <is>
          <t>animal</t>
        </is>
      </c>
      <c r="U766" s="6" t="n"/>
      <c r="V766" s="6" t="n"/>
      <c r="W766" s="6" t="n">
        <v>1</v>
      </c>
      <c r="X766" s="6" t="n">
        <v>0.2</v>
      </c>
      <c r="Y766" s="6" t="inlineStr">
        <is>
          <t>declared</t>
        </is>
      </c>
      <c r="Z766" s="8" t="n">
        <v>107886</v>
      </c>
      <c r="AA766" s="9">
        <f>IF(H766="yes",Z766*X766,0)</f>
        <v/>
      </c>
      <c r="AB766" s="9">
        <f>IF(H766="yes",AA766*N(L766)/100,0)</f>
        <v/>
      </c>
      <c r="AC766" s="9">
        <f>IF(H766="yes",AA766*N(N766)/100,0)</f>
        <v/>
      </c>
      <c r="AD766" s="9">
        <f>IF(H766="yes",AA766*N(O766)/100,0)</f>
        <v/>
      </c>
      <c r="AE766" s="10">
        <f>IF(P766="yes",AA766/1000,0)</f>
        <v/>
      </c>
      <c r="AF766" s="10">
        <f>IF(R766="FG2",AE766*W766,AE766)</f>
        <v/>
      </c>
    </row>
    <row r="767">
      <c r="A767" s="6" t="inlineStr">
        <is>
          <t>HM00765</t>
        </is>
      </c>
      <c r="B767" s="7" t="inlineStr">
        <is>
          <t>3012345062206</t>
        </is>
      </c>
      <c r="C767" s="6" t="inlineStr">
        <is>
          <t>CASTELNA SUNFLOWER OIL 500ML</t>
        </is>
      </c>
      <c r="D767" s="6" t="inlineStr">
        <is>
          <t>Sunflower oil, 500ml</t>
        </is>
      </c>
      <c r="E767" s="6" t="inlineStr">
        <is>
          <t>Castelna</t>
        </is>
      </c>
      <c r="F767" s="6" t="inlineStr">
        <is>
          <t>Grocery</t>
        </is>
      </c>
      <c r="G767" s="6" t="inlineStr">
        <is>
          <t>Oils</t>
        </is>
      </c>
      <c r="H767" s="6" t="inlineStr">
        <is>
          <t>yes</t>
        </is>
      </c>
      <c r="I767" s="6" t="inlineStr">
        <is>
          <t>Plant-based non-core</t>
        </is>
      </c>
      <c r="J767" s="6" t="inlineStr">
        <is>
          <t>A</t>
        </is>
      </c>
      <c r="K767" s="6" t="inlineStr">
        <is>
          <t>All ingredients on one side</t>
        </is>
      </c>
      <c r="L767" s="6" t="n">
        <v>0</v>
      </c>
      <c r="M767" s="6" t="inlineStr">
        <is>
          <t>Open Food Facts, by EAN</t>
        </is>
      </c>
      <c r="N767" s="6" t="n">
        <v>0</v>
      </c>
      <c r="O767" s="6" t="n">
        <v>0</v>
      </c>
      <c r="P767" s="6" t="inlineStr">
        <is>
          <t>yes</t>
        </is>
      </c>
      <c r="Q767" s="6" t="inlineStr">
        <is>
          <t>whole</t>
        </is>
      </c>
      <c r="R767" s="6" t="inlineStr">
        <is>
          <t>FG3</t>
        </is>
      </c>
      <c r="S767" s="6" t="inlineStr">
        <is>
          <t>plant fat</t>
        </is>
      </c>
      <c r="T767" s="6" t="inlineStr">
        <is>
          <t>plant</t>
        </is>
      </c>
      <c r="U767" s="6" t="n"/>
      <c r="V767" s="6" t="n"/>
      <c r="W767" s="6" t="n">
        <v>1</v>
      </c>
      <c r="X767" s="6" t="n">
        <v>0.46</v>
      </c>
      <c r="Y767" s="6" t="inlineStr">
        <is>
          <t>declared</t>
        </is>
      </c>
      <c r="Z767" s="8" t="n">
        <v>11358</v>
      </c>
      <c r="AA767" s="9">
        <f>IF(H767="yes",Z767*X767,0)</f>
        <v/>
      </c>
      <c r="AB767" s="9">
        <f>IF(H767="yes",AA767*N(L767)/100,0)</f>
        <v/>
      </c>
      <c r="AC767" s="9">
        <f>IF(H767="yes",AA767*N(N767)/100,0)</f>
        <v/>
      </c>
      <c r="AD767" s="9">
        <f>IF(H767="yes",AA767*N(O767)/100,0)</f>
        <v/>
      </c>
      <c r="AE767" s="10">
        <f>IF(P767="yes",AA767/1000,0)</f>
        <v/>
      </c>
      <c r="AF767" s="10">
        <f>IF(R767="FG2",AE767*W767,AE767)</f>
        <v/>
      </c>
    </row>
    <row r="768">
      <c r="A768" s="6" t="inlineStr">
        <is>
          <t>HM00766</t>
        </is>
      </c>
      <c r="B768" s="7" t="inlineStr">
        <is>
          <t>3012345853750</t>
        </is>
      </c>
      <c r="C768" s="6" t="inlineStr">
        <is>
          <t>HM ARBORIO RICE 500G</t>
        </is>
      </c>
      <c r="D768" s="6" t="inlineStr">
        <is>
          <t>Arborio rice, 500g</t>
        </is>
      </c>
      <c r="E768" s="6" t="inlineStr">
        <is>
          <t>Harbour Market</t>
        </is>
      </c>
      <c r="F768" s="6" t="inlineStr">
        <is>
          <t>Grocery</t>
        </is>
      </c>
      <c r="G768" s="6" t="inlineStr">
        <is>
          <t>Rice &amp; Grains</t>
        </is>
      </c>
      <c r="H768" s="6" t="inlineStr">
        <is>
          <t>yes</t>
        </is>
      </c>
      <c r="I768" s="6" t="inlineStr">
        <is>
          <t>Plant-based non-core</t>
        </is>
      </c>
      <c r="J768" s="6" t="inlineStr">
        <is>
          <t>A</t>
        </is>
      </c>
      <c r="K768" s="6" t="inlineStr">
        <is>
          <t>All ingredients on one side</t>
        </is>
      </c>
      <c r="L768" s="6" t="n">
        <v>7.4</v>
      </c>
      <c r="M768" s="6" t="inlineStr">
        <is>
          <t>Declared by the retailer</t>
        </is>
      </c>
      <c r="N768" s="6" t="n">
        <v>7.4</v>
      </c>
      <c r="O768" s="6" t="n">
        <v>0</v>
      </c>
      <c r="P768" s="6" t="inlineStr">
        <is>
          <t>yes</t>
        </is>
      </c>
      <c r="Q768" s="6" t="inlineStr">
        <is>
          <t>whole</t>
        </is>
      </c>
      <c r="R768" s="6" t="inlineStr">
        <is>
          <t>FG5</t>
        </is>
      </c>
      <c r="S768" s="6" t="inlineStr">
        <is>
          <t>refined grain</t>
        </is>
      </c>
      <c r="T768" s="6" t="inlineStr">
        <is>
          <t>plant</t>
        </is>
      </c>
      <c r="U768" s="6" t="n"/>
      <c r="V768" s="6" t="n"/>
      <c r="W768" s="6" t="n">
        <v>1</v>
      </c>
      <c r="X768" s="6" t="n">
        <v>0.5</v>
      </c>
      <c r="Y768" s="6" t="inlineStr">
        <is>
          <t>label</t>
        </is>
      </c>
      <c r="Z768" s="8" t="n">
        <v>29661</v>
      </c>
      <c r="AA768" s="9">
        <f>IF(H768="yes",Z768*X768,0)</f>
        <v/>
      </c>
      <c r="AB768" s="9">
        <f>IF(H768="yes",AA768*N(L768)/100,0)</f>
        <v/>
      </c>
      <c r="AC768" s="9">
        <f>IF(H768="yes",AA768*N(N768)/100,0)</f>
        <v/>
      </c>
      <c r="AD768" s="9">
        <f>IF(H768="yes",AA768*N(O768)/100,0)</f>
        <v/>
      </c>
      <c r="AE768" s="10">
        <f>IF(P768="yes",AA768/1000,0)</f>
        <v/>
      </c>
      <c r="AF768" s="10">
        <f>IF(R768="FG2",AE768*W768,AE768)</f>
        <v/>
      </c>
    </row>
    <row r="769">
      <c r="A769" s="6" t="inlineStr">
        <is>
          <t>HM00767</t>
        </is>
      </c>
      <c r="B769" s="7" t="inlineStr">
        <is>
          <t>3012345692403</t>
        </is>
      </c>
      <c r="C769" s="6" t="inlineStr">
        <is>
          <t>HM SARDINES OLV OIL 3X145G</t>
        </is>
      </c>
      <c r="D769" s="6" t="inlineStr">
        <is>
          <t>Sardines in olive oil, 3x145g</t>
        </is>
      </c>
      <c r="E769" s="6" t="inlineStr">
        <is>
          <t>Harbour Market</t>
        </is>
      </c>
      <c r="F769" s="6" t="inlineStr">
        <is>
          <t>Fish &amp; Seafood</t>
        </is>
      </c>
      <c r="G769" s="6" t="inlineStr">
        <is>
          <t>Canned Fish</t>
        </is>
      </c>
      <c r="H769" s="6" t="inlineStr">
        <is>
          <t>yes</t>
        </is>
      </c>
      <c r="I769" s="6" t="inlineStr">
        <is>
          <t>Animal core</t>
        </is>
      </c>
      <c r="J769" s="6" t="inlineStr">
        <is>
          <t>A</t>
        </is>
      </c>
      <c r="K769" s="6" t="inlineStr">
        <is>
          <t>All ingredients on one side</t>
        </is>
      </c>
      <c r="L769" s="6" t="n">
        <v>22.7</v>
      </c>
      <c r="M769" s="6" t="inlineStr">
        <is>
          <t>Open Food Facts, by EAN</t>
        </is>
      </c>
      <c r="N769" s="6" t="n">
        <v>0</v>
      </c>
      <c r="O769" s="6" t="n">
        <v>22.7</v>
      </c>
      <c r="P769" s="6" t="inlineStr">
        <is>
          <t>yes</t>
        </is>
      </c>
      <c r="Q769" s="6" t="inlineStr">
        <is>
          <t>whole</t>
        </is>
      </c>
      <c r="R769" s="6" t="inlineStr">
        <is>
          <t>FG1</t>
        </is>
      </c>
      <c r="S769" s="6" t="inlineStr">
        <is>
          <t>fish shellfish</t>
        </is>
      </c>
      <c r="T769" s="6" t="inlineStr">
        <is>
          <t>animal</t>
        </is>
      </c>
      <c r="U769" s="6" t="n"/>
      <c r="V769" s="6" t="n"/>
      <c r="W769" s="6" t="n">
        <v>1</v>
      </c>
      <c r="X769" s="6" t="n">
        <v>0.435</v>
      </c>
      <c r="Y769" s="6" t="inlineStr">
        <is>
          <t>declared</t>
        </is>
      </c>
      <c r="Z769" s="8" t="n">
        <v>89263</v>
      </c>
      <c r="AA769" s="9">
        <f>IF(H769="yes",Z769*X769,0)</f>
        <v/>
      </c>
      <c r="AB769" s="9">
        <f>IF(H769="yes",AA769*N(L769)/100,0)</f>
        <v/>
      </c>
      <c r="AC769" s="9">
        <f>IF(H769="yes",AA769*N(N769)/100,0)</f>
        <v/>
      </c>
      <c r="AD769" s="9">
        <f>IF(H769="yes",AA769*N(O769)/100,0)</f>
        <v/>
      </c>
      <c r="AE769" s="10">
        <f>IF(P769="yes",AA769/1000,0)</f>
        <v/>
      </c>
      <c r="AF769" s="10">
        <f>IF(R769="FG2",AE769*W769,AE769)</f>
        <v/>
      </c>
    </row>
    <row r="770">
      <c r="A770" s="6" t="inlineStr">
        <is>
          <t>HM00768</t>
        </is>
      </c>
      <c r="B770" s="7" t="inlineStr">
        <is>
          <t>4012345339031</t>
        </is>
      </c>
      <c r="C770" s="6" t="inlineStr">
        <is>
          <t>KESTREL SALMON FLT SKINLESS 2X125G</t>
        </is>
      </c>
      <c r="D770" s="6" t="inlineStr">
        <is>
          <t>Skinless salmon fillets, 2x125g</t>
        </is>
      </c>
      <c r="E770" s="6" t="inlineStr">
        <is>
          <t>Kestrel Bay</t>
        </is>
      </c>
      <c r="F770" s="6" t="inlineStr">
        <is>
          <t>Fish &amp; Seafood</t>
        </is>
      </c>
      <c r="G770" s="6" t="inlineStr">
        <is>
          <t>Fresh Fish</t>
        </is>
      </c>
      <c r="H770" s="6" t="inlineStr">
        <is>
          <t>yes</t>
        </is>
      </c>
      <c r="I770" s="6" t="inlineStr">
        <is>
          <t>Animal core</t>
        </is>
      </c>
      <c r="J770" s="6" t="inlineStr">
        <is>
          <t>A</t>
        </is>
      </c>
      <c r="K770" s="6" t="inlineStr">
        <is>
          <t>All ingredients on one side</t>
        </is>
      </c>
      <c r="L770" s="6" t="n">
        <v>19.7</v>
      </c>
      <c r="M770" s="6" t="inlineStr">
        <is>
          <t>Name match (CIQUAL / NEVO)</t>
        </is>
      </c>
      <c r="N770" s="6" t="n">
        <v>0</v>
      </c>
      <c r="O770" s="6" t="n">
        <v>19.7</v>
      </c>
      <c r="P770" s="6" t="inlineStr">
        <is>
          <t>yes</t>
        </is>
      </c>
      <c r="Q770" s="6" t="inlineStr">
        <is>
          <t>whole</t>
        </is>
      </c>
      <c r="R770" s="6" t="inlineStr">
        <is>
          <t>FG1</t>
        </is>
      </c>
      <c r="S770" s="6" t="inlineStr">
        <is>
          <t>fish shellfish</t>
        </is>
      </c>
      <c r="T770" s="6" t="inlineStr">
        <is>
          <t>animal</t>
        </is>
      </c>
      <c r="U770" s="6" t="n"/>
      <c r="V770" s="6" t="n"/>
      <c r="W770" s="6" t="n">
        <v>1</v>
      </c>
      <c r="X770" s="6" t="n">
        <v>0.25</v>
      </c>
      <c r="Y770" s="6" t="inlineStr">
        <is>
          <t>declared</t>
        </is>
      </c>
      <c r="Z770" s="8" t="n">
        <v>48736</v>
      </c>
      <c r="AA770" s="9">
        <f>IF(H770="yes",Z770*X770,0)</f>
        <v/>
      </c>
      <c r="AB770" s="9">
        <f>IF(H770="yes",AA770*N(L770)/100,0)</f>
        <v/>
      </c>
      <c r="AC770" s="9">
        <f>IF(H770="yes",AA770*N(N770)/100,0)</f>
        <v/>
      </c>
      <c r="AD770" s="9">
        <f>IF(H770="yes",AA770*N(O770)/100,0)</f>
        <v/>
      </c>
      <c r="AE770" s="10">
        <f>IF(P770="yes",AA770/1000,0)</f>
        <v/>
      </c>
      <c r="AF770" s="10">
        <f>IF(R770="FG2",AE770*W770,AE770)</f>
        <v/>
      </c>
    </row>
    <row r="771">
      <c r="A771" s="6" t="inlineStr">
        <is>
          <t>HM00769</t>
        </is>
      </c>
      <c r="B771" s="7" t="inlineStr">
        <is>
          <t>3012345098380</t>
        </is>
      </c>
      <c r="C771" s="6" t="inlineStr">
        <is>
          <t>HM PASSATA 690G</t>
        </is>
      </c>
      <c r="D771" s="6" t="inlineStr">
        <is>
          <t>Sieved tomatoes (passata), 690g</t>
        </is>
      </c>
      <c r="E771" s="6" t="inlineStr">
        <is>
          <t>Harbour Market</t>
        </is>
      </c>
      <c r="F771" s="6" t="inlineStr">
        <is>
          <t>Grocery</t>
        </is>
      </c>
      <c r="G771" s="6" t="inlineStr">
        <is>
          <t>Canned Vegetables</t>
        </is>
      </c>
      <c r="H771" s="6" t="inlineStr">
        <is>
          <t>yes</t>
        </is>
      </c>
      <c r="I771" s="6" t="inlineStr">
        <is>
          <t>Plant-based non-core</t>
        </is>
      </c>
      <c r="J771" s="6" t="inlineStr">
        <is>
          <t>A</t>
        </is>
      </c>
      <c r="K771" s="6" t="inlineStr">
        <is>
          <t>All ingredients on one side</t>
        </is>
      </c>
      <c r="L771" s="6" t="n">
        <v>1.1</v>
      </c>
      <c r="M771" s="6" t="inlineStr">
        <is>
          <t>Declared by the retailer</t>
        </is>
      </c>
      <c r="N771" s="6" t="n">
        <v>1.1</v>
      </c>
      <c r="O771" s="6" t="n">
        <v>0</v>
      </c>
      <c r="P771" s="6" t="inlineStr">
        <is>
          <t>yes</t>
        </is>
      </c>
      <c r="Q771" s="6" t="inlineStr">
        <is>
          <t>whole</t>
        </is>
      </c>
      <c r="R771" s="6" t="inlineStr">
        <is>
          <t>FG4</t>
        </is>
      </c>
      <c r="S771" s="6" t="n"/>
      <c r="T771" s="6" t="inlineStr">
        <is>
          <t>plant</t>
        </is>
      </c>
      <c r="U771" s="6" t="n"/>
      <c r="V771" s="6" t="n"/>
      <c r="W771" s="6" t="n">
        <v>1</v>
      </c>
      <c r="X771" s="6" t="n">
        <v>0.6899999999999999</v>
      </c>
      <c r="Y771" s="6" t="inlineStr">
        <is>
          <t>label</t>
        </is>
      </c>
      <c r="Z771" s="8" t="n">
        <v>57609</v>
      </c>
      <c r="AA771" s="9">
        <f>IF(H771="yes",Z771*X771,0)</f>
        <v/>
      </c>
      <c r="AB771" s="9">
        <f>IF(H771="yes",AA771*N(L771)/100,0)</f>
        <v/>
      </c>
      <c r="AC771" s="9">
        <f>IF(H771="yes",AA771*N(N771)/100,0)</f>
        <v/>
      </c>
      <c r="AD771" s="9">
        <f>IF(H771="yes",AA771*N(O771)/100,0)</f>
        <v/>
      </c>
      <c r="AE771" s="10">
        <f>IF(P771="yes",AA771/1000,0)</f>
        <v/>
      </c>
      <c r="AF771" s="10">
        <f>IF(R771="FG2",AE771*W771,AE771)</f>
        <v/>
      </c>
    </row>
    <row r="772">
      <c r="A772" s="6" t="inlineStr">
        <is>
          <t>HM00770</t>
        </is>
      </c>
      <c r="B772" s="7" t="inlineStr">
        <is>
          <t>5012345245973</t>
        </is>
      </c>
      <c r="C772" s="6" t="inlineStr">
        <is>
          <t>ORVALIS ARBORIO RICE 1KG</t>
        </is>
      </c>
      <c r="D772" s="6" t="inlineStr">
        <is>
          <t>Arborio rice, 1kg</t>
        </is>
      </c>
      <c r="E772" s="6" t="inlineStr">
        <is>
          <t>Orvalis</t>
        </is>
      </c>
      <c r="F772" s="6" t="inlineStr">
        <is>
          <t>Grocery</t>
        </is>
      </c>
      <c r="G772" s="6" t="inlineStr">
        <is>
          <t>Rice &amp; Grains</t>
        </is>
      </c>
      <c r="H772" s="6" t="inlineStr">
        <is>
          <t>yes</t>
        </is>
      </c>
      <c r="I772" s="6" t="inlineStr">
        <is>
          <t>Plant-based non-core</t>
        </is>
      </c>
      <c r="J772" s="6" t="inlineStr">
        <is>
          <t>B</t>
        </is>
      </c>
      <c r="K772" s="6" t="inlineStr">
        <is>
          <t>Follows the class</t>
        </is>
      </c>
      <c r="L772" s="6" t="n">
        <v>7.3</v>
      </c>
      <c r="M772" s="6" t="inlineStr">
        <is>
          <t>Name match (CIQUAL / NEVO)</t>
        </is>
      </c>
      <c r="N772" s="6" t="n">
        <v>7.3</v>
      </c>
      <c r="O772" s="6" t="n">
        <v>0</v>
      </c>
      <c r="P772" s="6" t="inlineStr">
        <is>
          <t>yes</t>
        </is>
      </c>
      <c r="Q772" s="6" t="inlineStr">
        <is>
          <t>whole</t>
        </is>
      </c>
      <c r="R772" s="6" t="inlineStr">
        <is>
          <t>FG5</t>
        </is>
      </c>
      <c r="S772" s="6" t="inlineStr">
        <is>
          <t>refined grain</t>
        </is>
      </c>
      <c r="T772" s="6" t="inlineStr">
        <is>
          <t>plant</t>
        </is>
      </c>
      <c r="U772" s="6" t="n"/>
      <c r="V772" s="6" t="n"/>
      <c r="W772" s="6" t="n">
        <v>1</v>
      </c>
      <c r="X772" s="6" t="n">
        <v>1</v>
      </c>
      <c r="Y772" s="6" t="inlineStr">
        <is>
          <t>declared</t>
        </is>
      </c>
      <c r="Z772" s="8" t="n">
        <v>30006</v>
      </c>
      <c r="AA772" s="9">
        <f>IF(H772="yes",Z772*X772,0)</f>
        <v/>
      </c>
      <c r="AB772" s="9">
        <f>IF(H772="yes",AA772*N(L772)/100,0)</f>
        <v/>
      </c>
      <c r="AC772" s="9">
        <f>IF(H772="yes",AA772*N(N772)/100,0)</f>
        <v/>
      </c>
      <c r="AD772" s="9">
        <f>IF(H772="yes",AA772*N(O772)/100,0)</f>
        <v/>
      </c>
      <c r="AE772" s="10">
        <f>IF(P772="yes",AA772/1000,0)</f>
        <v/>
      </c>
      <c r="AF772" s="10">
        <f>IF(R772="FG2",AE772*W772,AE772)</f>
        <v/>
      </c>
    </row>
    <row r="773">
      <c r="A773" s="6" t="inlineStr">
        <is>
          <t>HM00771</t>
        </is>
      </c>
      <c r="B773" s="7" t="inlineStr">
        <is>
          <t>8712345918200</t>
        </is>
      </c>
      <c r="C773" s="6" t="inlineStr">
        <is>
          <t>CASHEW NUTS 100G PENROCK</t>
        </is>
      </c>
      <c r="D773" s="6" t="inlineStr">
        <is>
          <t>Cashew nuts, 100g</t>
        </is>
      </c>
      <c r="E773" s="6" t="inlineStr">
        <is>
          <t>Penrock</t>
        </is>
      </c>
      <c r="F773" s="6" t="inlineStr">
        <is>
          <t>Grocery</t>
        </is>
      </c>
      <c r="G773" s="6" t="inlineStr">
        <is>
          <t>Nuts &amp; Seeds</t>
        </is>
      </c>
      <c r="H773" s="6" t="inlineStr">
        <is>
          <t>yes</t>
        </is>
      </c>
      <c r="I773" s="6" t="inlineStr">
        <is>
          <t>Plant-based core</t>
        </is>
      </c>
      <c r="J773" s="6" t="inlineStr">
        <is>
          <t>A</t>
        </is>
      </c>
      <c r="K773" s="6" t="inlineStr">
        <is>
          <t>All ingredients on one side</t>
        </is>
      </c>
      <c r="L773" s="6" t="n">
        <v>17.8</v>
      </c>
      <c r="M773" s="6" t="inlineStr">
        <is>
          <t>Open Food Facts, by EAN</t>
        </is>
      </c>
      <c r="N773" s="6" t="n">
        <v>17.8</v>
      </c>
      <c r="O773" s="6" t="n">
        <v>0</v>
      </c>
      <c r="P773" s="6" t="inlineStr">
        <is>
          <t>yes</t>
        </is>
      </c>
      <c r="Q773" s="6" t="inlineStr">
        <is>
          <t>whole</t>
        </is>
      </c>
      <c r="R773" s="6" t="inlineStr">
        <is>
          <t>FG1</t>
        </is>
      </c>
      <c r="S773" s="6" t="inlineStr">
        <is>
          <t>nuts</t>
        </is>
      </c>
      <c r="T773" s="6" t="inlineStr">
        <is>
          <t>plant</t>
        </is>
      </c>
      <c r="U773" s="6" t="n"/>
      <c r="V773" s="6" t="n"/>
      <c r="W773" s="6" t="n">
        <v>1</v>
      </c>
      <c r="X773" s="6" t="n">
        <v>0.1</v>
      </c>
      <c r="Y773" s="6" t="inlineStr">
        <is>
          <t>declared</t>
        </is>
      </c>
      <c r="Z773" s="8" t="n">
        <v>12937</v>
      </c>
      <c r="AA773" s="9">
        <f>IF(H773="yes",Z773*X773,0)</f>
        <v/>
      </c>
      <c r="AB773" s="9">
        <f>IF(H773="yes",AA773*N(L773)/100,0)</f>
        <v/>
      </c>
      <c r="AC773" s="9">
        <f>IF(H773="yes",AA773*N(N773)/100,0)</f>
        <v/>
      </c>
      <c r="AD773" s="9">
        <f>IF(H773="yes",AA773*N(O773)/100,0)</f>
        <v/>
      </c>
      <c r="AE773" s="10">
        <f>IF(P773="yes",AA773/1000,0)</f>
        <v/>
      </c>
      <c r="AF773" s="10">
        <f>IF(R773="FG2",AE773*W773,AE773)</f>
        <v/>
      </c>
    </row>
    <row r="774">
      <c r="A774" s="6" t="inlineStr">
        <is>
          <t>HM00772</t>
        </is>
      </c>
      <c r="B774" s="7" t="inlineStr">
        <is>
          <t>3012345981675</t>
        </is>
      </c>
      <c r="C774" s="6" t="inlineStr">
        <is>
          <t>HM PETITS POIS 900G</t>
        </is>
      </c>
      <c r="D774" s="6" t="inlineStr">
        <is>
          <t>Petits pois, 900g</t>
        </is>
      </c>
      <c r="E774" s="6" t="inlineStr">
        <is>
          <t>Harbour Market</t>
        </is>
      </c>
      <c r="F774" s="6" t="inlineStr">
        <is>
          <t>Frozen</t>
        </is>
      </c>
      <c r="G774" s="6" t="inlineStr">
        <is>
          <t>Frozen Vegetables</t>
        </is>
      </c>
      <c r="H774" s="6" t="inlineStr">
        <is>
          <t>yes</t>
        </is>
      </c>
      <c r="I774" s="6" t="inlineStr">
        <is>
          <t>Plant-based core</t>
        </is>
      </c>
      <c r="J774" s="6" t="inlineStr">
        <is>
          <t>B</t>
        </is>
      </c>
      <c r="K774" s="6" t="inlineStr">
        <is>
          <t>Follows the class</t>
        </is>
      </c>
      <c r="L774" s="6" t="n">
        <v>5.3</v>
      </c>
      <c r="M774" s="6" t="inlineStr">
        <is>
          <t>Declared by the retailer</t>
        </is>
      </c>
      <c r="N774" s="6" t="n">
        <v>5.3</v>
      </c>
      <c r="O774" s="6" t="n">
        <v>0</v>
      </c>
      <c r="P774" s="6" t="inlineStr">
        <is>
          <t>yes</t>
        </is>
      </c>
      <c r="Q774" s="6" t="inlineStr">
        <is>
          <t>whole</t>
        </is>
      </c>
      <c r="R774" s="6" t="inlineStr">
        <is>
          <t>FG1</t>
        </is>
      </c>
      <c r="S774" s="6" t="inlineStr">
        <is>
          <t>pulses</t>
        </is>
      </c>
      <c r="T774" s="6" t="inlineStr">
        <is>
          <t>plant</t>
        </is>
      </c>
      <c r="U774" s="6" t="n"/>
      <c r="V774" s="6" t="n"/>
      <c r="W774" s="6" t="n">
        <v>1</v>
      </c>
      <c r="X774" s="6" t="n">
        <v>0.9</v>
      </c>
      <c r="Y774" s="6" t="inlineStr">
        <is>
          <t>declared</t>
        </is>
      </c>
      <c r="Z774" s="8" t="n">
        <v>15296</v>
      </c>
      <c r="AA774" s="9">
        <f>IF(H774="yes",Z774*X774,0)</f>
        <v/>
      </c>
      <c r="AB774" s="9">
        <f>IF(H774="yes",AA774*N(L774)/100,0)</f>
        <v/>
      </c>
      <c r="AC774" s="9">
        <f>IF(H774="yes",AA774*N(N774)/100,0)</f>
        <v/>
      </c>
      <c r="AD774" s="9">
        <f>IF(H774="yes",AA774*N(O774)/100,0)</f>
        <v/>
      </c>
      <c r="AE774" s="10">
        <f>IF(P774="yes",AA774/1000,0)</f>
        <v/>
      </c>
      <c r="AF774" s="10">
        <f>IF(R774="FG2",AE774*W774,AE774)</f>
        <v/>
      </c>
    </row>
    <row r="775">
      <c r="A775" s="6" t="inlineStr">
        <is>
          <t>HM00773</t>
        </is>
      </c>
      <c r="B775" s="7" t="inlineStr">
        <is>
          <t>3012345480253</t>
        </is>
      </c>
      <c r="C775" s="6" t="inlineStr">
        <is>
          <t>HM LACTOSE FREE MILK 500ML</t>
        </is>
      </c>
      <c r="D775" s="6" t="inlineStr">
        <is>
          <t>Lactose-free semi-skimmed milk, 500ml</t>
        </is>
      </c>
      <c r="E775" s="6" t="inlineStr">
        <is>
          <t>Harbour Market</t>
        </is>
      </c>
      <c r="F775" s="6" t="inlineStr">
        <is>
          <t>Dairy &amp; Eggs</t>
        </is>
      </c>
      <c r="G775" s="6" t="inlineStr">
        <is>
          <t>Milk</t>
        </is>
      </c>
      <c r="H775" s="6" t="inlineStr">
        <is>
          <t>yes</t>
        </is>
      </c>
      <c r="I775" s="6" t="inlineStr">
        <is>
          <t>Animal core</t>
        </is>
      </c>
      <c r="J775" s="6" t="inlineStr">
        <is>
          <t>A</t>
        </is>
      </c>
      <c r="K775" s="6" t="inlineStr">
        <is>
          <t>All ingredients on one side</t>
        </is>
      </c>
      <c r="L775" s="6" t="n">
        <v>3.5</v>
      </c>
      <c r="M775" s="6" t="inlineStr">
        <is>
          <t>Altera reference base</t>
        </is>
      </c>
      <c r="N775" s="6" t="n">
        <v>0</v>
      </c>
      <c r="O775" s="6" t="n">
        <v>3.5</v>
      </c>
      <c r="P775" s="6" t="inlineStr">
        <is>
          <t>yes</t>
        </is>
      </c>
      <c r="Q775" s="6" t="inlineStr">
        <is>
          <t>whole</t>
        </is>
      </c>
      <c r="R775" s="6" t="inlineStr">
        <is>
          <t>FG2</t>
        </is>
      </c>
      <c r="S775" s="6" t="inlineStr">
        <is>
          <t>dairy</t>
        </is>
      </c>
      <c r="T775" s="6" t="inlineStr">
        <is>
          <t>animal</t>
        </is>
      </c>
      <c r="U775" s="6" t="n"/>
      <c r="V775" s="6" t="n"/>
      <c r="W775" s="6" t="n">
        <v>1</v>
      </c>
      <c r="X775" s="6" t="n">
        <v>0.515</v>
      </c>
      <c r="Y775" s="6" t="inlineStr">
        <is>
          <t>declared</t>
        </is>
      </c>
      <c r="Z775" s="8" t="n">
        <v>182022</v>
      </c>
      <c r="AA775" s="9">
        <f>IF(H775="yes",Z775*X775,0)</f>
        <v/>
      </c>
      <c r="AB775" s="9">
        <f>IF(H775="yes",AA775*N(L775)/100,0)</f>
        <v/>
      </c>
      <c r="AC775" s="9">
        <f>IF(H775="yes",AA775*N(N775)/100,0)</f>
        <v/>
      </c>
      <c r="AD775" s="9">
        <f>IF(H775="yes",AA775*N(O775)/100,0)</f>
        <v/>
      </c>
      <c r="AE775" s="10">
        <f>IF(P775="yes",AA775/1000,0)</f>
        <v/>
      </c>
      <c r="AF775" s="10">
        <f>IF(R775="FG2",AE775*W775,AE775)</f>
        <v/>
      </c>
    </row>
    <row r="776">
      <c r="A776" s="6" t="inlineStr">
        <is>
          <t>HM00774</t>
        </is>
      </c>
      <c r="B776" s="7" t="inlineStr">
        <is>
          <t>5012345979694</t>
        </is>
      </c>
      <c r="C776" s="6" t="inlineStr">
        <is>
          <t>BRAMBLECOTE PLAIN FLOUR 500G</t>
        </is>
      </c>
      <c r="D776" s="6" t="inlineStr">
        <is>
          <t>Plain wheat flour, 500g</t>
        </is>
      </c>
      <c r="E776" s="6" t="inlineStr">
        <is>
          <t>Bramblecote</t>
        </is>
      </c>
      <c r="F776" s="6" t="inlineStr">
        <is>
          <t>Grocery</t>
        </is>
      </c>
      <c r="G776" s="6" t="inlineStr">
        <is>
          <t>Baking</t>
        </is>
      </c>
      <c r="H776" s="6" t="inlineStr">
        <is>
          <t>yes</t>
        </is>
      </c>
      <c r="I776" s="6" t="inlineStr">
        <is>
          <t>Plant-based non-core</t>
        </is>
      </c>
      <c r="J776" s="6" t="inlineStr">
        <is>
          <t>B</t>
        </is>
      </c>
      <c r="K776" s="6" t="inlineStr">
        <is>
          <t>Follows the class</t>
        </is>
      </c>
      <c r="L776" s="6" t="n">
        <v>9.9</v>
      </c>
      <c r="M776" s="6" t="inlineStr">
        <is>
          <t>Declared by the retailer</t>
        </is>
      </c>
      <c r="N776" s="6" t="n">
        <v>9.9</v>
      </c>
      <c r="O776" s="6" t="n">
        <v>0</v>
      </c>
      <c r="P776" s="6" t="inlineStr">
        <is>
          <t>yes</t>
        </is>
      </c>
      <c r="Q776" s="6" t="inlineStr">
        <is>
          <t>whole</t>
        </is>
      </c>
      <c r="R776" s="6" t="inlineStr">
        <is>
          <t>FG5</t>
        </is>
      </c>
      <c r="S776" s="6" t="inlineStr">
        <is>
          <t>refined grain</t>
        </is>
      </c>
      <c r="T776" s="6" t="inlineStr">
        <is>
          <t>plant</t>
        </is>
      </c>
      <c r="U776" s="6" t="n"/>
      <c r="V776" s="6" t="n"/>
      <c r="W776" s="6" t="n">
        <v>1</v>
      </c>
      <c r="X776" s="6" t="n">
        <v>0.5</v>
      </c>
      <c r="Y776" s="6" t="inlineStr">
        <is>
          <t>declared</t>
        </is>
      </c>
      <c r="Z776" s="8" t="n">
        <v>8418</v>
      </c>
      <c r="AA776" s="9">
        <f>IF(H776="yes",Z776*X776,0)</f>
        <v/>
      </c>
      <c r="AB776" s="9">
        <f>IF(H776="yes",AA776*N(L776)/100,0)</f>
        <v/>
      </c>
      <c r="AC776" s="9">
        <f>IF(H776="yes",AA776*N(N776)/100,0)</f>
        <v/>
      </c>
      <c r="AD776" s="9">
        <f>IF(H776="yes",AA776*N(O776)/100,0)</f>
        <v/>
      </c>
      <c r="AE776" s="10">
        <f>IF(P776="yes",AA776/1000,0)</f>
        <v/>
      </c>
      <c r="AF776" s="10">
        <f>IF(R776="FG2",AE776*W776,AE776)</f>
        <v/>
      </c>
    </row>
    <row r="777">
      <c r="A777" s="6" t="inlineStr">
        <is>
          <t>HM00775</t>
        </is>
      </c>
      <c r="B777" s="7" t="inlineStr">
        <is>
          <t>3012345796521</t>
        </is>
      </c>
      <c r="C777" s="6" t="inlineStr">
        <is>
          <t>CASTELNA SUNFLOWER OIL 1L</t>
        </is>
      </c>
      <c r="D777" s="6" t="inlineStr">
        <is>
          <t>Sunflower oil, 1l</t>
        </is>
      </c>
      <c r="E777" s="6" t="inlineStr">
        <is>
          <t>Castelna</t>
        </is>
      </c>
      <c r="F777" s="6" t="inlineStr">
        <is>
          <t>Grocery</t>
        </is>
      </c>
      <c r="G777" s="6" t="inlineStr">
        <is>
          <t>Oils</t>
        </is>
      </c>
      <c r="H777" s="6" t="inlineStr">
        <is>
          <t>yes</t>
        </is>
      </c>
      <c r="I777" s="6" t="inlineStr">
        <is>
          <t>Plant-based non-core</t>
        </is>
      </c>
      <c r="J777" s="6" t="inlineStr">
        <is>
          <t>A</t>
        </is>
      </c>
      <c r="K777" s="6" t="inlineStr">
        <is>
          <t>All ingredients on one side</t>
        </is>
      </c>
      <c r="L777" s="6" t="n">
        <v>0</v>
      </c>
      <c r="M777" s="6" t="inlineStr">
        <is>
          <t>Declared by the retailer</t>
        </is>
      </c>
      <c r="N777" s="6" t="n">
        <v>0</v>
      </c>
      <c r="O777" s="6" t="n">
        <v>0</v>
      </c>
      <c r="P777" s="6" t="inlineStr">
        <is>
          <t>yes</t>
        </is>
      </c>
      <c r="Q777" s="6" t="inlineStr">
        <is>
          <t>whole</t>
        </is>
      </c>
      <c r="R777" s="6" t="inlineStr">
        <is>
          <t>FG3</t>
        </is>
      </c>
      <c r="S777" s="6" t="inlineStr">
        <is>
          <t>plant fat</t>
        </is>
      </c>
      <c r="T777" s="6" t="inlineStr">
        <is>
          <t>plant</t>
        </is>
      </c>
      <c r="U777" s="6" t="n"/>
      <c r="V777" s="6" t="n"/>
      <c r="W777" s="6" t="n">
        <v>1</v>
      </c>
      <c r="X777" s="6" t="n">
        <v>0.92</v>
      </c>
      <c r="Y777" s="6" t="inlineStr">
        <is>
          <t>declared</t>
        </is>
      </c>
      <c r="Z777" s="8" t="n">
        <v>16109</v>
      </c>
      <c r="AA777" s="9">
        <f>IF(H777="yes",Z777*X777,0)</f>
        <v/>
      </c>
      <c r="AB777" s="9">
        <f>IF(H777="yes",AA777*N(L777)/100,0)</f>
        <v/>
      </c>
      <c r="AC777" s="9">
        <f>IF(H777="yes",AA777*N(N777)/100,0)</f>
        <v/>
      </c>
      <c r="AD777" s="9">
        <f>IF(H777="yes",AA777*N(O777)/100,0)</f>
        <v/>
      </c>
      <c r="AE777" s="10">
        <f>IF(P777="yes",AA777/1000,0)</f>
        <v/>
      </c>
      <c r="AF777" s="10">
        <f>IF(R777="FG2",AE777*W777,AE777)</f>
        <v/>
      </c>
    </row>
    <row r="778">
      <c r="A778" s="6" t="inlineStr">
        <is>
          <t>HM00776</t>
        </is>
      </c>
      <c r="B778" s="7" t="inlineStr">
        <is>
          <t>5012345786554</t>
        </is>
      </c>
      <c r="C778" s="6" t="inlineStr">
        <is>
          <t>HM BIRTHDAY CANDLES EACH</t>
        </is>
      </c>
      <c r="D778" s="6" t="inlineStr">
        <is>
          <t>Birthday candles</t>
        </is>
      </c>
      <c r="E778" s="6" t="inlineStr">
        <is>
          <t>Harbour Market</t>
        </is>
      </c>
      <c r="F778" s="6" t="inlineStr">
        <is>
          <t>Household</t>
        </is>
      </c>
      <c r="G778" s="6" t="inlineStr">
        <is>
          <t>Household</t>
        </is>
      </c>
      <c r="H778" s="6" t="inlineStr">
        <is>
          <t>no</t>
        </is>
      </c>
      <c r="I778" s="6" t="n"/>
      <c r="J778" s="6" t="n"/>
      <c r="K778" s="6" t="n"/>
      <c r="L778" s="6" t="n"/>
      <c r="M778" s="6" t="n"/>
      <c r="N778" s="6" t="n"/>
      <c r="O778" s="6" t="n"/>
      <c r="P778" s="6" t="inlineStr">
        <is>
          <t>no</t>
        </is>
      </c>
      <c r="Q778" s="6" t="n"/>
      <c r="R778" s="6" t="n"/>
      <c r="S778" s="6" t="n"/>
      <c r="T778" s="6" t="n"/>
      <c r="U778" s="6" t="n"/>
      <c r="V778" s="6" t="n"/>
      <c r="W778" s="6" t="n">
        <v>1</v>
      </c>
      <c r="X778" s="6" t="n">
        <v>0.2</v>
      </c>
      <c r="Y778" s="6" t="inlineStr">
        <is>
          <t>declared</t>
        </is>
      </c>
      <c r="Z778" s="8" t="n">
        <v>3842</v>
      </c>
      <c r="AA778" s="9">
        <f>IF(H778="yes",Z778*X778,0)</f>
        <v/>
      </c>
      <c r="AB778" s="9">
        <f>IF(H778="yes",AA778*N(L778)/100,0)</f>
        <v/>
      </c>
      <c r="AC778" s="9">
        <f>IF(H778="yes",AA778*N(N778)/100,0)</f>
        <v/>
      </c>
      <c r="AD778" s="9">
        <f>IF(H778="yes",AA778*N(O778)/100,0)</f>
        <v/>
      </c>
      <c r="AE778" s="10">
        <f>IF(P778="yes",AA778/1000,0)</f>
        <v/>
      </c>
      <c r="AF778" s="10">
        <f>IF(R778="FG2",AE778*W778,AE778)</f>
        <v/>
      </c>
    </row>
    <row r="779">
      <c r="A779" s="6" t="inlineStr">
        <is>
          <t>HM00777</t>
        </is>
      </c>
      <c r="B779" s="7" t="inlineStr">
        <is>
          <t>8712345538514</t>
        </is>
      </c>
      <c r="C779" s="6" t="inlineStr">
        <is>
          <t>ALDERWICK QUARK 300G</t>
        </is>
      </c>
      <c r="D779" s="6" t="inlineStr">
        <is>
          <t>Quark, 300g</t>
        </is>
      </c>
      <c r="E779" s="6" t="inlineStr">
        <is>
          <t>Alderwick</t>
        </is>
      </c>
      <c r="F779" s="6" t="inlineStr">
        <is>
          <t>Cheese</t>
        </is>
      </c>
      <c r="G779" s="6" t="inlineStr">
        <is>
          <t>Fresh Cheese</t>
        </is>
      </c>
      <c r="H779" s="6" t="inlineStr">
        <is>
          <t>yes</t>
        </is>
      </c>
      <c r="I779" s="6" t="inlineStr">
        <is>
          <t>Animal core</t>
        </is>
      </c>
      <c r="J779" s="6" t="inlineStr">
        <is>
          <t>A</t>
        </is>
      </c>
      <c r="K779" s="6" t="inlineStr">
        <is>
          <t>All ingredients on one side</t>
        </is>
      </c>
      <c r="L779" s="6" t="n">
        <v>12.2</v>
      </c>
      <c r="M779" s="6" t="inlineStr">
        <is>
          <t>Declared by the retailer</t>
        </is>
      </c>
      <c r="N779" s="6" t="n">
        <v>0</v>
      </c>
      <c r="O779" s="6" t="n">
        <v>12.2</v>
      </c>
      <c r="P779" s="6" t="inlineStr">
        <is>
          <t>yes</t>
        </is>
      </c>
      <c r="Q779" s="6" t="inlineStr">
        <is>
          <t>whole</t>
        </is>
      </c>
      <c r="R779" s="6" t="inlineStr">
        <is>
          <t>FG2</t>
        </is>
      </c>
      <c r="S779" s="6" t="inlineStr">
        <is>
          <t>dairy</t>
        </is>
      </c>
      <c r="T779" s="6" t="inlineStr">
        <is>
          <t>animal</t>
        </is>
      </c>
      <c r="U779" s="6" t="n"/>
      <c r="V779" s="6" t="n"/>
      <c r="W779" s="6" t="n">
        <v>1</v>
      </c>
      <c r="X779" s="6" t="n">
        <v>0.3</v>
      </c>
      <c r="Y779" s="6" t="inlineStr">
        <is>
          <t>declared</t>
        </is>
      </c>
      <c r="Z779" s="8" t="n">
        <v>6577</v>
      </c>
      <c r="AA779" s="9">
        <f>IF(H779="yes",Z779*X779,0)</f>
        <v/>
      </c>
      <c r="AB779" s="9">
        <f>IF(H779="yes",AA779*N(L779)/100,0)</f>
        <v/>
      </c>
      <c r="AC779" s="9">
        <f>IF(H779="yes",AA779*N(N779)/100,0)</f>
        <v/>
      </c>
      <c r="AD779" s="9">
        <f>IF(H779="yes",AA779*N(O779)/100,0)</f>
        <v/>
      </c>
      <c r="AE779" s="10">
        <f>IF(P779="yes",AA779/1000,0)</f>
        <v/>
      </c>
      <c r="AF779" s="10">
        <f>IF(R779="FG2",AE779*W779,AE779)</f>
        <v/>
      </c>
    </row>
    <row r="780">
      <c r="A780" s="6" t="inlineStr">
        <is>
          <t>HM00778</t>
        </is>
      </c>
      <c r="B780" s="7" t="inlineStr">
        <is>
          <t>5012345012742</t>
        </is>
      </c>
      <c r="C780" s="6" t="inlineStr">
        <is>
          <t>CASTELNA CHORIZO SLICES 100G</t>
        </is>
      </c>
      <c r="D780" s="6" t="inlineStr">
        <is>
          <t>Chorizo slices, 100g</t>
        </is>
      </c>
      <c r="E780" s="6" t="inlineStr">
        <is>
          <t>Castelna</t>
        </is>
      </c>
      <c r="F780" s="6" t="inlineStr">
        <is>
          <t>Deli</t>
        </is>
      </c>
      <c r="G780" s="6" t="inlineStr">
        <is>
          <t>Cured Meats</t>
        </is>
      </c>
      <c r="H780" s="6" t="inlineStr">
        <is>
          <t>yes</t>
        </is>
      </c>
      <c r="I780" s="6" t="inlineStr">
        <is>
          <t>Animal core</t>
        </is>
      </c>
      <c r="J780" s="6" t="inlineStr">
        <is>
          <t>A</t>
        </is>
      </c>
      <c r="K780" s="6" t="inlineStr">
        <is>
          <t>All ingredients on one side</t>
        </is>
      </c>
      <c r="L780" s="6" t="n">
        <v>23.7</v>
      </c>
      <c r="M780" s="6" t="inlineStr">
        <is>
          <t>Declared by the retailer</t>
        </is>
      </c>
      <c r="N780" s="6" t="n">
        <v>0</v>
      </c>
      <c r="O780" s="6" t="n">
        <v>23.7</v>
      </c>
      <c r="P780" s="6" t="inlineStr">
        <is>
          <t>yes</t>
        </is>
      </c>
      <c r="Q780" s="6" t="inlineStr">
        <is>
          <t>whole</t>
        </is>
      </c>
      <c r="R780" s="6" t="inlineStr">
        <is>
          <t>FG1</t>
        </is>
      </c>
      <c r="S780" s="6" t="inlineStr">
        <is>
          <t>red meat</t>
        </is>
      </c>
      <c r="T780" s="6" t="inlineStr">
        <is>
          <t>animal</t>
        </is>
      </c>
      <c r="U780" s="6" t="n"/>
      <c r="V780" s="6" t="n"/>
      <c r="W780" s="6" t="n">
        <v>1</v>
      </c>
      <c r="X780" s="6" t="n">
        <v>0.1</v>
      </c>
      <c r="Y780" s="6" t="inlineStr">
        <is>
          <t>label</t>
        </is>
      </c>
      <c r="Z780" s="8" t="n">
        <v>21267</v>
      </c>
      <c r="AA780" s="9">
        <f>IF(H780="yes",Z780*X780,0)</f>
        <v/>
      </c>
      <c r="AB780" s="9">
        <f>IF(H780="yes",AA780*N(L780)/100,0)</f>
        <v/>
      </c>
      <c r="AC780" s="9">
        <f>IF(H780="yes",AA780*N(N780)/100,0)</f>
        <v/>
      </c>
      <c r="AD780" s="9">
        <f>IF(H780="yes",AA780*N(O780)/100,0)</f>
        <v/>
      </c>
      <c r="AE780" s="10">
        <f>IF(P780="yes",AA780/1000,0)</f>
        <v/>
      </c>
      <c r="AF780" s="10">
        <f>IF(R780="FG2",AE780*W780,AE780)</f>
        <v/>
      </c>
    </row>
    <row r="781">
      <c r="A781" s="6" t="inlineStr">
        <is>
          <t>HM00779</t>
        </is>
      </c>
      <c r="B781" s="7" t="inlineStr">
        <is>
          <t>8712345134792</t>
        </is>
      </c>
      <c r="C781" s="6" t="inlineStr">
        <is>
          <t>HM FRUIT NUT MUESLI 500G</t>
        </is>
      </c>
      <c r="D781" s="6" t="inlineStr">
        <is>
          <t>Fruit &amp; nut muesli, 500g</t>
        </is>
      </c>
      <c r="E781" s="6" t="inlineStr">
        <is>
          <t>Harbour Market</t>
        </is>
      </c>
      <c r="F781" s="6" t="inlineStr">
        <is>
          <t>Breakfast &amp; Snacks</t>
        </is>
      </c>
      <c r="G781" s="6" t="inlineStr">
        <is>
          <t>Cereals</t>
        </is>
      </c>
      <c r="H781" s="6" t="inlineStr">
        <is>
          <t>yes</t>
        </is>
      </c>
      <c r="I781" s="6" t="inlineStr">
        <is>
          <t>Plant-based non-core</t>
        </is>
      </c>
      <c r="J781" s="6" t="inlineStr">
        <is>
          <t>B</t>
        </is>
      </c>
      <c r="K781" s="6" t="inlineStr">
        <is>
          <t>Follows the class</t>
        </is>
      </c>
      <c r="L781" s="6" t="n">
        <v>8.9</v>
      </c>
      <c r="M781" s="6" t="inlineStr">
        <is>
          <t>Declared by the retailer</t>
        </is>
      </c>
      <c r="N781" s="6" t="n">
        <v>8.9</v>
      </c>
      <c r="O781" s="6" t="n">
        <v>0</v>
      </c>
      <c r="P781" s="6" t="inlineStr">
        <is>
          <t>yes</t>
        </is>
      </c>
      <c r="Q781" s="6" t="inlineStr">
        <is>
          <t>whole</t>
        </is>
      </c>
      <c r="R781" s="6" t="inlineStr">
        <is>
          <t>FG5</t>
        </is>
      </c>
      <c r="S781" s="6" t="inlineStr">
        <is>
          <t>whole grain</t>
        </is>
      </c>
      <c r="T781" s="6" t="inlineStr">
        <is>
          <t>plant</t>
        </is>
      </c>
      <c r="U781" s="6" t="n"/>
      <c r="V781" s="6" t="n"/>
      <c r="W781" s="6" t="n">
        <v>1</v>
      </c>
      <c r="X781" s="6" t="n">
        <v>0.5</v>
      </c>
      <c r="Y781" s="6" t="inlineStr">
        <is>
          <t>declared</t>
        </is>
      </c>
      <c r="Z781" s="8" t="n">
        <v>12455</v>
      </c>
      <c r="AA781" s="9">
        <f>IF(H781="yes",Z781*X781,0)</f>
        <v/>
      </c>
      <c r="AB781" s="9">
        <f>IF(H781="yes",AA781*N(L781)/100,0)</f>
        <v/>
      </c>
      <c r="AC781" s="9">
        <f>IF(H781="yes",AA781*N(N781)/100,0)</f>
        <v/>
      </c>
      <c r="AD781" s="9">
        <f>IF(H781="yes",AA781*N(O781)/100,0)</f>
        <v/>
      </c>
      <c r="AE781" s="10">
        <f>IF(P781="yes",AA781/1000,0)</f>
        <v/>
      </c>
      <c r="AF781" s="10">
        <f>IF(R781="FG2",AE781*W781,AE781)</f>
        <v/>
      </c>
    </row>
    <row r="782">
      <c r="A782" s="6" t="inlineStr">
        <is>
          <t>HM00780</t>
        </is>
      </c>
      <c r="B782" s="7" t="inlineStr">
        <is>
          <t>5012345064963</t>
        </is>
      </c>
      <c r="C782" s="6" t="inlineStr">
        <is>
          <t>HM WHITE WINE SAUV BLANC 75CL</t>
        </is>
      </c>
      <c r="D782" s="6" t="inlineStr">
        <is>
          <t>Sauvignon blanc white wine, 75cl</t>
        </is>
      </c>
      <c r="E782" s="6" t="inlineStr">
        <is>
          <t>Harbour Market</t>
        </is>
      </c>
      <c r="F782" s="6" t="inlineStr">
        <is>
          <t>Beer, Wine &amp; Spirits</t>
        </is>
      </c>
      <c r="G782" s="6" t="inlineStr">
        <is>
          <t>Wine</t>
        </is>
      </c>
      <c r="H782" s="6" t="inlineStr">
        <is>
          <t>yes</t>
        </is>
      </c>
      <c r="I782" s="6" t="inlineStr">
        <is>
          <t>Plant-based non-core</t>
        </is>
      </c>
      <c r="J782" s="6" t="inlineStr">
        <is>
          <t>A</t>
        </is>
      </c>
      <c r="K782" s="6" t="inlineStr">
        <is>
          <t>All ingredients on one side</t>
        </is>
      </c>
      <c r="L782" s="6" t="n">
        <v>0.1</v>
      </c>
      <c r="M782" s="6" t="inlineStr">
        <is>
          <t>Median of the family</t>
        </is>
      </c>
      <c r="N782" s="6" t="n">
        <v>0.1</v>
      </c>
      <c r="O782" s="6" t="n">
        <v>0</v>
      </c>
      <c r="P782" s="6" t="inlineStr">
        <is>
          <t>no</t>
        </is>
      </c>
      <c r="Q782" s="6" t="n"/>
      <c r="R782" s="6" t="n"/>
      <c r="S782" s="6" t="n"/>
      <c r="T782" s="6" t="n"/>
      <c r="U782" s="6" t="n"/>
      <c r="V782" s="6" t="inlineStr">
        <is>
          <t>alcohol</t>
        </is>
      </c>
      <c r="W782" s="6" t="n">
        <v>1</v>
      </c>
      <c r="X782" s="6" t="n">
        <v>0.75</v>
      </c>
      <c r="Y782" s="6" t="inlineStr">
        <is>
          <t>declared</t>
        </is>
      </c>
      <c r="Z782" s="8" t="n">
        <v>17938</v>
      </c>
      <c r="AA782" s="9">
        <f>IF(H782="yes",Z782*X782,0)</f>
        <v/>
      </c>
      <c r="AB782" s="9">
        <f>IF(H782="yes",AA782*N(L782)/100,0)</f>
        <v/>
      </c>
      <c r="AC782" s="9">
        <f>IF(H782="yes",AA782*N(N782)/100,0)</f>
        <v/>
      </c>
      <c r="AD782" s="9">
        <f>IF(H782="yes",AA782*N(O782)/100,0)</f>
        <v/>
      </c>
      <c r="AE782" s="10">
        <f>IF(P782="yes",AA782/1000,0)</f>
        <v/>
      </c>
      <c r="AF782" s="10">
        <f>IF(R782="FG2",AE782*W782,AE782)</f>
        <v/>
      </c>
    </row>
    <row r="783">
      <c r="A783" s="6" t="inlineStr">
        <is>
          <t>HM00781</t>
        </is>
      </c>
      <c r="B783" s="7" t="inlineStr">
        <is>
          <t>3012345190367</t>
        </is>
      </c>
      <c r="C783" s="6" t="inlineStr">
        <is>
          <t>HM BF BURGERS 4PK 12PK</t>
        </is>
      </c>
      <c r="D783" s="6" t="inlineStr">
        <is>
          <t>Beef burgers, 4 pack, 12pk</t>
        </is>
      </c>
      <c r="E783" s="6" t="inlineStr">
        <is>
          <t>Harbour Market</t>
        </is>
      </c>
      <c r="F783" s="6" t="inlineStr">
        <is>
          <t>Fresh Meat &amp; Poultry</t>
        </is>
      </c>
      <c r="G783" s="6" t="inlineStr">
        <is>
          <t>Sausages &amp; Burgers</t>
        </is>
      </c>
      <c r="H783" s="6" t="inlineStr">
        <is>
          <t>yes</t>
        </is>
      </c>
      <c r="I783" s="6" t="inlineStr">
        <is>
          <t>Animal core</t>
        </is>
      </c>
      <c r="J783" s="6" t="inlineStr">
        <is>
          <t>B</t>
        </is>
      </c>
      <c r="K783" s="6" t="inlineStr">
        <is>
          <t>First ingredient (step 4a)</t>
        </is>
      </c>
      <c r="L783" s="6" t="n">
        <v>14.2</v>
      </c>
      <c r="M783" s="6" t="inlineStr">
        <is>
          <t>Open Food Facts, by EAN</t>
        </is>
      </c>
      <c r="N783" s="6" t="n">
        <v>0</v>
      </c>
      <c r="O783" s="6" t="n">
        <v>14.2</v>
      </c>
      <c r="P783" s="6" t="inlineStr">
        <is>
          <t>yes</t>
        </is>
      </c>
      <c r="Q783" s="6" t="inlineStr">
        <is>
          <t>whole</t>
        </is>
      </c>
      <c r="R783" s="6" t="inlineStr">
        <is>
          <t>FG1</t>
        </is>
      </c>
      <c r="S783" s="6" t="inlineStr">
        <is>
          <t>red meat</t>
        </is>
      </c>
      <c r="T783" s="6" t="inlineStr">
        <is>
          <t>animal</t>
        </is>
      </c>
      <c r="U783" s="6" t="n"/>
      <c r="V783" s="6" t="n"/>
      <c r="W783" s="6" t="n">
        <v>1</v>
      </c>
      <c r="X783" s="6" t="n">
        <v>0.8</v>
      </c>
      <c r="Y783" s="6" t="inlineStr">
        <is>
          <t>declared</t>
        </is>
      </c>
      <c r="Z783" s="8" t="n">
        <v>26628</v>
      </c>
      <c r="AA783" s="9">
        <f>IF(H783="yes",Z783*X783,0)</f>
        <v/>
      </c>
      <c r="AB783" s="9">
        <f>IF(H783="yes",AA783*N(L783)/100,0)</f>
        <v/>
      </c>
      <c r="AC783" s="9">
        <f>IF(H783="yes",AA783*N(N783)/100,0)</f>
        <v/>
      </c>
      <c r="AD783" s="9">
        <f>IF(H783="yes",AA783*N(O783)/100,0)</f>
        <v/>
      </c>
      <c r="AE783" s="10">
        <f>IF(P783="yes",AA783/1000,0)</f>
        <v/>
      </c>
      <c r="AF783" s="10">
        <f>IF(R783="FG2",AE783*W783,AE783)</f>
        <v/>
      </c>
    </row>
    <row r="784">
      <c r="A784" s="6" t="inlineStr">
        <is>
          <t>HM00782</t>
        </is>
      </c>
      <c r="B784" s="7" t="inlineStr">
        <is>
          <t>8712345185831</t>
        </is>
      </c>
      <c r="C784" s="6" t="inlineStr">
        <is>
          <t>BREADED HADDOCK 4PK 440G KESTREL</t>
        </is>
      </c>
      <c r="D784" s="6" t="inlineStr">
        <is>
          <t>Breaded haddock fillets, 4pk 440g</t>
        </is>
      </c>
      <c r="E784" s="6" t="inlineStr">
        <is>
          <t>Kestrel Bay</t>
        </is>
      </c>
      <c r="F784" s="6" t="inlineStr">
        <is>
          <t>Frozen</t>
        </is>
      </c>
      <c r="G784" s="6" t="inlineStr">
        <is>
          <t>Frozen Fish</t>
        </is>
      </c>
      <c r="H784" s="6" t="inlineStr">
        <is>
          <t>yes</t>
        </is>
      </c>
      <c r="I784" s="6" t="inlineStr">
        <is>
          <t>Animal core</t>
        </is>
      </c>
      <c r="J784" s="6" t="inlineStr">
        <is>
          <t>B</t>
        </is>
      </c>
      <c r="K784" s="6" t="inlineStr">
        <is>
          <t>First ingredient (step 4a)</t>
        </is>
      </c>
      <c r="L784" s="6" t="n">
        <v>11.8</v>
      </c>
      <c r="M784" s="6" t="inlineStr">
        <is>
          <t>Declared by the retailer</t>
        </is>
      </c>
      <c r="N784" s="6" t="n">
        <v>0</v>
      </c>
      <c r="O784" s="6" t="n">
        <v>11.8</v>
      </c>
      <c r="P784" s="6" t="inlineStr">
        <is>
          <t>yes</t>
        </is>
      </c>
      <c r="Q784" s="6" t="inlineStr">
        <is>
          <t>whole</t>
        </is>
      </c>
      <c r="R784" s="6" t="inlineStr">
        <is>
          <t>FG1</t>
        </is>
      </c>
      <c r="S784" s="6" t="inlineStr">
        <is>
          <t>fish shellfish</t>
        </is>
      </c>
      <c r="T784" s="6" t="inlineStr">
        <is>
          <t>animal</t>
        </is>
      </c>
      <c r="U784" s="6" t="n"/>
      <c r="V784" s="6" t="n"/>
      <c r="W784" s="6" t="n">
        <v>1</v>
      </c>
      <c r="X784" s="6" t="n">
        <v>0.44</v>
      </c>
      <c r="Y784" s="6" t="inlineStr">
        <is>
          <t>declared</t>
        </is>
      </c>
      <c r="Z784" s="8" t="n">
        <v>17195</v>
      </c>
      <c r="AA784" s="9">
        <f>IF(H784="yes",Z784*X784,0)</f>
        <v/>
      </c>
      <c r="AB784" s="9">
        <f>IF(H784="yes",AA784*N(L784)/100,0)</f>
        <v/>
      </c>
      <c r="AC784" s="9">
        <f>IF(H784="yes",AA784*N(N784)/100,0)</f>
        <v/>
      </c>
      <c r="AD784" s="9">
        <f>IF(H784="yes",AA784*N(O784)/100,0)</f>
        <v/>
      </c>
      <c r="AE784" s="10">
        <f>IF(P784="yes",AA784/1000,0)</f>
        <v/>
      </c>
      <c r="AF784" s="10">
        <f>IF(R784="FG2",AE784*W784,AE784)</f>
        <v/>
      </c>
    </row>
    <row r="785">
      <c r="A785" s="6" t="inlineStr">
        <is>
          <t>HM00783</t>
        </is>
      </c>
      <c r="B785" s="7" t="inlineStr">
        <is>
          <t>8712345486266</t>
        </is>
      </c>
      <c r="C785" s="6" t="inlineStr">
        <is>
          <t>ALDERWICK RED LEICESTER 400G</t>
        </is>
      </c>
      <c r="D785" s="6" t="inlineStr">
        <is>
          <t>Red Leicester, 400g</t>
        </is>
      </c>
      <c r="E785" s="6" t="inlineStr">
        <is>
          <t>Alderwick</t>
        </is>
      </c>
      <c r="F785" s="6" t="inlineStr">
        <is>
          <t>Cheese</t>
        </is>
      </c>
      <c r="G785" s="6" t="inlineStr">
        <is>
          <t>Hard Cheese</t>
        </is>
      </c>
      <c r="H785" s="6" t="inlineStr">
        <is>
          <t>yes</t>
        </is>
      </c>
      <c r="I785" s="6" t="inlineStr">
        <is>
          <t>Animal core</t>
        </is>
      </c>
      <c r="J785" s="6" t="inlineStr">
        <is>
          <t>B</t>
        </is>
      </c>
      <c r="K785" s="6" t="inlineStr">
        <is>
          <t>Follows the class</t>
        </is>
      </c>
      <c r="L785" s="6" t="n">
        <v>26.1</v>
      </c>
      <c r="M785" s="6" t="inlineStr">
        <is>
          <t>Median of the family</t>
        </is>
      </c>
      <c r="N785" s="6" t="n">
        <v>0</v>
      </c>
      <c r="O785" s="6" t="n">
        <v>26.1</v>
      </c>
      <c r="P785" s="6" t="inlineStr">
        <is>
          <t>yes</t>
        </is>
      </c>
      <c r="Q785" s="6" t="inlineStr">
        <is>
          <t>whole</t>
        </is>
      </c>
      <c r="R785" s="6" t="inlineStr">
        <is>
          <t>FG2</t>
        </is>
      </c>
      <c r="S785" s="6" t="inlineStr">
        <is>
          <t>dairy</t>
        </is>
      </c>
      <c r="T785" s="6" t="inlineStr">
        <is>
          <t>animal</t>
        </is>
      </c>
      <c r="U785" s="6" t="n"/>
      <c r="V785" s="6" t="n"/>
      <c r="W785" s="6" t="n">
        <v>10</v>
      </c>
      <c r="X785" s="6" t="n">
        <v>0.4</v>
      </c>
      <c r="Y785" s="6" t="inlineStr">
        <is>
          <t>declared</t>
        </is>
      </c>
      <c r="Z785" s="8" t="n">
        <v>29504</v>
      </c>
      <c r="AA785" s="9">
        <f>IF(H785="yes",Z785*X785,0)</f>
        <v/>
      </c>
      <c r="AB785" s="9">
        <f>IF(H785="yes",AA785*N(L785)/100,0)</f>
        <v/>
      </c>
      <c r="AC785" s="9">
        <f>IF(H785="yes",AA785*N(N785)/100,0)</f>
        <v/>
      </c>
      <c r="AD785" s="9">
        <f>IF(H785="yes",AA785*N(O785)/100,0)</f>
        <v/>
      </c>
      <c r="AE785" s="10">
        <f>IF(P785="yes",AA785/1000,0)</f>
        <v/>
      </c>
      <c r="AF785" s="10">
        <f>IF(R785="FG2",AE785*W785,AE785)</f>
        <v/>
      </c>
    </row>
    <row r="786">
      <c r="A786" s="6" t="inlineStr">
        <is>
          <t>HM00784</t>
        </is>
      </c>
      <c r="B786" s="7" t="inlineStr">
        <is>
          <t>5012345646114</t>
        </is>
      </c>
      <c r="C786" s="6" t="inlineStr">
        <is>
          <t>HM BRIE 250G</t>
        </is>
      </c>
      <c r="D786" s="6" t="inlineStr">
        <is>
          <t>Brie, 250g</t>
        </is>
      </c>
      <c r="E786" s="6" t="inlineStr">
        <is>
          <t>Harbour Market</t>
        </is>
      </c>
      <c r="F786" s="6" t="inlineStr">
        <is>
          <t>Cheese</t>
        </is>
      </c>
      <c r="G786" s="6" t="inlineStr">
        <is>
          <t>Soft Cheese</t>
        </is>
      </c>
      <c r="H786" s="6" t="inlineStr">
        <is>
          <t>yes</t>
        </is>
      </c>
      <c r="I786" s="6" t="inlineStr">
        <is>
          <t>Animal core</t>
        </is>
      </c>
      <c r="J786" s="6" t="inlineStr">
        <is>
          <t>A</t>
        </is>
      </c>
      <c r="K786" s="6" t="inlineStr">
        <is>
          <t>All ingredients on one side</t>
        </is>
      </c>
      <c r="L786" s="6" t="n">
        <v>20.7</v>
      </c>
      <c r="M786" s="6" t="inlineStr">
        <is>
          <t>Declared by the retailer</t>
        </is>
      </c>
      <c r="N786" s="6" t="n">
        <v>0</v>
      </c>
      <c r="O786" s="6" t="n">
        <v>20.7</v>
      </c>
      <c r="P786" s="6" t="inlineStr">
        <is>
          <t>yes</t>
        </is>
      </c>
      <c r="Q786" s="6" t="inlineStr">
        <is>
          <t>whole</t>
        </is>
      </c>
      <c r="R786" s="6" t="inlineStr">
        <is>
          <t>FG2</t>
        </is>
      </c>
      <c r="S786" s="6" t="inlineStr">
        <is>
          <t>dairy</t>
        </is>
      </c>
      <c r="T786" s="6" t="inlineStr">
        <is>
          <t>animal</t>
        </is>
      </c>
      <c r="U786" s="6" t="n"/>
      <c r="V786" s="6" t="n"/>
      <c r="W786" s="6" t="n">
        <v>10</v>
      </c>
      <c r="X786" s="6" t="n">
        <v>0.25</v>
      </c>
      <c r="Y786" s="6" t="inlineStr">
        <is>
          <t>declared</t>
        </is>
      </c>
      <c r="Z786" s="8" t="n">
        <v>48046</v>
      </c>
      <c r="AA786" s="9">
        <f>IF(H786="yes",Z786*X786,0)</f>
        <v/>
      </c>
      <c r="AB786" s="9">
        <f>IF(H786="yes",AA786*N(L786)/100,0)</f>
        <v/>
      </c>
      <c r="AC786" s="9">
        <f>IF(H786="yes",AA786*N(N786)/100,0)</f>
        <v/>
      </c>
      <c r="AD786" s="9">
        <f>IF(H786="yes",AA786*N(O786)/100,0)</f>
        <v/>
      </c>
      <c r="AE786" s="10">
        <f>IF(P786="yes",AA786/1000,0)</f>
        <v/>
      </c>
      <c r="AF786" s="10">
        <f>IF(R786="FG2",AE786*W786,AE786)</f>
        <v/>
      </c>
    </row>
    <row r="787">
      <c r="A787" s="6" t="inlineStr">
        <is>
          <t>HM00785</t>
        </is>
      </c>
      <c r="B787" s="7" t="inlineStr">
        <is>
          <t>4012345367317</t>
        </is>
      </c>
      <c r="C787" s="6" t="inlineStr">
        <is>
          <t>HM RED GRAPES SEEDLESS 250G</t>
        </is>
      </c>
      <c r="D787" s="6" t="inlineStr">
        <is>
          <t>Seedless red grapes, 250g</t>
        </is>
      </c>
      <c r="E787" s="6" t="inlineStr">
        <is>
          <t>Harbour Market</t>
        </is>
      </c>
      <c r="F787" s="6" t="inlineStr">
        <is>
          <t>Fruit &amp; Vegetables</t>
        </is>
      </c>
      <c r="G787" s="6" t="inlineStr">
        <is>
          <t>Fruit</t>
        </is>
      </c>
      <c r="H787" s="6" t="inlineStr">
        <is>
          <t>yes</t>
        </is>
      </c>
      <c r="I787" s="6" t="inlineStr">
        <is>
          <t>Plant-based non-core</t>
        </is>
      </c>
      <c r="J787" s="6" t="inlineStr">
        <is>
          <t>B</t>
        </is>
      </c>
      <c r="K787" s="6" t="inlineStr">
        <is>
          <t>Follows the class</t>
        </is>
      </c>
      <c r="L787" s="6" t="n">
        <v>0.63</v>
      </c>
      <c r="M787" s="6" t="inlineStr">
        <is>
          <t>Declared by the retailer</t>
        </is>
      </c>
      <c r="N787" s="6" t="n">
        <v>0.63</v>
      </c>
      <c r="O787" s="6" t="n">
        <v>0</v>
      </c>
      <c r="P787" s="6" t="inlineStr">
        <is>
          <t>yes</t>
        </is>
      </c>
      <c r="Q787" s="6" t="inlineStr">
        <is>
          <t>whole</t>
        </is>
      </c>
      <c r="R787" s="6" t="inlineStr">
        <is>
          <t>FG4</t>
        </is>
      </c>
      <c r="S787" s="6" t="n"/>
      <c r="T787" s="6" t="inlineStr">
        <is>
          <t>plant</t>
        </is>
      </c>
      <c r="U787" s="6" t="n"/>
      <c r="V787" s="6" t="n"/>
      <c r="W787" s="6" t="n">
        <v>1</v>
      </c>
      <c r="X787" s="6" t="n">
        <v>0.25</v>
      </c>
      <c r="Y787" s="6" t="inlineStr">
        <is>
          <t>declared</t>
        </is>
      </c>
      <c r="Z787" s="8" t="n">
        <v>64912</v>
      </c>
      <c r="AA787" s="9">
        <f>IF(H787="yes",Z787*X787,0)</f>
        <v/>
      </c>
      <c r="AB787" s="9">
        <f>IF(H787="yes",AA787*N(L787)/100,0)</f>
        <v/>
      </c>
      <c r="AC787" s="9">
        <f>IF(H787="yes",AA787*N(N787)/100,0)</f>
        <v/>
      </c>
      <c r="AD787" s="9">
        <f>IF(H787="yes",AA787*N(O787)/100,0)</f>
        <v/>
      </c>
      <c r="AE787" s="10">
        <f>IF(P787="yes",AA787/1000,0)</f>
        <v/>
      </c>
      <c r="AF787" s="10">
        <f>IF(R787="FG2",AE787*W787,AE787)</f>
        <v/>
      </c>
    </row>
    <row r="788">
      <c r="A788" s="6" t="inlineStr">
        <is>
          <t>HM00786</t>
        </is>
      </c>
      <c r="B788" s="7" t="inlineStr">
        <is>
          <t>8712345904869</t>
        </is>
      </c>
      <c r="C788" s="6" t="inlineStr">
        <is>
          <t>HM GROUND COFFEE MEDIUM 227G</t>
        </is>
      </c>
      <c r="D788" s="6" t="inlineStr">
        <is>
          <t>Medium roast ground coffee, 227g</t>
        </is>
      </c>
      <c r="E788" s="6" t="inlineStr">
        <is>
          <t>Harbour Market</t>
        </is>
      </c>
      <c r="F788" s="6" t="inlineStr">
        <is>
          <t>Grocery</t>
        </is>
      </c>
      <c r="G788" s="6" t="inlineStr">
        <is>
          <t>Tea &amp; Coffee</t>
        </is>
      </c>
      <c r="H788" s="6" t="inlineStr">
        <is>
          <t>yes</t>
        </is>
      </c>
      <c r="I788" s="6" t="inlineStr">
        <is>
          <t>Plant-based non-core</t>
        </is>
      </c>
      <c r="J788" s="6" t="inlineStr">
        <is>
          <t>A</t>
        </is>
      </c>
      <c r="K788" s="6" t="inlineStr">
        <is>
          <t>All ingredients on one side</t>
        </is>
      </c>
      <c r="L788" s="6" t="n">
        <v>13</v>
      </c>
      <c r="M788" s="6" t="inlineStr">
        <is>
          <t>Median of the family</t>
        </is>
      </c>
      <c r="N788" s="6" t="n">
        <v>13</v>
      </c>
      <c r="O788" s="6" t="n">
        <v>0</v>
      </c>
      <c r="P788" s="6" t="inlineStr">
        <is>
          <t>no</t>
        </is>
      </c>
      <c r="Q788" s="6" t="n"/>
      <c r="R788" s="6" t="n"/>
      <c r="S788" s="6" t="n"/>
      <c r="T788" s="6" t="n"/>
      <c r="U788" s="6" t="n"/>
      <c r="V788" s="6" t="inlineStr">
        <is>
          <t>coffee tea</t>
        </is>
      </c>
      <c r="W788" s="6" t="n">
        <v>1</v>
      </c>
      <c r="X788" s="6" t="n">
        <v>0.227</v>
      </c>
      <c r="Y788" s="6" t="inlineStr">
        <is>
          <t>declared</t>
        </is>
      </c>
      <c r="Z788" s="8" t="n">
        <v>7851</v>
      </c>
      <c r="AA788" s="9">
        <f>IF(H788="yes",Z788*X788,0)</f>
        <v/>
      </c>
      <c r="AB788" s="9">
        <f>IF(H788="yes",AA788*N(L788)/100,0)</f>
        <v/>
      </c>
      <c r="AC788" s="9">
        <f>IF(H788="yes",AA788*N(N788)/100,0)</f>
        <v/>
      </c>
      <c r="AD788" s="9">
        <f>IF(H788="yes",AA788*N(O788)/100,0)</f>
        <v/>
      </c>
      <c r="AE788" s="10">
        <f>IF(P788="yes",AA788/1000,0)</f>
        <v/>
      </c>
      <c r="AF788" s="10">
        <f>IF(R788="FG2",AE788*W788,AE788)</f>
        <v/>
      </c>
    </row>
    <row r="789">
      <c r="A789" s="6" t="inlineStr">
        <is>
          <t>HM00787</t>
        </is>
      </c>
      <c r="B789" s="7" t="inlineStr">
        <is>
          <t>8712345384821</t>
        </is>
      </c>
      <c r="C789" s="6" t="inlineStr">
        <is>
          <t>HM SWEET POTATOES 1KG</t>
        </is>
      </c>
      <c r="D789" s="6" t="inlineStr">
        <is>
          <t>Sweet potatoes, 1kg</t>
        </is>
      </c>
      <c r="E789" s="6" t="inlineStr">
        <is>
          <t>Harbour Market</t>
        </is>
      </c>
      <c r="F789" s="6" t="inlineStr">
        <is>
          <t>Fruit &amp; Vegetables</t>
        </is>
      </c>
      <c r="G789" s="6" t="inlineStr">
        <is>
          <t>Potatoes</t>
        </is>
      </c>
      <c r="H789" s="6" t="inlineStr">
        <is>
          <t>yes</t>
        </is>
      </c>
      <c r="I789" s="6" t="inlineStr">
        <is>
          <t>Plant-based non-core</t>
        </is>
      </c>
      <c r="J789" s="6" t="inlineStr">
        <is>
          <t>B</t>
        </is>
      </c>
      <c r="K789" s="6" t="inlineStr">
        <is>
          <t>Follows the class</t>
        </is>
      </c>
      <c r="L789" s="6" t="n">
        <v>1.7</v>
      </c>
      <c r="M789" s="6" t="inlineStr">
        <is>
          <t>Declared by the retailer</t>
        </is>
      </c>
      <c r="N789" s="6" t="n">
        <v>1.7</v>
      </c>
      <c r="O789" s="6" t="n">
        <v>0</v>
      </c>
      <c r="P789" s="6" t="inlineStr">
        <is>
          <t>yes</t>
        </is>
      </c>
      <c r="Q789" s="6" t="inlineStr">
        <is>
          <t>whole</t>
        </is>
      </c>
      <c r="R789" s="6" t="inlineStr">
        <is>
          <t>FG6</t>
        </is>
      </c>
      <c r="S789" s="6" t="n"/>
      <c r="T789" s="6" t="inlineStr">
        <is>
          <t>plant</t>
        </is>
      </c>
      <c r="U789" s="6" t="n"/>
      <c r="V789" s="6" t="n"/>
      <c r="W789" s="6" t="n">
        <v>1</v>
      </c>
      <c r="X789" s="6" t="n">
        <v>1</v>
      </c>
      <c r="Y789" s="6" t="inlineStr">
        <is>
          <t>declared</t>
        </is>
      </c>
      <c r="Z789" s="8" t="n">
        <v>91940</v>
      </c>
      <c r="AA789" s="9">
        <f>IF(H789="yes",Z789*X789,0)</f>
        <v/>
      </c>
      <c r="AB789" s="9">
        <f>IF(H789="yes",AA789*N(L789)/100,0)</f>
        <v/>
      </c>
      <c r="AC789" s="9">
        <f>IF(H789="yes",AA789*N(N789)/100,0)</f>
        <v/>
      </c>
      <c r="AD789" s="9">
        <f>IF(H789="yes",AA789*N(O789)/100,0)</f>
        <v/>
      </c>
      <c r="AE789" s="10">
        <f>IF(P789="yes",AA789/1000,0)</f>
        <v/>
      </c>
      <c r="AF789" s="10">
        <f>IF(R789="FG2",AE789*W789,AE789)</f>
        <v/>
      </c>
    </row>
    <row r="790">
      <c r="A790" s="6" t="inlineStr">
        <is>
          <t>HM00788</t>
        </is>
      </c>
      <c r="B790" s="7" t="inlineStr">
        <is>
          <t>3012345738194</t>
        </is>
      </c>
      <c r="C790" s="6" t="inlineStr">
        <is>
          <t>HM ORG FREE RANGE EGGS 12PK</t>
        </is>
      </c>
      <c r="D790" s="6" t="inlineStr">
        <is>
          <t>Organic free-range eggs, 12pk</t>
        </is>
      </c>
      <c r="E790" s="6" t="inlineStr">
        <is>
          <t>Harbour Market</t>
        </is>
      </c>
      <c r="F790" s="6" t="inlineStr">
        <is>
          <t>Dairy &amp; Eggs</t>
        </is>
      </c>
      <c r="G790" s="6" t="inlineStr">
        <is>
          <t>Eggs</t>
        </is>
      </c>
      <c r="H790" s="6" t="inlineStr">
        <is>
          <t>yes</t>
        </is>
      </c>
      <c r="I790" s="6" t="inlineStr">
        <is>
          <t>Animal core</t>
        </is>
      </c>
      <c r="J790" s="6" t="inlineStr">
        <is>
          <t>B</t>
        </is>
      </c>
      <c r="K790" s="6" t="inlineStr">
        <is>
          <t>Follows the class</t>
        </is>
      </c>
      <c r="L790" s="6" t="n">
        <v>12.6</v>
      </c>
      <c r="M790" s="6" t="inlineStr">
        <is>
          <t>Declared by the retailer</t>
        </is>
      </c>
      <c r="N790" s="6" t="n">
        <v>0</v>
      </c>
      <c r="O790" s="6" t="n">
        <v>12.6</v>
      </c>
      <c r="P790" s="6" t="inlineStr">
        <is>
          <t>yes</t>
        </is>
      </c>
      <c r="Q790" s="6" t="inlineStr">
        <is>
          <t>whole</t>
        </is>
      </c>
      <c r="R790" s="6" t="inlineStr">
        <is>
          <t>FG1</t>
        </is>
      </c>
      <c r="S790" s="6" t="inlineStr">
        <is>
          <t>eggs</t>
        </is>
      </c>
      <c r="T790" s="6" t="inlineStr">
        <is>
          <t>animal</t>
        </is>
      </c>
      <c r="U790" s="6" t="n"/>
      <c r="V790" s="6" t="n"/>
      <c r="W790" s="6" t="n">
        <v>1</v>
      </c>
      <c r="X790" s="6" t="n">
        <v>0.72</v>
      </c>
      <c r="Y790" s="6" t="inlineStr">
        <is>
          <t>declared</t>
        </is>
      </c>
      <c r="Z790" s="8" t="n">
        <v>8275</v>
      </c>
      <c r="AA790" s="9">
        <f>IF(H790="yes",Z790*X790,0)</f>
        <v/>
      </c>
      <c r="AB790" s="9">
        <f>IF(H790="yes",AA790*N(L790)/100,0)</f>
        <v/>
      </c>
      <c r="AC790" s="9">
        <f>IF(H790="yes",AA790*N(N790)/100,0)</f>
        <v/>
      </c>
      <c r="AD790" s="9">
        <f>IF(H790="yes",AA790*N(O790)/100,0)</f>
        <v/>
      </c>
      <c r="AE790" s="10">
        <f>IF(P790="yes",AA790/1000,0)</f>
        <v/>
      </c>
      <c r="AF790" s="10">
        <f>IF(R790="FG2",AE790*W790,AE790)</f>
        <v/>
      </c>
    </row>
    <row r="791">
      <c r="A791" s="6" t="inlineStr">
        <is>
          <t>HM00789</t>
        </is>
      </c>
      <c r="B791" s="7" t="inlineStr">
        <is>
          <t>8712345559885</t>
        </is>
      </c>
      <c r="C791" s="6" t="inlineStr">
        <is>
          <t>TOM BASIL PASTA SCE 4X400G CASTELNA</t>
        </is>
      </c>
      <c r="D791" s="6" t="inlineStr">
        <is>
          <t>Tomato &amp; basil pasta sauce, 4x400g</t>
        </is>
      </c>
      <c r="E791" s="6" t="inlineStr">
        <is>
          <t>Castelna</t>
        </is>
      </c>
      <c r="F791" s="6" t="inlineStr">
        <is>
          <t>Grocery</t>
        </is>
      </c>
      <c r="G791" s="6" t="inlineStr">
        <is>
          <t>Canned Vegetables</t>
        </is>
      </c>
      <c r="H791" s="6" t="inlineStr">
        <is>
          <t>yes</t>
        </is>
      </c>
      <c r="I791" s="6" t="inlineStr">
        <is>
          <t>Plant-based non-core</t>
        </is>
      </c>
      <c r="J791" s="6" t="inlineStr">
        <is>
          <t>A</t>
        </is>
      </c>
      <c r="K791" s="6" t="inlineStr">
        <is>
          <t>All ingredients on one side</t>
        </is>
      </c>
      <c r="L791" s="6" t="n">
        <v>1.6</v>
      </c>
      <c r="M791" s="6" t="inlineStr">
        <is>
          <t>Name match (CIQUAL / NEVO)</t>
        </is>
      </c>
      <c r="N791" s="6" t="n">
        <v>1.6</v>
      </c>
      <c r="O791" s="6" t="n">
        <v>0</v>
      </c>
      <c r="P791" s="6" t="inlineStr">
        <is>
          <t>yes</t>
        </is>
      </c>
      <c r="Q791" s="6" t="inlineStr">
        <is>
          <t>whole</t>
        </is>
      </c>
      <c r="R791" s="6" t="inlineStr">
        <is>
          <t>FG4</t>
        </is>
      </c>
      <c r="S791" s="6" t="n"/>
      <c r="T791" s="6" t="inlineStr">
        <is>
          <t>plant</t>
        </is>
      </c>
      <c r="U791" s="6" t="n"/>
      <c r="V791" s="6" t="n"/>
      <c r="W791" s="6" t="n">
        <v>1</v>
      </c>
      <c r="X791" s="6" t="n">
        <v>1.6</v>
      </c>
      <c r="Y791" s="6" t="inlineStr">
        <is>
          <t>declared</t>
        </is>
      </c>
      <c r="Z791" s="8" t="n">
        <v>167137</v>
      </c>
      <c r="AA791" s="9">
        <f>IF(H791="yes",Z791*X791,0)</f>
        <v/>
      </c>
      <c r="AB791" s="9">
        <f>IF(H791="yes",AA791*N(L791)/100,0)</f>
        <v/>
      </c>
      <c r="AC791" s="9">
        <f>IF(H791="yes",AA791*N(N791)/100,0)</f>
        <v/>
      </c>
      <c r="AD791" s="9">
        <f>IF(H791="yes",AA791*N(O791)/100,0)</f>
        <v/>
      </c>
      <c r="AE791" s="10">
        <f>IF(P791="yes",AA791/1000,0)</f>
        <v/>
      </c>
      <c r="AF791" s="10">
        <f>IF(R791="FG2",AE791*W791,AE791)</f>
        <v/>
      </c>
    </row>
    <row r="792">
      <c r="A792" s="6" t="inlineStr">
        <is>
          <t>HM00790</t>
        </is>
      </c>
      <c r="B792" s="7" t="inlineStr">
        <is>
          <t>8712345660765</t>
        </is>
      </c>
      <c r="C792" s="6" t="inlineStr">
        <is>
          <t>HM MANGO RIPE EACH</t>
        </is>
      </c>
      <c r="D792" s="6" t="inlineStr">
        <is>
          <t>Ripe mango</t>
        </is>
      </c>
      <c r="E792" s="6" t="inlineStr">
        <is>
          <t>Harbour Market</t>
        </is>
      </c>
      <c r="F792" s="6" t="inlineStr">
        <is>
          <t>Fruit &amp; Vegetables</t>
        </is>
      </c>
      <c r="G792" s="6" t="inlineStr">
        <is>
          <t>Exotic Fruit</t>
        </is>
      </c>
      <c r="H792" s="6" t="inlineStr">
        <is>
          <t>yes</t>
        </is>
      </c>
      <c r="I792" s="6" t="inlineStr">
        <is>
          <t>Plant-based non-core</t>
        </is>
      </c>
      <c r="J792" s="6" t="inlineStr">
        <is>
          <t>B</t>
        </is>
      </c>
      <c r="K792" s="6" t="inlineStr">
        <is>
          <t>Follows the class</t>
        </is>
      </c>
      <c r="L792" s="6" t="n">
        <v>0.78</v>
      </c>
      <c r="M792" s="6" t="inlineStr">
        <is>
          <t>Declared by the retailer</t>
        </is>
      </c>
      <c r="N792" s="6" t="n">
        <v>0.78</v>
      </c>
      <c r="O792" s="6" t="n">
        <v>0</v>
      </c>
      <c r="P792" s="6" t="inlineStr">
        <is>
          <t>yes</t>
        </is>
      </c>
      <c r="Q792" s="6" t="inlineStr">
        <is>
          <t>whole</t>
        </is>
      </c>
      <c r="R792" s="6" t="inlineStr">
        <is>
          <t>FG4</t>
        </is>
      </c>
      <c r="S792" s="6" t="n"/>
      <c r="T792" s="6" t="inlineStr">
        <is>
          <t>plant</t>
        </is>
      </c>
      <c r="U792" s="6" t="n"/>
      <c r="V792" s="6" t="n"/>
      <c r="W792" s="6" t="n">
        <v>1</v>
      </c>
      <c r="X792" s="6" t="n">
        <v>0.35</v>
      </c>
      <c r="Y792" s="6" t="inlineStr">
        <is>
          <t>typical_piece</t>
        </is>
      </c>
      <c r="Z792" s="8" t="n">
        <v>26877</v>
      </c>
      <c r="AA792" s="9">
        <f>IF(H792="yes",Z792*X792,0)</f>
        <v/>
      </c>
      <c r="AB792" s="9">
        <f>IF(H792="yes",AA792*N(L792)/100,0)</f>
        <v/>
      </c>
      <c r="AC792" s="9">
        <f>IF(H792="yes",AA792*N(N792)/100,0)</f>
        <v/>
      </c>
      <c r="AD792" s="9">
        <f>IF(H792="yes",AA792*N(O792)/100,0)</f>
        <v/>
      </c>
      <c r="AE792" s="10">
        <f>IF(P792="yes",AA792/1000,0)</f>
        <v/>
      </c>
      <c r="AF792" s="10">
        <f>IF(R792="FG2",AE792*W792,AE792)</f>
        <v/>
      </c>
    </row>
    <row r="793">
      <c r="A793" s="6" t="inlineStr">
        <is>
          <t>HM00791</t>
        </is>
      </c>
      <c r="B793" s="7" t="inlineStr">
        <is>
          <t>3012345172820</t>
        </is>
      </c>
      <c r="C793" s="6" t="inlineStr">
        <is>
          <t>PENWARD PALE ALE 10X330ML</t>
        </is>
      </c>
      <c r="D793" s="6" t="inlineStr">
        <is>
          <t>Pale ale, 10x330ml</t>
        </is>
      </c>
      <c r="E793" s="6" t="inlineStr">
        <is>
          <t>Penward</t>
        </is>
      </c>
      <c r="F793" s="6" t="inlineStr">
        <is>
          <t>Beer, Wine &amp; Spirits</t>
        </is>
      </c>
      <c r="G793" s="6" t="inlineStr">
        <is>
          <t>Beer &amp; Cider</t>
        </is>
      </c>
      <c r="H793" s="6" t="inlineStr">
        <is>
          <t>yes</t>
        </is>
      </c>
      <c r="I793" s="6" t="inlineStr">
        <is>
          <t>Plant-based non-core</t>
        </is>
      </c>
      <c r="J793" s="6" t="inlineStr">
        <is>
          <t>A</t>
        </is>
      </c>
      <c r="K793" s="6" t="inlineStr">
        <is>
          <t>All ingredients on one side</t>
        </is>
      </c>
      <c r="L793" s="6" t="n">
        <v>0.42</v>
      </c>
      <c r="M793" s="6" t="inlineStr">
        <is>
          <t>Declared by the retailer</t>
        </is>
      </c>
      <c r="N793" s="6" t="n">
        <v>0.42</v>
      </c>
      <c r="O793" s="6" t="n">
        <v>0</v>
      </c>
      <c r="P793" s="6" t="inlineStr">
        <is>
          <t>no</t>
        </is>
      </c>
      <c r="Q793" s="6" t="n"/>
      <c r="R793" s="6" t="n"/>
      <c r="S793" s="6" t="n"/>
      <c r="T793" s="6" t="n"/>
      <c r="U793" s="6" t="n"/>
      <c r="V793" s="6" t="inlineStr">
        <is>
          <t>alcohol</t>
        </is>
      </c>
      <c r="W793" s="6" t="n">
        <v>1</v>
      </c>
      <c r="X793" s="6" t="n">
        <v>3.3</v>
      </c>
      <c r="Y793" s="6" t="inlineStr">
        <is>
          <t>declared</t>
        </is>
      </c>
      <c r="Z793" s="8" t="n">
        <v>41084</v>
      </c>
      <c r="AA793" s="9">
        <f>IF(H793="yes",Z793*X793,0)</f>
        <v/>
      </c>
      <c r="AB793" s="9">
        <f>IF(H793="yes",AA793*N(L793)/100,0)</f>
        <v/>
      </c>
      <c r="AC793" s="9">
        <f>IF(H793="yes",AA793*N(N793)/100,0)</f>
        <v/>
      </c>
      <c r="AD793" s="9">
        <f>IF(H793="yes",AA793*N(O793)/100,0)</f>
        <v/>
      </c>
      <c r="AE793" s="10">
        <f>IF(P793="yes",AA793/1000,0)</f>
        <v/>
      </c>
      <c r="AF793" s="10">
        <f>IF(R793="FG2",AE793*W793,AE793)</f>
        <v/>
      </c>
    </row>
    <row r="794">
      <c r="A794" s="6" t="inlineStr">
        <is>
          <t>HM00792</t>
        </is>
      </c>
      <c r="B794" s="7" t="inlineStr">
        <is>
          <t>5012345483115</t>
        </is>
      </c>
      <c r="C794" s="6" t="inlineStr">
        <is>
          <t>HM CHEESE PICKLE SANDWICH 170G</t>
        </is>
      </c>
      <c r="D794" s="6" t="inlineStr">
        <is>
          <t>Cheese &amp; pickle sandwich, 170g</t>
        </is>
      </c>
      <c r="E794" s="6" t="inlineStr">
        <is>
          <t>Harbour Market</t>
        </is>
      </c>
      <c r="F794" s="6" t="inlineStr">
        <is>
          <t>Ready Meals</t>
        </is>
      </c>
      <c r="G794" s="6" t="inlineStr">
        <is>
          <t>Sandwiches</t>
        </is>
      </c>
      <c r="H794" s="6" t="inlineStr">
        <is>
          <t>yes</t>
        </is>
      </c>
      <c r="I794" s="6" t="inlineStr">
        <is>
          <t>Animal &amp; plant composite</t>
        </is>
      </c>
      <c r="J794" s="6" t="inlineStr">
        <is>
          <t>B</t>
        </is>
      </c>
      <c r="K794" s="6" t="inlineStr">
        <is>
          <t>50/50 convention</t>
        </is>
      </c>
      <c r="L794" s="6" t="n">
        <v>11.6</v>
      </c>
      <c r="M794" s="6" t="inlineStr">
        <is>
          <t>Declared by the retailer</t>
        </is>
      </c>
      <c r="N794" s="6" t="n">
        <v>5.8</v>
      </c>
      <c r="O794" s="6" t="n">
        <v>5.8</v>
      </c>
      <c r="P794" s="6" t="inlineStr">
        <is>
          <t>yes</t>
        </is>
      </c>
      <c r="Q794" s="6" t="inlineStr">
        <is>
          <t>composite</t>
        </is>
      </c>
      <c r="R794" s="6" t="n"/>
      <c r="S794" s="6" t="n"/>
      <c r="T794" s="6" t="n"/>
      <c r="U794" s="6" t="inlineStr">
        <is>
          <t>vegetarian</t>
        </is>
      </c>
      <c r="V794" s="6" t="n"/>
      <c r="W794" s="6" t="n">
        <v>1</v>
      </c>
      <c r="X794" s="6" t="n">
        <v>0.17</v>
      </c>
      <c r="Y794" s="6" t="inlineStr">
        <is>
          <t>declared</t>
        </is>
      </c>
      <c r="Z794" s="8" t="n">
        <v>33299</v>
      </c>
      <c r="AA794" s="9">
        <f>IF(H794="yes",Z794*X794,0)</f>
        <v/>
      </c>
      <c r="AB794" s="9">
        <f>IF(H794="yes",AA794*N(L794)/100,0)</f>
        <v/>
      </c>
      <c r="AC794" s="9">
        <f>IF(H794="yes",AA794*N(N794)/100,0)</f>
        <v/>
      </c>
      <c r="AD794" s="9">
        <f>IF(H794="yes",AA794*N(O794)/100,0)</f>
        <v/>
      </c>
      <c r="AE794" s="10">
        <f>IF(P794="yes",AA794/1000,0)</f>
        <v/>
      </c>
      <c r="AF794" s="10">
        <f>IF(R794="FG2",AE794*W794,AE794)</f>
        <v/>
      </c>
    </row>
    <row r="795">
      <c r="A795" s="6" t="inlineStr">
        <is>
          <t>HM00793</t>
        </is>
      </c>
      <c r="B795" s="7" t="inlineStr">
        <is>
          <t>5012345249353</t>
        </is>
      </c>
      <c r="C795" s="6" t="inlineStr">
        <is>
          <t>HM BF MINCE 15% 1KG</t>
        </is>
      </c>
      <c r="D795" s="6" t="inlineStr">
        <is>
          <t>Beef mince, 15% fat, 1kg</t>
        </is>
      </c>
      <c r="E795" s="6" t="inlineStr">
        <is>
          <t>Harbour Market</t>
        </is>
      </c>
      <c r="F795" s="6" t="inlineStr">
        <is>
          <t>Fresh Meat &amp; Poultry</t>
        </is>
      </c>
      <c r="G795" s="6" t="inlineStr">
        <is>
          <t>Beef</t>
        </is>
      </c>
      <c r="H795" s="6" t="inlineStr">
        <is>
          <t>yes</t>
        </is>
      </c>
      <c r="I795" s="6" t="inlineStr">
        <is>
          <t>Animal core</t>
        </is>
      </c>
      <c r="J795" s="6" t="inlineStr">
        <is>
          <t>A</t>
        </is>
      </c>
      <c r="K795" s="6" t="inlineStr">
        <is>
          <t>All ingredients on one side</t>
        </is>
      </c>
      <c r="L795" s="6" t="n">
        <v>18.9</v>
      </c>
      <c r="M795" s="6" t="inlineStr">
        <is>
          <t>Open Food Facts, by EAN</t>
        </is>
      </c>
      <c r="N795" s="6" t="n">
        <v>0</v>
      </c>
      <c r="O795" s="6" t="n">
        <v>18.9</v>
      </c>
      <c r="P795" s="6" t="inlineStr">
        <is>
          <t>yes</t>
        </is>
      </c>
      <c r="Q795" s="6" t="inlineStr">
        <is>
          <t>whole</t>
        </is>
      </c>
      <c r="R795" s="6" t="inlineStr">
        <is>
          <t>FG1</t>
        </is>
      </c>
      <c r="S795" s="6" t="inlineStr">
        <is>
          <t>red meat</t>
        </is>
      </c>
      <c r="T795" s="6" t="inlineStr">
        <is>
          <t>animal</t>
        </is>
      </c>
      <c r="U795" s="6" t="n"/>
      <c r="V795" s="6" t="n"/>
      <c r="W795" s="6" t="n">
        <v>1</v>
      </c>
      <c r="X795" s="6" t="n">
        <v>1</v>
      </c>
      <c r="Y795" s="6" t="inlineStr">
        <is>
          <t>declared</t>
        </is>
      </c>
      <c r="Z795" s="8" t="n">
        <v>137957</v>
      </c>
      <c r="AA795" s="9">
        <f>IF(H795="yes",Z795*X795,0)</f>
        <v/>
      </c>
      <c r="AB795" s="9">
        <f>IF(H795="yes",AA795*N(L795)/100,0)</f>
        <v/>
      </c>
      <c r="AC795" s="9">
        <f>IF(H795="yes",AA795*N(N795)/100,0)</f>
        <v/>
      </c>
      <c r="AD795" s="9">
        <f>IF(H795="yes",AA795*N(O795)/100,0)</f>
        <v/>
      </c>
      <c r="AE795" s="10">
        <f>IF(P795="yes",AA795/1000,0)</f>
        <v/>
      </c>
      <c r="AF795" s="10">
        <f>IF(R795="FG2",AE795*W795,AE795)</f>
        <v/>
      </c>
    </row>
    <row r="796">
      <c r="A796" s="6" t="inlineStr">
        <is>
          <t>HM00794</t>
        </is>
      </c>
      <c r="B796" s="7" t="inlineStr">
        <is>
          <t>8712345520793</t>
        </is>
      </c>
      <c r="C796" s="6" t="inlineStr">
        <is>
          <t>HM EGG CRESS SANDWICH 170G</t>
        </is>
      </c>
      <c r="D796" s="6" t="inlineStr">
        <is>
          <t>Egg &amp; cress sandwich, 170g</t>
        </is>
      </c>
      <c r="E796" s="6" t="inlineStr">
        <is>
          <t>Harbour Market</t>
        </is>
      </c>
      <c r="F796" s="6" t="inlineStr">
        <is>
          <t>Ready Meals</t>
        </is>
      </c>
      <c r="G796" s="6" t="inlineStr">
        <is>
          <t>Sandwiches</t>
        </is>
      </c>
      <c r="H796" s="6" t="inlineStr">
        <is>
          <t>yes</t>
        </is>
      </c>
      <c r="I796" s="6" t="inlineStr">
        <is>
          <t>Animal &amp; plant composite</t>
        </is>
      </c>
      <c r="J796" s="6" t="inlineStr">
        <is>
          <t>B</t>
        </is>
      </c>
      <c r="K796" s="6" t="inlineStr">
        <is>
          <t>50/50 convention</t>
        </is>
      </c>
      <c r="L796" s="6" t="n">
        <v>10.6</v>
      </c>
      <c r="M796" s="6" t="inlineStr">
        <is>
          <t>Declared by the retailer</t>
        </is>
      </c>
      <c r="N796" s="6" t="n">
        <v>5.3</v>
      </c>
      <c r="O796" s="6" t="n">
        <v>5.3</v>
      </c>
      <c r="P796" s="6" t="inlineStr">
        <is>
          <t>yes</t>
        </is>
      </c>
      <c r="Q796" s="6" t="inlineStr">
        <is>
          <t>composite</t>
        </is>
      </c>
      <c r="R796" s="6" t="n"/>
      <c r="S796" s="6" t="n"/>
      <c r="T796" s="6" t="n"/>
      <c r="U796" s="6" t="inlineStr">
        <is>
          <t>vegetarian</t>
        </is>
      </c>
      <c r="V796" s="6" t="n"/>
      <c r="W796" s="6" t="n">
        <v>1</v>
      </c>
      <c r="X796" s="6" t="n">
        <v>0.17</v>
      </c>
      <c r="Y796" s="6" t="inlineStr">
        <is>
          <t>declared</t>
        </is>
      </c>
      <c r="Z796" s="8" t="n">
        <v>38548</v>
      </c>
      <c r="AA796" s="9">
        <f>IF(H796="yes",Z796*X796,0)</f>
        <v/>
      </c>
      <c r="AB796" s="9">
        <f>IF(H796="yes",AA796*N(L796)/100,0)</f>
        <v/>
      </c>
      <c r="AC796" s="9">
        <f>IF(H796="yes",AA796*N(N796)/100,0)</f>
        <v/>
      </c>
      <c r="AD796" s="9">
        <f>IF(H796="yes",AA796*N(O796)/100,0)</f>
        <v/>
      </c>
      <c r="AE796" s="10">
        <f>IF(P796="yes",AA796/1000,0)</f>
        <v/>
      </c>
      <c r="AF796" s="10">
        <f>IF(R796="FG2",AE796*W796,AE796)</f>
        <v/>
      </c>
    </row>
    <row r="797">
      <c r="A797" s="6" t="inlineStr">
        <is>
          <t>HM00795</t>
        </is>
      </c>
      <c r="B797" s="7" t="inlineStr">
        <is>
          <t>4012345935370</t>
        </is>
      </c>
      <c r="C797" s="6" t="inlineStr">
        <is>
          <t>HM PEACH YOG 6X125G</t>
        </is>
      </c>
      <c r="D797" s="6" t="inlineStr">
        <is>
          <t>Peach yoghurt, 6x125g</t>
        </is>
      </c>
      <c r="E797" s="6" t="inlineStr">
        <is>
          <t>Harbour Market</t>
        </is>
      </c>
      <c r="F797" s="6" t="inlineStr">
        <is>
          <t>Dairy &amp; Eggs</t>
        </is>
      </c>
      <c r="G797" s="6" t="inlineStr">
        <is>
          <t>Yoghurt</t>
        </is>
      </c>
      <c r="H797" s="6" t="inlineStr">
        <is>
          <t>yes</t>
        </is>
      </c>
      <c r="I797" s="6" t="inlineStr">
        <is>
          <t>Animal core</t>
        </is>
      </c>
      <c r="J797" s="6" t="inlineStr">
        <is>
          <t>B</t>
        </is>
      </c>
      <c r="K797" s="6" t="inlineStr">
        <is>
          <t>First ingredient (step 4a)</t>
        </is>
      </c>
      <c r="L797" s="6" t="n">
        <v>3.7</v>
      </c>
      <c r="M797" s="6" t="inlineStr">
        <is>
          <t>Declared by the retailer</t>
        </is>
      </c>
      <c r="N797" s="6" t="n">
        <v>0</v>
      </c>
      <c r="O797" s="6" t="n">
        <v>3.7</v>
      </c>
      <c r="P797" s="6" t="inlineStr">
        <is>
          <t>yes</t>
        </is>
      </c>
      <c r="Q797" s="6" t="inlineStr">
        <is>
          <t>whole</t>
        </is>
      </c>
      <c r="R797" s="6" t="inlineStr">
        <is>
          <t>FG2</t>
        </is>
      </c>
      <c r="S797" s="6" t="inlineStr">
        <is>
          <t>dairy</t>
        </is>
      </c>
      <c r="T797" s="6" t="inlineStr">
        <is>
          <t>animal</t>
        </is>
      </c>
      <c r="U797" s="6" t="n"/>
      <c r="V797" s="6" t="n"/>
      <c r="W797" s="6" t="n">
        <v>1</v>
      </c>
      <c r="X797" s="6" t="n">
        <v>0.75</v>
      </c>
      <c r="Y797" s="6" t="inlineStr">
        <is>
          <t>declared</t>
        </is>
      </c>
      <c r="Z797" s="8" t="n">
        <v>44002</v>
      </c>
      <c r="AA797" s="9">
        <f>IF(H797="yes",Z797*X797,0)</f>
        <v/>
      </c>
      <c r="AB797" s="9">
        <f>IF(H797="yes",AA797*N(L797)/100,0)</f>
        <v/>
      </c>
      <c r="AC797" s="9">
        <f>IF(H797="yes",AA797*N(N797)/100,0)</f>
        <v/>
      </c>
      <c r="AD797" s="9">
        <f>IF(H797="yes",AA797*N(O797)/100,0)</f>
        <v/>
      </c>
      <c r="AE797" s="10">
        <f>IF(P797="yes",AA797/1000,0)</f>
        <v/>
      </c>
      <c r="AF797" s="10">
        <f>IF(R797="FG2",AE797*W797,AE797)</f>
        <v/>
      </c>
    </row>
    <row r="798">
      <c r="A798" s="6" t="inlineStr">
        <is>
          <t>HM00796</t>
        </is>
      </c>
      <c r="B798" s="7" t="inlineStr">
        <is>
          <t>4012345118865</t>
        </is>
      </c>
      <c r="C798" s="6" t="inlineStr">
        <is>
          <t>HM RED WINE MERLOT 3X75CL</t>
        </is>
      </c>
      <c r="D798" s="6" t="inlineStr">
        <is>
          <t>Merlot red wine, 3x75cl</t>
        </is>
      </c>
      <c r="E798" s="6" t="inlineStr">
        <is>
          <t>Harbour Market</t>
        </is>
      </c>
      <c r="F798" s="6" t="inlineStr">
        <is>
          <t>Beer, Wine &amp; Spirits</t>
        </is>
      </c>
      <c r="G798" s="6" t="inlineStr">
        <is>
          <t>Wine</t>
        </is>
      </c>
      <c r="H798" s="6" t="inlineStr">
        <is>
          <t>yes</t>
        </is>
      </c>
      <c r="I798" s="6" t="inlineStr">
        <is>
          <t>Plant-based non-core</t>
        </is>
      </c>
      <c r="J798" s="6" t="inlineStr">
        <is>
          <t>A</t>
        </is>
      </c>
      <c r="K798" s="6" t="inlineStr">
        <is>
          <t>All ingredients on one side</t>
        </is>
      </c>
      <c r="L798" s="6" t="n">
        <v>0.1</v>
      </c>
      <c r="M798" s="6" t="inlineStr">
        <is>
          <t>Declared by the retailer</t>
        </is>
      </c>
      <c r="N798" s="6" t="n">
        <v>0.1</v>
      </c>
      <c r="O798" s="6" t="n">
        <v>0</v>
      </c>
      <c r="P798" s="6" t="inlineStr">
        <is>
          <t>no</t>
        </is>
      </c>
      <c r="Q798" s="6" t="n"/>
      <c r="R798" s="6" t="n"/>
      <c r="S798" s="6" t="n"/>
      <c r="T798" s="6" t="n"/>
      <c r="U798" s="6" t="n"/>
      <c r="V798" s="6" t="inlineStr">
        <is>
          <t>alcohol</t>
        </is>
      </c>
      <c r="W798" s="6" t="n">
        <v>1</v>
      </c>
      <c r="X798" s="6" t="n">
        <v>2.25</v>
      </c>
      <c r="Y798" s="6" t="inlineStr">
        <is>
          <t>declared</t>
        </is>
      </c>
      <c r="Z798" s="8" t="n">
        <v>19632</v>
      </c>
      <c r="AA798" s="9">
        <f>IF(H798="yes",Z798*X798,0)</f>
        <v/>
      </c>
      <c r="AB798" s="9">
        <f>IF(H798="yes",AA798*N(L798)/100,0)</f>
        <v/>
      </c>
      <c r="AC798" s="9">
        <f>IF(H798="yes",AA798*N(N798)/100,0)</f>
        <v/>
      </c>
      <c r="AD798" s="9">
        <f>IF(H798="yes",AA798*N(O798)/100,0)</f>
        <v/>
      </c>
      <c r="AE798" s="10">
        <f>IF(P798="yes",AA798/1000,0)</f>
        <v/>
      </c>
      <c r="AF798" s="10">
        <f>IF(R798="FG2",AE798*W798,AE798)</f>
        <v/>
      </c>
    </row>
    <row r="799">
      <c r="A799" s="6" t="inlineStr">
        <is>
          <t>HM00797</t>
        </is>
      </c>
      <c r="B799" s="7" t="inlineStr">
        <is>
          <t>8712345022143</t>
        </is>
      </c>
      <c r="C799" s="6" t="inlineStr">
        <is>
          <t>ALDERWICK EMMENTAL SLICES 800G</t>
        </is>
      </c>
      <c r="D799" s="6" t="inlineStr">
        <is>
          <t>Emmental slices, 800g</t>
        </is>
      </c>
      <c r="E799" s="6" t="inlineStr">
        <is>
          <t>Alderwick</t>
        </is>
      </c>
      <c r="F799" s="6" t="inlineStr">
        <is>
          <t>Cheese</t>
        </is>
      </c>
      <c r="G799" s="6" t="inlineStr">
        <is>
          <t>Hard Cheese</t>
        </is>
      </c>
      <c r="H799" s="6" t="inlineStr">
        <is>
          <t>yes</t>
        </is>
      </c>
      <c r="I799" s="6" t="inlineStr">
        <is>
          <t>Animal core</t>
        </is>
      </c>
      <c r="J799" s="6" t="inlineStr">
        <is>
          <t>B</t>
        </is>
      </c>
      <c r="K799" s="6" t="inlineStr">
        <is>
          <t>Follows the class</t>
        </is>
      </c>
      <c r="L799" s="6" t="n">
        <v>26.7</v>
      </c>
      <c r="M799" s="6" t="inlineStr">
        <is>
          <t>Altera reference base</t>
        </is>
      </c>
      <c r="N799" s="6" t="n">
        <v>0</v>
      </c>
      <c r="O799" s="6" t="n">
        <v>26.7</v>
      </c>
      <c r="P799" s="6" t="inlineStr">
        <is>
          <t>yes</t>
        </is>
      </c>
      <c r="Q799" s="6" t="inlineStr">
        <is>
          <t>whole</t>
        </is>
      </c>
      <c r="R799" s="6" t="inlineStr">
        <is>
          <t>FG2</t>
        </is>
      </c>
      <c r="S799" s="6" t="inlineStr">
        <is>
          <t>dairy</t>
        </is>
      </c>
      <c r="T799" s="6" t="inlineStr">
        <is>
          <t>animal</t>
        </is>
      </c>
      <c r="U799" s="6" t="n"/>
      <c r="V799" s="6" t="n"/>
      <c r="W799" s="6" t="n">
        <v>10</v>
      </c>
      <c r="X799" s="6" t="n">
        <v>0.8</v>
      </c>
      <c r="Y799" s="6" t="inlineStr">
        <is>
          <t>declared</t>
        </is>
      </c>
      <c r="Z799" s="8" t="n">
        <v>11578</v>
      </c>
      <c r="AA799" s="9">
        <f>IF(H799="yes",Z799*X799,0)</f>
        <v/>
      </c>
      <c r="AB799" s="9">
        <f>IF(H799="yes",AA799*N(L799)/100,0)</f>
        <v/>
      </c>
      <c r="AC799" s="9">
        <f>IF(H799="yes",AA799*N(N799)/100,0)</f>
        <v/>
      </c>
      <c r="AD799" s="9">
        <f>IF(H799="yes",AA799*N(O799)/100,0)</f>
        <v/>
      </c>
      <c r="AE799" s="10">
        <f>IF(P799="yes",AA799/1000,0)</f>
        <v/>
      </c>
      <c r="AF799" s="10">
        <f>IF(R799="FG2",AE799*W799,AE799)</f>
        <v/>
      </c>
    </row>
    <row r="800">
      <c r="A800" s="6" t="inlineStr">
        <is>
          <t>HM00798</t>
        </is>
      </c>
      <c r="B800" s="7" t="inlineStr">
        <is>
          <t>5012345275130</t>
        </is>
      </c>
      <c r="C800" s="6" t="inlineStr">
        <is>
          <t>HM BAKED BEANS TOM SCE 400G</t>
        </is>
      </c>
      <c r="D800" s="6" t="inlineStr">
        <is>
          <t>Baked beans in tomato sauce, 400g</t>
        </is>
      </c>
      <c r="E800" s="6" t="inlineStr">
        <is>
          <t>Harbour Market</t>
        </is>
      </c>
      <c r="F800" s="6" t="inlineStr">
        <is>
          <t>Grocery</t>
        </is>
      </c>
      <c r="G800" s="6" t="inlineStr">
        <is>
          <t>Pulses</t>
        </is>
      </c>
      <c r="H800" s="6" t="inlineStr">
        <is>
          <t>yes</t>
        </is>
      </c>
      <c r="I800" s="6" t="inlineStr">
        <is>
          <t>Plant-based core</t>
        </is>
      </c>
      <c r="J800" s="6" t="inlineStr">
        <is>
          <t>A</t>
        </is>
      </c>
      <c r="K800" s="6" t="inlineStr">
        <is>
          <t>All ingredients on one side</t>
        </is>
      </c>
      <c r="L800" s="6" t="n">
        <v>4.5</v>
      </c>
      <c r="M800" s="6" t="inlineStr">
        <is>
          <t>Open Food Facts, by EAN</t>
        </is>
      </c>
      <c r="N800" s="6" t="n">
        <v>4.5</v>
      </c>
      <c r="O800" s="6" t="n">
        <v>0</v>
      </c>
      <c r="P800" s="6" t="inlineStr">
        <is>
          <t>yes</t>
        </is>
      </c>
      <c r="Q800" s="6" t="inlineStr">
        <is>
          <t>whole</t>
        </is>
      </c>
      <c r="R800" s="6" t="inlineStr">
        <is>
          <t>FG1</t>
        </is>
      </c>
      <c r="S800" s="6" t="inlineStr">
        <is>
          <t>pulses</t>
        </is>
      </c>
      <c r="T800" s="6" t="inlineStr">
        <is>
          <t>plant</t>
        </is>
      </c>
      <c r="U800" s="6" t="n"/>
      <c r="V800" s="6" t="n"/>
      <c r="W800" s="6" t="n">
        <v>1</v>
      </c>
      <c r="X800" s="6" t="n">
        <v>0.4</v>
      </c>
      <c r="Y800" s="6" t="inlineStr">
        <is>
          <t>declared</t>
        </is>
      </c>
      <c r="Z800" s="8" t="n">
        <v>27065</v>
      </c>
      <c r="AA800" s="9">
        <f>IF(H800="yes",Z800*X800,0)</f>
        <v/>
      </c>
      <c r="AB800" s="9">
        <f>IF(H800="yes",AA800*N(L800)/100,0)</f>
        <v/>
      </c>
      <c r="AC800" s="9">
        <f>IF(H800="yes",AA800*N(N800)/100,0)</f>
        <v/>
      </c>
      <c r="AD800" s="9">
        <f>IF(H800="yes",AA800*N(O800)/100,0)</f>
        <v/>
      </c>
      <c r="AE800" s="10">
        <f>IF(P800="yes",AA800/1000,0)</f>
        <v/>
      </c>
      <c r="AF800" s="10">
        <f>IF(R800="FG2",AE800*W800,AE800)</f>
        <v/>
      </c>
    </row>
    <row r="801">
      <c r="A801" s="6" t="inlineStr">
        <is>
          <t>HM00799</t>
        </is>
      </c>
      <c r="B801" s="7" t="inlineStr">
        <is>
          <t>8712345685164</t>
        </is>
      </c>
      <c r="C801" s="6" t="inlineStr">
        <is>
          <t>HM CHERRY TOMATOES 500G</t>
        </is>
      </c>
      <c r="D801" s="6" t="inlineStr">
        <is>
          <t>Cherry tomatoes, 500g</t>
        </is>
      </c>
      <c r="E801" s="6" t="inlineStr">
        <is>
          <t>Harbour Market</t>
        </is>
      </c>
      <c r="F801" s="6" t="inlineStr">
        <is>
          <t>Fruit &amp; Vegetables</t>
        </is>
      </c>
      <c r="G801" s="6" t="inlineStr">
        <is>
          <t>Vegetables</t>
        </is>
      </c>
      <c r="H801" s="6" t="inlineStr">
        <is>
          <t>yes</t>
        </is>
      </c>
      <c r="I801" s="6" t="inlineStr">
        <is>
          <t>Plant-based non-core</t>
        </is>
      </c>
      <c r="J801" s="6" t="inlineStr">
        <is>
          <t>B</t>
        </is>
      </c>
      <c r="K801" s="6" t="inlineStr">
        <is>
          <t>Follows the class</t>
        </is>
      </c>
      <c r="L801" s="6" t="n">
        <v>0.92</v>
      </c>
      <c r="M801" s="6" t="inlineStr">
        <is>
          <t>Declared by the retailer</t>
        </is>
      </c>
      <c r="N801" s="6" t="n">
        <v>0.92</v>
      </c>
      <c r="O801" s="6" t="n">
        <v>0</v>
      </c>
      <c r="P801" s="6" t="inlineStr">
        <is>
          <t>yes</t>
        </is>
      </c>
      <c r="Q801" s="6" t="inlineStr">
        <is>
          <t>whole</t>
        </is>
      </c>
      <c r="R801" s="6" t="inlineStr">
        <is>
          <t>FG4</t>
        </is>
      </c>
      <c r="S801" s="6" t="n"/>
      <c r="T801" s="6" t="inlineStr">
        <is>
          <t>plant</t>
        </is>
      </c>
      <c r="U801" s="6" t="n"/>
      <c r="V801" s="6" t="n"/>
      <c r="W801" s="6" t="n">
        <v>1</v>
      </c>
      <c r="X801" s="6" t="n">
        <v>0.5</v>
      </c>
      <c r="Y801" s="6" t="inlineStr">
        <is>
          <t>declared</t>
        </is>
      </c>
      <c r="Z801" s="8" t="n">
        <v>31051</v>
      </c>
      <c r="AA801" s="9">
        <f>IF(H801="yes",Z801*X801,0)</f>
        <v/>
      </c>
      <c r="AB801" s="9">
        <f>IF(H801="yes",AA801*N(L801)/100,0)</f>
        <v/>
      </c>
      <c r="AC801" s="9">
        <f>IF(H801="yes",AA801*N(N801)/100,0)</f>
        <v/>
      </c>
      <c r="AD801" s="9">
        <f>IF(H801="yes",AA801*N(O801)/100,0)</f>
        <v/>
      </c>
      <c r="AE801" s="10">
        <f>IF(P801="yes",AA801/1000,0)</f>
        <v/>
      </c>
      <c r="AF801" s="10">
        <f>IF(R801="FG2",AE801*W801,AE801)</f>
        <v/>
      </c>
    </row>
    <row r="802">
      <c r="A802" s="6" t="inlineStr">
        <is>
          <t>HM00800</t>
        </is>
      </c>
      <c r="B802" s="7" t="inlineStr">
        <is>
          <t>8712345540999</t>
        </is>
      </c>
      <c r="C802" s="6" t="inlineStr">
        <is>
          <t>HM MARIS PIPER POTATOES 1KG</t>
        </is>
      </c>
      <c r="D802" s="6" t="inlineStr">
        <is>
          <t>Maris Piper potatoes, 1kg</t>
        </is>
      </c>
      <c r="E802" s="6" t="inlineStr">
        <is>
          <t>Harbour Market</t>
        </is>
      </c>
      <c r="F802" s="6" t="inlineStr">
        <is>
          <t>Fruit &amp; Vegetables</t>
        </is>
      </c>
      <c r="G802" s="6" t="inlineStr">
        <is>
          <t>Potatoes</t>
        </is>
      </c>
      <c r="H802" s="6" t="inlineStr">
        <is>
          <t>yes</t>
        </is>
      </c>
      <c r="I802" s="6" t="inlineStr">
        <is>
          <t>Plant-based non-core</t>
        </is>
      </c>
      <c r="J802" s="6" t="inlineStr">
        <is>
          <t>B</t>
        </is>
      </c>
      <c r="K802" s="6" t="inlineStr">
        <is>
          <t>Follows the class</t>
        </is>
      </c>
      <c r="L802" s="6" t="n">
        <v>2</v>
      </c>
      <c r="M802" s="6" t="inlineStr">
        <is>
          <t>Altera reference base</t>
        </is>
      </c>
      <c r="N802" s="6" t="n">
        <v>2</v>
      </c>
      <c r="O802" s="6" t="n">
        <v>0</v>
      </c>
      <c r="P802" s="6" t="inlineStr">
        <is>
          <t>yes</t>
        </is>
      </c>
      <c r="Q802" s="6" t="inlineStr">
        <is>
          <t>whole</t>
        </is>
      </c>
      <c r="R802" s="6" t="inlineStr">
        <is>
          <t>FG6</t>
        </is>
      </c>
      <c r="S802" s="6" t="n"/>
      <c r="T802" s="6" t="inlineStr">
        <is>
          <t>plant</t>
        </is>
      </c>
      <c r="U802" s="6" t="n"/>
      <c r="V802" s="6" t="n"/>
      <c r="W802" s="6" t="n">
        <v>1</v>
      </c>
      <c r="X802" s="6" t="n">
        <v>1</v>
      </c>
      <c r="Y802" s="6" t="inlineStr">
        <is>
          <t>label</t>
        </is>
      </c>
      <c r="Z802" s="8" t="n">
        <v>31310</v>
      </c>
      <c r="AA802" s="9">
        <f>IF(H802="yes",Z802*X802,0)</f>
        <v/>
      </c>
      <c r="AB802" s="9">
        <f>IF(H802="yes",AA802*N(L802)/100,0)</f>
        <v/>
      </c>
      <c r="AC802" s="9">
        <f>IF(H802="yes",AA802*N(N802)/100,0)</f>
        <v/>
      </c>
      <c r="AD802" s="9">
        <f>IF(H802="yes",AA802*N(O802)/100,0)</f>
        <v/>
      </c>
      <c r="AE802" s="10">
        <f>IF(P802="yes",AA802/1000,0)</f>
        <v/>
      </c>
      <c r="AF802" s="10">
        <f>IF(R802="FG2",AE802*W802,AE802)</f>
        <v/>
      </c>
    </row>
  </sheetData>
  <autoFilter ref="A2:AF802"/>
  <dataValidations count="1">
    <dataValidation sqref="Z3:Z802" showDropDown="0" showInputMessage="0" showErrorMessage="1" allowBlank="0" error="Units sold must be a number, zero or more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Protein Tracker — plant share of protein sold</t>
        </is>
      </c>
    </row>
    <row r="2">
      <c r="A2" s="2" t="inlineStr">
        <is>
          <t>FICTITIOUS DATA — demo file. Harbour Market, its brands and every figure are invented.</t>
        </is>
      </c>
    </row>
    <row r="4">
      <c r="A4" s="5" t="inlineStr">
        <is>
          <t>Indicator</t>
        </is>
      </c>
      <c r="B4" s="5" t="inlineStr">
        <is>
          <t>Value</t>
        </is>
      </c>
    </row>
    <row r="5">
      <c r="A5" s="6" t="inlineStr">
        <is>
          <t>Plant protein sold (t)</t>
        </is>
      </c>
      <c r="B5" s="9">
        <f>SUM(Products!$AC$3:$AC$802)/1000</f>
        <v/>
      </c>
    </row>
    <row r="6">
      <c r="A6" s="6" t="inlineStr">
        <is>
          <t>Animal protein sold (t)</t>
        </is>
      </c>
      <c r="B6" s="9">
        <f>SUM(Products!$AD$3:$AD$802)/1000</f>
        <v/>
      </c>
    </row>
    <row r="7">
      <c r="A7" s="6" t="inlineStr">
        <is>
          <t>Total protein sold (t)</t>
        </is>
      </c>
      <c r="B7" s="9">
        <f>SUM(Products!$AB$3:$AB$802)/1000</f>
        <v/>
      </c>
    </row>
    <row r="8">
      <c r="A8" s="6" t="inlineStr">
        <is>
          <t>Protein ratio — plant share</t>
        </is>
      </c>
      <c r="B8" s="11">
        <f>IFERROR(B5/B7,0)</f>
        <v/>
      </c>
    </row>
    <row r="9">
      <c r="A9" s="6" t="inlineStr">
        <is>
          <t>Protein measured at level A</t>
        </is>
      </c>
      <c r="B9" s="12">
        <f>IFERROR(SUMIFS(Products!$AB$3:$AB$802,Products!$J$3:$J$802,"A")/1000/B7,0)</f>
        <v/>
      </c>
    </row>
    <row r="10">
      <c r="A10" s="6" t="inlineStr">
        <is>
          <t>Check: plant + animal = total</t>
        </is>
      </c>
      <c r="B10" s="7">
        <f>IF(ABS(B5+B6-B7)&lt;0.001,"OK","ERROR")</f>
        <v/>
      </c>
    </row>
    <row r="13">
      <c r="A13" s="5" t="inlineStr">
        <is>
          <t>PT class</t>
        </is>
      </c>
      <c r="B13" s="5" t="inlineStr">
        <is>
          <t>Protein (t)</t>
        </is>
      </c>
      <c r="C13" s="5" t="inlineStr">
        <is>
          <t>Share of protein</t>
        </is>
      </c>
    </row>
    <row r="14">
      <c r="A14" s="6" t="inlineStr">
        <is>
          <t>Animal core</t>
        </is>
      </c>
      <c r="B14" s="13">
        <f>SUMIFS(Products!$AB$3:$AB$802,Products!$I$3:$I$802,A14)/1000</f>
        <v/>
      </c>
      <c r="C14" s="14">
        <f>IFERROR(B14/$B$7,0)</f>
        <v/>
      </c>
    </row>
    <row r="15">
      <c r="A15" s="6" t="inlineStr">
        <is>
          <t>Animal &amp; plant composite</t>
        </is>
      </c>
      <c r="B15" s="13">
        <f>SUMIFS(Products!$AB$3:$AB$802,Products!$I$3:$I$802,A15)/1000</f>
        <v/>
      </c>
      <c r="C15" s="14">
        <f>IFERROR(B15/$B$7,0)</f>
        <v/>
      </c>
    </row>
    <row r="16">
      <c r="A16" s="6" t="inlineStr">
        <is>
          <t>Plant-based non-core</t>
        </is>
      </c>
      <c r="B16" s="13">
        <f>SUMIFS(Products!$AB$3:$AB$802,Products!$I$3:$I$802,A16)/1000</f>
        <v/>
      </c>
      <c r="C16" s="14">
        <f>IFERROR(B16/$B$7,0)</f>
        <v/>
      </c>
    </row>
    <row r="17">
      <c r="A17" s="6" t="inlineStr">
        <is>
          <t>Plant-based core</t>
        </is>
      </c>
      <c r="B17" s="13">
        <f>SUMIFS(Products!$AB$3:$AB$802,Products!$I$3:$I$802,A17)/1000</f>
        <v/>
      </c>
      <c r="C17" s="14">
        <f>IFERROR(B17/$B$7,0)</f>
        <v/>
      </c>
    </row>
    <row r="18">
      <c r="A18" s="3" t="inlineStr">
        <is>
          <t>Total</t>
        </is>
      </c>
      <c r="B18" s="13">
        <f>SUM(B14:B17)</f>
        <v/>
      </c>
      <c r="C18">
        <f>IF(ABS(B18-B7)&lt;0.001,"covers all classes","ERROR: a class is missing")</f>
        <v/>
      </c>
    </row>
    <row r="20">
      <c r="A20" s="5" t="inlineStr">
        <is>
          <t>Department</t>
        </is>
      </c>
      <c r="B20" s="5" t="inlineStr">
        <is>
          <t>Plant protein (t)</t>
        </is>
      </c>
      <c r="C20" s="5" t="inlineStr">
        <is>
          <t>Total protein (t)</t>
        </is>
      </c>
      <c r="D20" s="5" t="inlineStr">
        <is>
          <t>Plant share</t>
        </is>
      </c>
    </row>
    <row r="21">
      <c r="A21" s="6" t="inlineStr">
        <is>
          <t>Bakery</t>
        </is>
      </c>
      <c r="B21" s="13">
        <f>SUMIFS(Products!$AC$3:$AC$802,Products!$F$3:$F$802,A21)/1000</f>
        <v/>
      </c>
      <c r="C21" s="13">
        <f>SUMIFS(Products!$AB$3:$AB$802,Products!$F$3:$F$802,A21)/1000</f>
        <v/>
      </c>
      <c r="D21" s="14">
        <f>IFERROR(B21/C21,0)</f>
        <v/>
      </c>
    </row>
    <row r="22">
      <c r="A22" s="6" t="inlineStr">
        <is>
          <t>Beer, Wine &amp; Spirits</t>
        </is>
      </c>
      <c r="B22" s="13">
        <f>SUMIFS(Products!$AC$3:$AC$802,Products!$F$3:$F$802,A22)/1000</f>
        <v/>
      </c>
      <c r="C22" s="13">
        <f>SUMIFS(Products!$AB$3:$AB$802,Products!$F$3:$F$802,A22)/1000</f>
        <v/>
      </c>
      <c r="D22" s="14">
        <f>IFERROR(B22/C22,0)</f>
        <v/>
      </c>
    </row>
    <row r="23">
      <c r="A23" s="6" t="inlineStr">
        <is>
          <t>Breakfast &amp; Snacks</t>
        </is>
      </c>
      <c r="B23" s="13">
        <f>SUMIFS(Products!$AC$3:$AC$802,Products!$F$3:$F$802,A23)/1000</f>
        <v/>
      </c>
      <c r="C23" s="13">
        <f>SUMIFS(Products!$AB$3:$AB$802,Products!$F$3:$F$802,A23)/1000</f>
        <v/>
      </c>
      <c r="D23" s="14">
        <f>IFERROR(B23/C23,0)</f>
        <v/>
      </c>
    </row>
    <row r="24">
      <c r="A24" s="6" t="inlineStr">
        <is>
          <t>Cheese</t>
        </is>
      </c>
      <c r="B24" s="13">
        <f>SUMIFS(Products!$AC$3:$AC$802,Products!$F$3:$F$802,A24)/1000</f>
        <v/>
      </c>
      <c r="C24" s="13">
        <f>SUMIFS(Products!$AB$3:$AB$802,Products!$F$3:$F$802,A24)/1000</f>
        <v/>
      </c>
      <c r="D24" s="14">
        <f>IFERROR(B24/C24,0)</f>
        <v/>
      </c>
    </row>
    <row r="25">
      <c r="A25" s="6" t="inlineStr">
        <is>
          <t>Dairy &amp; Eggs</t>
        </is>
      </c>
      <c r="B25" s="13">
        <f>SUMIFS(Products!$AC$3:$AC$802,Products!$F$3:$F$802,A25)/1000</f>
        <v/>
      </c>
      <c r="C25" s="13">
        <f>SUMIFS(Products!$AB$3:$AB$802,Products!$F$3:$F$802,A25)/1000</f>
        <v/>
      </c>
      <c r="D25" s="14">
        <f>IFERROR(B25/C25,0)</f>
        <v/>
      </c>
    </row>
    <row r="26">
      <c r="A26" s="6" t="inlineStr">
        <is>
          <t>Deli</t>
        </is>
      </c>
      <c r="B26" s="13">
        <f>SUMIFS(Products!$AC$3:$AC$802,Products!$F$3:$F$802,A26)/1000</f>
        <v/>
      </c>
      <c r="C26" s="13">
        <f>SUMIFS(Products!$AB$3:$AB$802,Products!$F$3:$F$802,A26)/1000</f>
        <v/>
      </c>
      <c r="D26" s="14">
        <f>IFERROR(B26/C26,0)</f>
        <v/>
      </c>
    </row>
    <row r="27">
      <c r="A27" s="6" t="inlineStr">
        <is>
          <t>Fish &amp; Seafood</t>
        </is>
      </c>
      <c r="B27" s="13">
        <f>SUMIFS(Products!$AC$3:$AC$802,Products!$F$3:$F$802,A27)/1000</f>
        <v/>
      </c>
      <c r="C27" s="13">
        <f>SUMIFS(Products!$AB$3:$AB$802,Products!$F$3:$F$802,A27)/1000</f>
        <v/>
      </c>
      <c r="D27" s="14">
        <f>IFERROR(B27/C27,0)</f>
        <v/>
      </c>
    </row>
    <row r="28">
      <c r="A28" s="6" t="inlineStr">
        <is>
          <t>Fresh Meat &amp; Poultry</t>
        </is>
      </c>
      <c r="B28" s="13">
        <f>SUMIFS(Products!$AC$3:$AC$802,Products!$F$3:$F$802,A28)/1000</f>
        <v/>
      </c>
      <c r="C28" s="13">
        <f>SUMIFS(Products!$AB$3:$AB$802,Products!$F$3:$F$802,A28)/1000</f>
        <v/>
      </c>
      <c r="D28" s="14">
        <f>IFERROR(B28/C28,0)</f>
        <v/>
      </c>
    </row>
    <row r="29">
      <c r="A29" s="6" t="inlineStr">
        <is>
          <t>Frozen</t>
        </is>
      </c>
      <c r="B29" s="13">
        <f>SUMIFS(Products!$AC$3:$AC$802,Products!$F$3:$F$802,A29)/1000</f>
        <v/>
      </c>
      <c r="C29" s="13">
        <f>SUMIFS(Products!$AB$3:$AB$802,Products!$F$3:$F$802,A29)/1000</f>
        <v/>
      </c>
      <c r="D29" s="14">
        <f>IFERROR(B29/C29,0)</f>
        <v/>
      </c>
    </row>
    <row r="30">
      <c r="A30" s="6" t="inlineStr">
        <is>
          <t>Fruit &amp; Vegetables</t>
        </is>
      </c>
      <c r="B30" s="13">
        <f>SUMIFS(Products!$AC$3:$AC$802,Products!$F$3:$F$802,A30)/1000</f>
        <v/>
      </c>
      <c r="C30" s="13">
        <f>SUMIFS(Products!$AB$3:$AB$802,Products!$F$3:$F$802,A30)/1000</f>
        <v/>
      </c>
      <c r="D30" s="14">
        <f>IFERROR(B30/C30,0)</f>
        <v/>
      </c>
    </row>
    <row r="31">
      <c r="A31" s="6" t="inlineStr">
        <is>
          <t>Grocery</t>
        </is>
      </c>
      <c r="B31" s="13">
        <f>SUMIFS(Products!$AC$3:$AC$802,Products!$F$3:$F$802,A31)/1000</f>
        <v/>
      </c>
      <c r="C31" s="13">
        <f>SUMIFS(Products!$AB$3:$AB$802,Products!$F$3:$F$802,A31)/1000</f>
        <v/>
      </c>
      <c r="D31" s="14">
        <f>IFERROR(B31/C31,0)</f>
        <v/>
      </c>
    </row>
    <row r="32">
      <c r="A32" s="6" t="inlineStr">
        <is>
          <t>Plant-Based</t>
        </is>
      </c>
      <c r="B32" s="13">
        <f>SUMIFS(Products!$AC$3:$AC$802,Products!$F$3:$F$802,A32)/1000</f>
        <v/>
      </c>
      <c r="C32" s="13">
        <f>SUMIFS(Products!$AB$3:$AB$802,Products!$F$3:$F$802,A32)/1000</f>
        <v/>
      </c>
      <c r="D32" s="14">
        <f>IFERROR(B32/C32,0)</f>
        <v/>
      </c>
    </row>
    <row r="33">
      <c r="A33" s="6" t="inlineStr">
        <is>
          <t>Ready Meals</t>
        </is>
      </c>
      <c r="B33" s="13">
        <f>SUMIFS(Products!$AC$3:$AC$802,Products!$F$3:$F$802,A33)/1000</f>
        <v/>
      </c>
      <c r="C33" s="13">
        <f>SUMIFS(Products!$AB$3:$AB$802,Products!$F$3:$F$802,A33)/1000</f>
        <v/>
      </c>
      <c r="D33" s="14">
        <f>IFERROR(B33/C33,0)</f>
        <v/>
      </c>
    </row>
    <row r="34">
      <c r="A34" s="6" t="inlineStr">
        <is>
          <t>Soft Drinks &amp; Water</t>
        </is>
      </c>
      <c r="B34" s="13">
        <f>SUMIFS(Products!$AC$3:$AC$802,Products!$F$3:$F$802,A34)/1000</f>
        <v/>
      </c>
      <c r="C34" s="13">
        <f>SUMIFS(Products!$AB$3:$AB$802,Products!$F$3:$F$802,A34)/1000</f>
        <v/>
      </c>
      <c r="D34" s="14">
        <f>IFERROR(B34/C34,0)</f>
        <v/>
      </c>
    </row>
    <row r="35">
      <c r="A35" s="3" t="inlineStr">
        <is>
          <t>Total</t>
        </is>
      </c>
      <c r="C35" s="13">
        <f>SUM(C21:C34)</f>
        <v/>
      </c>
      <c r="D35">
        <f>IF(ABS(C35-B7)&lt;0.001,"covers all departments","ERROR: a department is missing")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WWF Planet-Based Diets — tonnes of product</t>
        </is>
      </c>
    </row>
    <row r="2">
      <c r="A2" s="2" t="inlineStr">
        <is>
          <t>FICTITIOUS DATA — demo file. Harbour Market, its brands and every figure are invented.</t>
        </is>
      </c>
    </row>
    <row r="4">
      <c r="A4" s="5" t="inlineStr">
        <is>
          <t>Indicator</t>
        </is>
      </c>
      <c r="B4" s="5" t="inlineStr">
        <is>
          <t>Tonnes</t>
        </is>
      </c>
      <c r="C4" s="5" t="inlineStr">
        <is>
          <t>Share</t>
        </is>
      </c>
    </row>
    <row r="5">
      <c r="A5" t="inlineStr">
        <is>
          <t>Whole products</t>
        </is>
      </c>
      <c r="B5" s="13">
        <f>SUMIFS(Products!$AE$3:$AE$802,Products!$Q$3:$Q$802,"whole")</f>
        <v/>
      </c>
      <c r="C5" s="14">
        <f>IFERROR(B5/B7,0)</f>
        <v/>
      </c>
    </row>
    <row r="6">
      <c r="A6" t="inlineStr">
        <is>
          <t>Composite products</t>
        </is>
      </c>
      <c r="B6" s="13">
        <f>SUMIFS(Products!$AE$3:$AE$802,Products!$Q$3:$Q$802,"composite")</f>
        <v/>
      </c>
      <c r="C6" s="14">
        <f>IFERROR(B6/B7,0)</f>
        <v/>
      </c>
    </row>
    <row r="7">
      <c r="A7" t="inlineStr">
        <is>
          <t>Total in WWF scope</t>
        </is>
      </c>
      <c r="B7" s="13">
        <f>B5+B6</f>
        <v/>
      </c>
    </row>
    <row r="8">
      <c r="A8" t="inlineStr">
        <is>
          <t>Outside the WWF scope (Appendix A)</t>
        </is>
      </c>
      <c r="B8" s="13">
        <f>SUMIFS(Products!$AA$3:$AA$802,Products!$H$3:$H$802,"yes",Products!$P$3:$P$802,"no")/1000</f>
        <v/>
      </c>
    </row>
    <row r="10">
      <c r="A10" s="5" t="inlineStr">
        <is>
          <t>Food group (whole products)</t>
        </is>
      </c>
      <c r="B10" s="5" t="inlineStr">
        <is>
          <t>Plant (t)</t>
        </is>
      </c>
      <c r="C10" s="5" t="inlineStr">
        <is>
          <t>Animal (t)</t>
        </is>
      </c>
      <c r="D10" s="5" t="inlineStr">
        <is>
          <t>Total (t)</t>
        </is>
      </c>
      <c r="E10" s="5" t="inlineStr">
        <is>
          <t>Plant share</t>
        </is>
      </c>
    </row>
    <row r="11">
      <c r="A11" s="6" t="inlineStr">
        <is>
          <t>FG1 Protein-rich foods</t>
        </is>
      </c>
      <c r="B11" s="13">
        <f>SUMIFS(Products!$AF$3:$AF$802,Products!$Q$3:$Q$802,"whole",Products!$R$3:$R$802,F11,Products!$T$3:$T$802,"plant")</f>
        <v/>
      </c>
      <c r="C11" s="13">
        <f>SUMIFS(Products!$AF$3:$AF$802,Products!$Q$3:$Q$802,"whole",Products!$R$3:$R$802,F11,Products!$T$3:$T$802,"animal")</f>
        <v/>
      </c>
      <c r="D11" s="13">
        <f>B11+C11</f>
        <v/>
      </c>
      <c r="E11" s="14">
        <f>IFERROR(B11/D11,0)</f>
        <v/>
      </c>
      <c r="F11" s="15" t="inlineStr">
        <is>
          <t>FG1</t>
        </is>
      </c>
    </row>
    <row r="12">
      <c r="A12" s="6" t="inlineStr">
        <is>
          <t>FG2 Dairy &amp; alternatives</t>
        </is>
      </c>
      <c r="B12" s="13">
        <f>SUMIFS(Products!$AF$3:$AF$802,Products!$Q$3:$Q$802,"whole",Products!$R$3:$R$802,F12,Products!$T$3:$T$802,"plant")</f>
        <v/>
      </c>
      <c r="C12" s="13">
        <f>SUMIFS(Products!$AF$3:$AF$802,Products!$Q$3:$Q$802,"whole",Products!$R$3:$R$802,F12,Products!$T$3:$T$802,"animal")</f>
        <v/>
      </c>
      <c r="D12" s="13">
        <f>B12+C12</f>
        <v/>
      </c>
      <c r="E12" s="14">
        <f>IFERROR(B12/D12,0)</f>
        <v/>
      </c>
      <c r="F12" s="15" t="inlineStr">
        <is>
          <t>FG2</t>
        </is>
      </c>
    </row>
    <row r="13">
      <c r="A13" s="6" t="inlineStr">
        <is>
          <t>FG3 Fats &amp; oils</t>
        </is>
      </c>
      <c r="B13" s="13">
        <f>SUMIFS(Products!$AF$3:$AF$802,Products!$Q$3:$Q$802,"whole",Products!$R$3:$R$802,F13,Products!$T$3:$T$802,"plant")</f>
        <v/>
      </c>
      <c r="C13" s="13">
        <f>SUMIFS(Products!$AF$3:$AF$802,Products!$Q$3:$Q$802,"whole",Products!$R$3:$R$802,F13,Products!$T$3:$T$802,"animal")</f>
        <v/>
      </c>
      <c r="D13" s="13">
        <f>B13+C13</f>
        <v/>
      </c>
      <c r="E13" s="14">
        <f>IFERROR(B13/D13,0)</f>
        <v/>
      </c>
      <c r="F13" s="15" t="inlineStr">
        <is>
          <t>FG3</t>
        </is>
      </c>
    </row>
    <row r="14">
      <c r="A14" s="6" t="inlineStr">
        <is>
          <t>FG4 Fruit &amp; vegetables</t>
        </is>
      </c>
      <c r="B14" s="13">
        <f>SUMIFS(Products!$AF$3:$AF$802,Products!$Q$3:$Q$802,"whole",Products!$R$3:$R$802,F14,Products!$T$3:$T$802,"plant")</f>
        <v/>
      </c>
      <c r="C14" s="13">
        <f>SUMIFS(Products!$AF$3:$AF$802,Products!$Q$3:$Q$802,"whole",Products!$R$3:$R$802,F14,Products!$T$3:$T$802,"animal")</f>
        <v/>
      </c>
      <c r="D14" s="13">
        <f>B14+C14</f>
        <v/>
      </c>
      <c r="E14" s="14">
        <f>IFERROR(B14/D14,0)</f>
        <v/>
      </c>
      <c r="F14" s="15" t="inlineStr">
        <is>
          <t>FG4</t>
        </is>
      </c>
    </row>
    <row r="15">
      <c r="A15" s="6" t="inlineStr">
        <is>
          <t>FG5 Grains &amp; cereals</t>
        </is>
      </c>
      <c r="B15" s="13">
        <f>SUMIFS(Products!$AF$3:$AF$802,Products!$Q$3:$Q$802,"whole",Products!$R$3:$R$802,F15,Products!$T$3:$T$802,"plant")</f>
        <v/>
      </c>
      <c r="C15" s="13">
        <f>SUMIFS(Products!$AF$3:$AF$802,Products!$Q$3:$Q$802,"whole",Products!$R$3:$R$802,F15,Products!$T$3:$T$802,"animal")</f>
        <v/>
      </c>
      <c r="D15" s="13">
        <f>B15+C15</f>
        <v/>
      </c>
      <c r="E15" s="14">
        <f>IFERROR(B15/D15,0)</f>
        <v/>
      </c>
      <c r="F15" s="15" t="inlineStr">
        <is>
          <t>FG5</t>
        </is>
      </c>
    </row>
    <row r="16">
      <c r="A16" s="6" t="inlineStr">
        <is>
          <t>FG6 Tubers &amp; starchy vegetables</t>
        </is>
      </c>
      <c r="B16" s="13">
        <f>SUMIFS(Products!$AF$3:$AF$802,Products!$Q$3:$Q$802,"whole",Products!$R$3:$R$802,F16,Products!$T$3:$T$802,"plant")</f>
        <v/>
      </c>
      <c r="C16" s="13">
        <f>SUMIFS(Products!$AF$3:$AF$802,Products!$Q$3:$Q$802,"whole",Products!$R$3:$R$802,F16,Products!$T$3:$T$802,"animal")</f>
        <v/>
      </c>
      <c r="D16" s="13">
        <f>B16+C16</f>
        <v/>
      </c>
      <c r="E16" s="14">
        <f>IFERROR(B16/D16,0)</f>
        <v/>
      </c>
      <c r="F16" s="15" t="inlineStr">
        <is>
          <t>FG6</t>
        </is>
      </c>
    </row>
    <row r="17">
      <c r="A17" s="6" t="inlineStr">
        <is>
          <t>FG7 Snacks high in fat, salt &amp; sugar</t>
        </is>
      </c>
      <c r="B17" s="13">
        <f>SUMIFS(Products!$AF$3:$AF$802,Products!$Q$3:$Q$802,"whole",Products!$R$3:$R$802,F17,Products!$T$3:$T$802,"plant")</f>
        <v/>
      </c>
      <c r="C17" s="13">
        <f>SUMIFS(Products!$AF$3:$AF$802,Products!$Q$3:$Q$802,"whole",Products!$R$3:$R$802,F17,Products!$T$3:$T$802,"animal")</f>
        <v/>
      </c>
      <c r="D17" s="13">
        <f>B17+C17</f>
        <v/>
      </c>
      <c r="E17" s="14">
        <f>IFERROR(B17/D17,0)</f>
        <v/>
      </c>
      <c r="F17" s="15" t="inlineStr">
        <is>
          <t>FG7</t>
        </is>
      </c>
    </row>
    <row r="18">
      <c r="A18" s="16" t="inlineStr">
        <is>
          <t>FG2 in dairy equivalents: hard and soft cheese count x10.</t>
        </is>
      </c>
    </row>
    <row r="20">
      <c r="A20" s="3" t="inlineStr">
        <is>
          <t>Plant share, FG1 + FG2 (mandatory split)</t>
        </is>
      </c>
      <c r="B20" s="11">
        <f>IFERROR((B11+B12)/(D11+D12),0)</f>
        <v/>
      </c>
    </row>
    <row r="22">
      <c r="A22" s="5" t="inlineStr">
        <is>
          <t>Composite category</t>
        </is>
      </c>
      <c r="B22" s="5" t="inlineStr">
        <is>
          <t>Tonnes</t>
        </is>
      </c>
      <c r="C22" s="5" t="inlineStr">
        <is>
          <t>Share of composites</t>
        </is>
      </c>
    </row>
    <row r="23">
      <c r="A23" s="6" t="inlineStr">
        <is>
          <t>meat-based</t>
        </is>
      </c>
      <c r="B23" s="13">
        <f>SUMIFS(Products!$AE$3:$AE$802,Products!$Q$3:$Q$802,"composite",Products!$U$3:$U$802,A23)</f>
        <v/>
      </c>
      <c r="C23" s="14">
        <f>IFERROR(B23/$B$6,0)</f>
        <v/>
      </c>
    </row>
    <row r="24">
      <c r="A24" s="6" t="inlineStr">
        <is>
          <t>seafood-based</t>
        </is>
      </c>
      <c r="B24" s="13">
        <f>SUMIFS(Products!$AE$3:$AE$802,Products!$Q$3:$Q$802,"composite",Products!$U$3:$U$802,A24)</f>
        <v/>
      </c>
      <c r="C24" s="14">
        <f>IFERROR(B24/$B$6,0)</f>
        <v/>
      </c>
    </row>
    <row r="25">
      <c r="A25" s="6" t="inlineStr">
        <is>
          <t>vegetarian</t>
        </is>
      </c>
      <c r="B25" s="13">
        <f>SUMIFS(Products!$AE$3:$AE$802,Products!$Q$3:$Q$802,"composite",Products!$U$3:$U$802,A25)</f>
        <v/>
      </c>
      <c r="C25" s="14">
        <f>IFERROR(B25/$B$6,0)</f>
        <v/>
      </c>
    </row>
    <row r="26">
      <c r="A26" s="6" t="inlineStr">
        <is>
          <t>vegan</t>
        </is>
      </c>
      <c r="B26" s="13">
        <f>SUMIFS(Products!$AE$3:$AE$802,Products!$Q$3:$Q$802,"composite",Products!$U$3:$U$802,A26)</f>
        <v/>
      </c>
      <c r="C26" s="14">
        <f>IFERROR(B26/$B$6,0)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2026-10-16T17:18:34Z</dcterms:created>
  <dcterms:modified xmlns:dcterms="http://purl.org/dc/terms/" xmlns:xsi="http://www.w3.org/2001/XMLSchema-instance" xsi:type="dcterms:W3CDTF">2026-10-16T17:18:35Z</dcterms:modified>
</cp:coreProperties>
</file>